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hu8419.PLANET\git\tools\sag\conf\"/>
    </mc:Choice>
  </mc:AlternateContent>
  <bookViews>
    <workbookView xWindow="0" yWindow="0" windowWidth="28800" windowHeight="12210"/>
  </bookViews>
  <sheets>
    <sheet name="config" sheetId="2" r:id="rId1"/>
    <sheet name="kbn1.config" sheetId="21" r:id="rId2"/>
    <sheet name="kbn1.task" sheetId="11" r:id="rId3"/>
    <sheet name="kbn1.template" sheetId="12" r:id="rId4"/>
    <sheet name="kbn1.layout" sheetId="17" r:id="rId5"/>
    <sheet name="kbn2.config" sheetId="20" r:id="rId6"/>
    <sheet name="kbn2.task" sheetId="1" r:id="rId7"/>
    <sheet name="kbn2.template" sheetId="3" r:id="rId8"/>
    <sheet name="kbn2.layout" sheetId="16" r:id="rId9"/>
  </sheets>
  <externalReferences>
    <externalReference r:id="rId10"/>
    <externalReference r:id="rId11"/>
    <externalReference r:id="rId12"/>
    <externalReference r:id="rId13"/>
  </externalReferences>
  <definedNames>
    <definedName name="_Key1" hidden="1">#REF!</definedName>
    <definedName name="_Order1" hidden="1">255</definedName>
    <definedName name="_Regression_X" hidden="1">#REF!</definedName>
    <definedName name="_Sort" hidden="1">#REF!</definedName>
    <definedName name="AA" hidden="1">#REF!</definedName>
    <definedName name="bb" hidden="1">{"'一覧'!$A$1:$M$28"}</definedName>
    <definedName name="BBB" hidden="1">#REF!</definedName>
    <definedName name="HTML_CodePage" hidden="1">932</definedName>
    <definedName name="html_cont" hidden="1">{"'調査医師リスト'!$A$2:$P$35"}</definedName>
    <definedName name="HTML_Control" hidden="1">{"'営業開発ﾚﾝﾀﾙ一覧'!$A$1:$Z$193"}</definedName>
    <definedName name="HTML_Description" hidden="1">""</definedName>
    <definedName name="HTML_Email" hidden="1">""</definedName>
    <definedName name="HTML_Header" hidden="1">"営業開発ﾚﾝﾀﾙ一覧"</definedName>
    <definedName name="HTML_LastUpdate" hidden="1">"03/12/05"</definedName>
    <definedName name="HTML_LineAfter" hidden="1">FALSE</definedName>
    <definedName name="HTML_LineBefore" hidden="1">TRUE</definedName>
    <definedName name="HTML_Name" hidden="1">"IBM089"</definedName>
    <definedName name="HTML_OBDlg2" hidden="1">TRUE</definedName>
    <definedName name="HTML_OBDlg4" hidden="1">TRUE</definedName>
    <definedName name="HTML_OS" hidden="1">0</definedName>
    <definedName name="HTML_PathFile" hidden="1">"F:\MyHTML.htm"</definedName>
    <definedName name="HTML_Title" hidden="1">""</definedName>
    <definedName name="LIST_システムの用途">'[1]分類(削除しないこと)'!$B$2:$B$34</definedName>
    <definedName name="_xlnm.Print_Area" localSheetId="4">'kbn1.layout'!$A$1:$BE$49</definedName>
    <definedName name="_xlnm.Print_Area" localSheetId="8">'kbn2.layout'!$A$1:$BE$65</definedName>
    <definedName name="_xlnm.Print_Area">#N/A</definedName>
    <definedName name="_xlnm.Print_Titles" localSheetId="4">'kbn1.layout'!$1:$11</definedName>
    <definedName name="_xlnm.Print_Titles" localSheetId="8">'kbn2.layout'!$1:$11</definedName>
    <definedName name="_xlnm.Print_Titles">'[2]概略見積（資金）'!$A$1:$IS$2</definedName>
    <definedName name="s" hidden="1">{"'一覧'!$A$1:$M$28"}</definedName>
    <definedName name="XXX" hidden="1">{"'調査医師リスト'!$A$2:$P$35"}</definedName>
    <definedName name="ｚ" hidden="1">{"'調査医師リスト'!$A$2:$P$35"}</definedName>
    <definedName name="Z_13280533_4350_11D5_A867_000629D8585B_.wvu.Cols" hidden="1">#REF!</definedName>
    <definedName name="Z_13280533_4350_11D5_A867_000629D8585B_.wvu.PrintArea" hidden="1">#REF!</definedName>
    <definedName name="Z_13280533_4350_11D5_A867_000629D8585B_.wvu.PrintTitles" hidden="1">#REF!</definedName>
    <definedName name="Z_13280533_4350_11D5_A867_000629D8585B_.wvu.Rows" hidden="1">#REF!</definedName>
    <definedName name="Z_ECECA9E9_429F_11D5_96AC_0006291EBE14_.wvu.Cols" hidden="1">#REF!</definedName>
    <definedName name="Z_ECECA9E9_429F_11D5_96AC_0006291EBE14_.wvu.PrintArea" hidden="1">#REF!</definedName>
    <definedName name="Z_ECECA9E9_429F_11D5_96AC_0006291EBE14_.wvu.PrintTitles" hidden="1">#REF!</definedName>
    <definedName name="Z_ECECA9E9_429F_11D5_96AC_0006291EBE14_.wvu.Rows" hidden="1">#REF!</definedName>
    <definedName name="Z_ECECAA35_429F_11D5_96AC_0006291EBE14_.wvu.Cols" hidden="1">#REF!</definedName>
    <definedName name="Z_ECECAA35_429F_11D5_96AC_0006291EBE14_.wvu.PrintArea" hidden="1">#REF!</definedName>
    <definedName name="Z_ECECAA35_429F_11D5_96AC_0006291EBE14_.wvu.PrintTitles" hidden="1">#REF!</definedName>
    <definedName name="Z_ECECAA35_429F_11D5_96AC_0006291EBE14_.wvu.Rows" hidden="1">#REF!</definedName>
    <definedName name="ああああ" hidden="1">{"'一覧'!$A$1:$M$28"}</definedName>
    <definedName name="データタイプ">OFFSET([3]データ!$A$2,0,0,COUNTA([3]データ!$A:$A),-1)</definedName>
    <definedName name="データタイプ【階層構造】">OFFSET([3]データ!$B$2,0,0,COUNTA([3]データ!$B:$B),-1)</definedName>
    <definedName name="プラガブルフォーム">OFFSET([3]データ!$E$2,0,0,COUNTA([3]データ!$E:$E),-1)</definedName>
    <definedName name="プラガブルフォーム未使用以外">OFFSET([3]データ!$G$2,0,0,COUNTA([3]データ!$G:$G),-1)</definedName>
    <definedName name="リスク区分">'[4]リスク区分（入力規則）'!$B$2:$B$86</definedName>
    <definedName name="関連表" hidden="1">#REF!</definedName>
    <definedName name="個社拡張">OFFSET([3]データ!$F$2,0,0,COUNTA([3]データ!$F:$F),-1)</definedName>
    <definedName name="授受方式">OFFSET([3]データ!$C$2,0,0,COUNTA([3]データ!$C:$C),-1)</definedName>
    <definedName name="文字コード">OFFSET([3]データ!$D$2,0,0,COUNTA([3]データ!$D:$D),-1)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16" l="1"/>
  <c r="B46" i="16" s="1"/>
  <c r="B47" i="16" s="1"/>
  <c r="B48" i="16" s="1"/>
  <c r="B44" i="16"/>
  <c r="B17" i="16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3" i="16" s="1"/>
  <c r="V41" i="17" l="1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X15" i="17" s="1"/>
  <c r="X16" i="17" s="1"/>
  <c r="V13" i="17"/>
  <c r="B13" i="17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X12" i="17"/>
  <c r="V12" i="17"/>
  <c r="X13" i="17" s="1"/>
  <c r="X14" i="17" s="1"/>
  <c r="V49" i="16"/>
  <c r="V48" i="16"/>
  <c r="V47" i="16"/>
  <c r="V46" i="16"/>
  <c r="V45" i="16"/>
  <c r="V44" i="16"/>
  <c r="V43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B13" i="16"/>
  <c r="B14" i="16" s="1"/>
  <c r="B15" i="16" s="1"/>
  <c r="B16" i="16" s="1"/>
  <c r="X12" i="16"/>
  <c r="V12" i="16"/>
  <c r="X13" i="16" s="1"/>
  <c r="X17" i="17" l="1"/>
  <c r="X18" i="17" s="1"/>
  <c r="X19" i="17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BB7" i="17" s="1"/>
  <c r="X14" i="16"/>
  <c r="X15" i="16" s="1"/>
  <c r="X16" i="16" s="1"/>
  <c r="X17" i="16" s="1"/>
  <c r="X18" i="16" s="1"/>
  <c r="X19" i="16" s="1"/>
  <c r="X20" i="16" s="1"/>
  <c r="X21" i="16" s="1"/>
  <c r="X22" i="16" s="1"/>
  <c r="X23" i="16" s="1"/>
  <c r="X24" i="16" s="1"/>
  <c r="X25" i="16" s="1"/>
  <c r="X26" i="16" s="1"/>
  <c r="X27" i="16" s="1"/>
  <c r="X28" i="16" s="1"/>
  <c r="X29" i="16" s="1"/>
  <c r="X30" i="16" s="1"/>
  <c r="X31" i="16" s="1"/>
  <c r="X32" i="16" s="1"/>
  <c r="X33" i="16" s="1"/>
  <c r="X34" i="16" s="1"/>
  <c r="X35" i="16" s="1"/>
  <c r="X36" i="16" s="1"/>
  <c r="X37" i="16" s="1"/>
  <c r="X38" i="16" s="1"/>
  <c r="X39" i="16" s="1"/>
  <c r="X40" i="16" s="1"/>
  <c r="X41" i="16" s="1"/>
  <c r="X43" i="16" s="1"/>
  <c r="X44" i="16" s="1"/>
  <c r="X45" i="16" s="1"/>
  <c r="X46" i="16" s="1"/>
  <c r="X47" i="16" s="1"/>
  <c r="X48" i="16" s="1"/>
  <c r="X49" i="16" s="1"/>
  <c r="BB7" i="16" s="1"/>
</calcChain>
</file>

<file path=xl/comments1.xml><?xml version="1.0" encoding="utf-8"?>
<comments xmlns="http://schemas.openxmlformats.org/spreadsheetml/2006/main">
  <authors>
    <author>ncsak11598</author>
  </authors>
  <commentLis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targetText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tableId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loop:no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loop:colId</t>
        </r>
      </text>
    </comment>
    <comment ref="R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loop:colType
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loop:colLength</t>
        </r>
      </text>
    </comment>
    <comment ref="V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loop:colBytes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Z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loop:colNotNull</t>
        </r>
      </text>
    </comment>
    <comment ref="AD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loop:colKey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ncsak11598</author>
  </authors>
  <commentLis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targetText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tableId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loop:no</t>
        </r>
      </text>
    </comment>
    <comment ref="C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loop:colName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loop:colId</t>
        </r>
      </text>
    </comment>
    <comment ref="R12" authorId="0" shapeId="0">
      <text>
        <r>
          <rPr>
            <sz val="9"/>
            <color indexed="81"/>
            <rFont val="MS P ゴシック"/>
            <family val="3"/>
            <charset val="128"/>
          </rPr>
          <t>loop:colType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loop:colLength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V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loop:colBytes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Z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loop:colNotNull</t>
        </r>
      </text>
    </comment>
    <comment ref="AD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loop:colKey</t>
        </r>
      </text>
    </comment>
  </commentList>
</comments>
</file>

<file path=xl/sharedStrings.xml><?xml version="1.0" encoding="utf-8"?>
<sst xmlns="http://schemas.openxmlformats.org/spreadsheetml/2006/main" count="356" uniqueCount="219">
  <si>
    <t>レイアウトファイル</t>
    <phoneticPr fontId="1"/>
  </si>
  <si>
    <t>パッケージ</t>
    <phoneticPr fontId="1"/>
  </si>
  <si>
    <t>クラス名</t>
    <rPh sb="3" eb="4">
      <t>メイ</t>
    </rPh>
    <phoneticPr fontId="1"/>
  </si>
  <si>
    <t>変数名</t>
    <rPh sb="0" eb="3">
      <t>ヘンスウメイ</t>
    </rPh>
    <phoneticPr fontId="1"/>
  </si>
  <si>
    <t>変数値</t>
    <rPh sb="0" eb="2">
      <t>ヘンスウ</t>
    </rPh>
    <rPh sb="2" eb="3">
      <t>チ</t>
    </rPh>
    <phoneticPr fontId="1"/>
  </si>
  <si>
    <t>テンプレートファイル</t>
    <phoneticPr fontId="1"/>
  </si>
  <si>
    <t>有効性関数</t>
    <rPh sb="0" eb="3">
      <t>ユウコウセイ</t>
    </rPh>
    <rPh sb="3" eb="5">
      <t>カンスウ</t>
    </rPh>
    <phoneticPr fontId="1"/>
  </si>
  <si>
    <t>工程名称</t>
    <rPh sb="0" eb="2">
      <t>コウテイ</t>
    </rPh>
    <rPh sb="2" eb="4">
      <t>メイショウ</t>
    </rPh>
    <phoneticPr fontId="3"/>
  </si>
  <si>
    <t>初版作成</t>
    <rPh sb="0" eb="2">
      <t>ショハン</t>
    </rPh>
    <rPh sb="2" eb="4">
      <t>サクセイ</t>
    </rPh>
    <phoneticPr fontId="3"/>
  </si>
  <si>
    <t>フォーム№</t>
    <phoneticPr fontId="3"/>
  </si>
  <si>
    <t>改　訂</t>
    <rPh sb="0" eb="1">
      <t>アラタ</t>
    </rPh>
    <rPh sb="2" eb="3">
      <t>テイ</t>
    </rPh>
    <phoneticPr fontId="3"/>
  </si>
  <si>
    <t>補足・特記事項</t>
    <rPh sb="0" eb="2">
      <t>ホソク</t>
    </rPh>
    <rPh sb="3" eb="5">
      <t>トッキ</t>
    </rPh>
    <rPh sb="5" eb="7">
      <t>ジコウ</t>
    </rPh>
    <phoneticPr fontId="3"/>
  </si>
  <si>
    <t>レコード長</t>
    <rPh sb="4" eb="5">
      <t>チョウ</t>
    </rPh>
    <phoneticPr fontId="3"/>
  </si>
  <si>
    <t>項目名称</t>
    <rPh sb="0" eb="2">
      <t>コウモク</t>
    </rPh>
    <rPh sb="2" eb="4">
      <t>メイショウ</t>
    </rPh>
    <phoneticPr fontId="3"/>
  </si>
  <si>
    <t>項目ＩＤ</t>
    <rPh sb="0" eb="2">
      <t>コウモク</t>
    </rPh>
    <phoneticPr fontId="3"/>
  </si>
  <si>
    <t>属性</t>
    <rPh sb="0" eb="2">
      <t>ゾクセイ</t>
    </rPh>
    <phoneticPr fontId="3"/>
  </si>
  <si>
    <t>桁数</t>
    <rPh sb="0" eb="2">
      <t>ケタスウ</t>
    </rPh>
    <phoneticPr fontId="3"/>
  </si>
  <si>
    <t>Byte</t>
    <phoneticPr fontId="3"/>
  </si>
  <si>
    <t>位置</t>
    <rPh sb="0" eb="2">
      <t>イチ</t>
    </rPh>
    <phoneticPr fontId="3"/>
  </si>
  <si>
    <t>X</t>
  </si>
  <si>
    <t>説明</t>
    <rPh sb="0" eb="2">
      <t>セツメイ</t>
    </rPh>
    <phoneticPr fontId="1"/>
  </si>
  <si>
    <t>レイアウトシートの標識文字列</t>
    <rPh sb="9" eb="11">
      <t>ヒョウシキ</t>
    </rPh>
    <rPh sb="11" eb="14">
      <t>モジレツ</t>
    </rPh>
    <phoneticPr fontId="1"/>
  </si>
  <si>
    <t>funcRecordValid</t>
    <phoneticPr fontId="1"/>
  </si>
  <si>
    <t>レイアウト定義のループ行有効性チェック関数（戻り値＝falseの場合、無視する）</t>
    <rPh sb="5" eb="7">
      <t>テイギ</t>
    </rPh>
    <rPh sb="11" eb="12">
      <t>ギョウ</t>
    </rPh>
    <rPh sb="12" eb="15">
      <t>ユウコウセイ</t>
    </rPh>
    <rPh sb="19" eb="21">
      <t>カンスウ</t>
    </rPh>
    <rPh sb="22" eb="23">
      <t>モド</t>
    </rPh>
    <rPh sb="24" eb="25">
      <t>チ</t>
    </rPh>
    <rPh sb="32" eb="34">
      <t>バアイ</t>
    </rPh>
    <rPh sb="35" eb="37">
      <t>ムシ</t>
    </rPh>
    <phoneticPr fontId="1"/>
  </si>
  <si>
    <t>targetText</t>
    <phoneticPr fontId="1"/>
  </si>
  <si>
    <t>テーブル名称</t>
    <rPh sb="4" eb="6">
      <t>メイショウ</t>
    </rPh>
    <phoneticPr fontId="3"/>
  </si>
  <si>
    <t>初期値</t>
    <rPh sb="0" eb="3">
      <t>ショキチ</t>
    </rPh>
    <phoneticPr fontId="3"/>
  </si>
  <si>
    <t>HO_KB</t>
  </si>
  <si>
    <t>KAI_NO</t>
  </si>
  <si>
    <t>空白</t>
    <rPh sb="0" eb="2">
      <t>クウハク</t>
    </rPh>
    <phoneticPr fontId="3"/>
  </si>
  <si>
    <t>KAIE_NO</t>
  </si>
  <si>
    <t>KOZA_NO</t>
  </si>
  <si>
    <t>BNSI_NO</t>
  </si>
  <si>
    <t>管理店番</t>
  </si>
  <si>
    <t>KNRITN_NO</t>
  </si>
  <si>
    <t>異動コード</t>
  </si>
  <si>
    <t>ID_CD</t>
  </si>
  <si>
    <t>異動発生日</t>
  </si>
  <si>
    <t>IDHS_YMD</t>
  </si>
  <si>
    <t>参考コード１</t>
  </si>
  <si>
    <t>参考発生日１</t>
  </si>
  <si>
    <t>参考コード２</t>
  </si>
  <si>
    <t>参考発生日２</t>
  </si>
  <si>
    <t>参考コード３</t>
  </si>
  <si>
    <t>参考発生日３</t>
  </si>
  <si>
    <t>参考コード４</t>
  </si>
  <si>
    <t>参考発生日４</t>
  </si>
  <si>
    <t>参考コード５</t>
  </si>
  <si>
    <t>参考発生日５</t>
  </si>
  <si>
    <t>参考コード６</t>
  </si>
  <si>
    <t>参考発生日６</t>
  </si>
  <si>
    <t>参考コード７</t>
  </si>
  <si>
    <t>参考発生日７</t>
  </si>
  <si>
    <t>参考コード８</t>
  </si>
  <si>
    <t>参考発生日８</t>
  </si>
  <si>
    <t>参考コード９</t>
  </si>
  <si>
    <t>参考発生日９</t>
  </si>
  <si>
    <t>作成日時</t>
  </si>
  <si>
    <t>MK_YMDHMS</t>
  </si>
  <si>
    <t>更新日時</t>
  </si>
  <si>
    <t>UPDT_YMDHMS</t>
  </si>
  <si>
    <t>トランザクションコード</t>
  </si>
  <si>
    <t>TRN_ID</t>
  </si>
  <si>
    <t>担当者コード</t>
  </si>
  <si>
    <t>SYIN_CD</t>
  </si>
  <si>
    <t>削除フラグ</t>
  </si>
  <si>
    <t>DLT_KB</t>
  </si>
  <si>
    <t>テーブルＩＤ</t>
    <phoneticPr fontId="3"/>
  </si>
  <si>
    <t>テーブルＩＤ</t>
    <phoneticPr fontId="1"/>
  </si>
  <si>
    <t>${'loop:colKey'|isMultiDefined}</t>
    <phoneticPr fontId="1"/>
  </si>
  <si>
    <t>${tableId|javaClassName}</t>
    <phoneticPr fontId="1"/>
  </si>
  <si>
    <t>${tableId|javaClassName}Id</t>
    <phoneticPr fontId="1"/>
  </si>
  <si>
    <t>備考</t>
    <rPh sb="0" eb="2">
      <t>ビコウ</t>
    </rPh>
    <phoneticPr fontId="3"/>
  </si>
  <si>
    <t>N</t>
  </si>
  <si>
    <t>TIMESTAMP</t>
  </si>
  <si>
    <t>出力フォルダ</t>
    <rPh sb="0" eb="2">
      <t>シュツリョク</t>
    </rPh>
    <phoneticPr fontId="1"/>
  </si>
  <si>
    <t>kbn</t>
    <phoneticPr fontId="1"/>
  </si>
  <si>
    <t>処理区分</t>
    <rPh sb="0" eb="2">
      <t>ショリ</t>
    </rPh>
    <rPh sb="2" eb="4">
      <t>クブン</t>
    </rPh>
    <phoneticPr fontId="1"/>
  </si>
  <si>
    <t>${tableId|javaClassName}Repository</t>
    <phoneticPr fontId="1"/>
  </si>
  <si>
    <t>№</t>
    <phoneticPr fontId="3"/>
  </si>
  <si>
    <t>KEY</t>
    <phoneticPr fontId="3"/>
  </si>
  <si>
    <t>会社識別</t>
  </si>
  <si>
    <t>KISYSK_CD</t>
  </si>
  <si>
    <t>最新更新日付</t>
  </si>
  <si>
    <t>UPDT_YMD</t>
  </si>
  <si>
    <t>最新更新時刻</t>
  </si>
  <si>
    <t>UPDT_HMS</t>
  </si>
  <si>
    <t>外部設計</t>
    <phoneticPr fontId="3"/>
  </si>
  <si>
    <t>１．０</t>
    <phoneticPr fontId="3"/>
  </si>
  <si>
    <t>テーブルＩＤ</t>
    <phoneticPr fontId="3"/>
  </si>
  <si>
    <t>NOT
NULL</t>
    <phoneticPr fontId="3"/>
  </si>
  <si>
    <t>KEY</t>
    <phoneticPr fontId="3"/>
  </si>
  <si>
    <t>INDEX</t>
    <phoneticPr fontId="3"/>
  </si>
  <si>
    <t>法人区分</t>
    <rPh sb="0" eb="2">
      <t>ホウジン</t>
    </rPh>
    <rPh sb="2" eb="4">
      <t>クブン</t>
    </rPh>
    <phoneticPr fontId="10"/>
  </si>
  <si>
    <t>○</t>
  </si>
  <si>
    <t>会員番号</t>
    <rPh sb="0" eb="2">
      <t>カイイン</t>
    </rPh>
    <rPh sb="2" eb="4">
      <t>バンゴウ</t>
    </rPh>
    <phoneticPr fontId="10"/>
  </si>
  <si>
    <t>会員枝番</t>
    <rPh sb="0" eb="2">
      <t>カイイン</t>
    </rPh>
    <rPh sb="2" eb="3">
      <t>エダ</t>
    </rPh>
    <rPh sb="3" eb="4">
      <t>バン</t>
    </rPh>
    <phoneticPr fontId="10"/>
  </si>
  <si>
    <t>口座番号</t>
    <rPh sb="0" eb="2">
      <t>コウザ</t>
    </rPh>
    <rPh sb="2" eb="4">
      <t>バンゴウ</t>
    </rPh>
    <phoneticPr fontId="10"/>
  </si>
  <si>
    <t>弁済者番号</t>
    <rPh sb="0" eb="3">
      <t>ベンサイシャ</t>
    </rPh>
    <rPh sb="3" eb="5">
      <t>バンゴウ</t>
    </rPh>
    <phoneticPr fontId="10"/>
  </si>
  <si>
    <t>報告区分</t>
    <rPh sb="0" eb="2">
      <t>ホウコク</t>
    </rPh>
    <rPh sb="2" eb="4">
      <t>クブン</t>
    </rPh>
    <phoneticPr fontId="10"/>
  </si>
  <si>
    <t>HOK_KB</t>
  </si>
  <si>
    <t>エラー・ワーニング区分</t>
    <rPh sb="9" eb="11">
      <t>クブン</t>
    </rPh>
    <phoneticPr fontId="10"/>
  </si>
  <si>
    <t>ERRWRN_KB</t>
  </si>
  <si>
    <t>返却先区分</t>
    <rPh sb="0" eb="2">
      <t>ヘンキャク</t>
    </rPh>
    <rPh sb="2" eb="3">
      <t>サキ</t>
    </rPh>
    <rPh sb="3" eb="5">
      <t>クブン</t>
    </rPh>
    <phoneticPr fontId="10"/>
  </si>
  <si>
    <t>HNKYSK_KB</t>
  </si>
  <si>
    <t>内部エラーコード</t>
    <rPh sb="0" eb="2">
      <t>ナイブ</t>
    </rPh>
    <phoneticPr fontId="10"/>
  </si>
  <si>
    <t>INERR_CD</t>
  </si>
  <si>
    <t>連携エラーコード</t>
    <rPh sb="0" eb="2">
      <t>レンケイ</t>
    </rPh>
    <phoneticPr fontId="10"/>
  </si>
  <si>
    <t>RNKERR_CD</t>
  </si>
  <si>
    <t>エラーメッセージ</t>
  </si>
  <si>
    <t>ERR_MSG</t>
  </si>
  <si>
    <t>処理結果区分</t>
    <rPh sb="0" eb="2">
      <t>ショリ</t>
    </rPh>
    <rPh sb="2" eb="4">
      <t>ケッカ</t>
    </rPh>
    <rPh sb="4" eb="6">
      <t>クブン</t>
    </rPh>
    <phoneticPr fontId="10"/>
  </si>
  <si>
    <t>SYRIKEK_KB</t>
  </si>
  <si>
    <t>エラー解消済フラグ</t>
    <rPh sb="3" eb="5">
      <t>カイショウ</t>
    </rPh>
    <rPh sb="5" eb="6">
      <t>スミ</t>
    </rPh>
    <phoneticPr fontId="10"/>
  </si>
  <si>
    <t>ERRKSYO_FLG</t>
  </si>
  <si>
    <t>データ区分</t>
    <rPh sb="3" eb="5">
      <t>クブン</t>
    </rPh>
    <phoneticPr fontId="9"/>
  </si>
  <si>
    <t>DATA_KB</t>
  </si>
  <si>
    <t>レコード区分</t>
    <rPh sb="4" eb="6">
      <t>クブン</t>
    </rPh>
    <phoneticPr fontId="9"/>
  </si>
  <si>
    <t>REC_KB</t>
  </si>
  <si>
    <t>会員コード</t>
    <rPh sb="0" eb="2">
      <t>カイイン</t>
    </rPh>
    <phoneticPr fontId="9"/>
  </si>
  <si>
    <t>KAI_CD</t>
  </si>
  <si>
    <t>フォーマット区分</t>
    <rPh sb="6" eb="8">
      <t>クブン</t>
    </rPh>
    <phoneticPr fontId="9"/>
  </si>
  <si>
    <t>FMT_KB</t>
  </si>
  <si>
    <t>メンテ区分</t>
  </si>
  <si>
    <t>MNT_KB</t>
  </si>
  <si>
    <t>変更前会員コード</t>
    <rPh sb="0" eb="2">
      <t>ヘンコウ</t>
    </rPh>
    <rPh sb="2" eb="3">
      <t>マエ</t>
    </rPh>
    <phoneticPr fontId="10"/>
  </si>
  <si>
    <t>HenkomaeKAI_CD</t>
  </si>
  <si>
    <t>論理レコードSEQ</t>
    <rPh sb="0" eb="2">
      <t>ロンリ</t>
    </rPh>
    <phoneticPr fontId="9"/>
  </si>
  <si>
    <t>LRSEQ_NO</t>
  </si>
  <si>
    <t>更新区分</t>
    <rPh sb="0" eb="2">
      <t>コウシン</t>
    </rPh>
    <rPh sb="2" eb="4">
      <t>クブン</t>
    </rPh>
    <phoneticPr fontId="10"/>
  </si>
  <si>
    <t>UPDT_KB</t>
  </si>
  <si>
    <t>更新前後区分</t>
    <rPh sb="0" eb="2">
      <t>コウシン</t>
    </rPh>
    <rPh sb="2" eb="4">
      <t>ゼンゴ</t>
    </rPh>
    <rPh sb="4" eb="6">
      <t>クブン</t>
    </rPh>
    <phoneticPr fontId="10"/>
  </si>
  <si>
    <t>UPDTBA_KB</t>
  </si>
  <si>
    <t>更新結果コード</t>
    <rPh sb="0" eb="2">
      <t>コウシン</t>
    </rPh>
    <rPh sb="2" eb="4">
      <t>ケッカ</t>
    </rPh>
    <phoneticPr fontId="10"/>
  </si>
  <si>
    <t>UPDTKEK_CD</t>
  </si>
  <si>
    <t>項目エラーコード</t>
    <rPh sb="0" eb="2">
      <t>コウモク</t>
    </rPh>
    <phoneticPr fontId="10"/>
  </si>
  <si>
    <t>KMERR_CD</t>
  </si>
  <si>
    <t>詳細コード</t>
  </si>
  <si>
    <t>ITEMERR_DTL_CD</t>
  </si>
  <si>
    <t>アプラス追加</t>
    <rPh sb="4" eb="6">
      <t>ツイカ</t>
    </rPh>
    <phoneticPr fontId="2"/>
  </si>
  <si>
    <t>登録キーマッチングコード</t>
    <rPh sb="0" eb="2">
      <t>トウロク</t>
    </rPh>
    <phoneticPr fontId="10"/>
  </si>
  <si>
    <t>KEYMATCH_CD</t>
  </si>
  <si>
    <t>更新日</t>
    <rPh sb="0" eb="2">
      <t>コウシン</t>
    </rPh>
    <phoneticPr fontId="10"/>
  </si>
  <si>
    <t>更新時刻</t>
    <rPh sb="0" eb="2">
      <t>コウシン</t>
    </rPh>
    <rPh sb="2" eb="4">
      <t>ジコク</t>
    </rPh>
    <phoneticPr fontId="10"/>
  </si>
  <si>
    <t>情報提供日</t>
    <rPh sb="0" eb="2">
      <t>ジョウホウ</t>
    </rPh>
    <rPh sb="2" eb="4">
      <t>テイキョウ</t>
    </rPh>
    <phoneticPr fontId="10"/>
  </si>
  <si>
    <t>JHTK_YMD</t>
  </si>
  <si>
    <t>情報提供時刻</t>
    <rPh sb="0" eb="2">
      <t>ジョウホウ</t>
    </rPh>
    <rPh sb="2" eb="4">
      <t>テイキョウ</t>
    </rPh>
    <rPh sb="4" eb="6">
      <t>ジコク</t>
    </rPh>
    <phoneticPr fontId="10"/>
  </si>
  <si>
    <t>JHTK_HMS</t>
  </si>
  <si>
    <t>(LENGTH)</t>
    <phoneticPr fontId="3"/>
  </si>
  <si>
    <t>基本設計</t>
    <phoneticPr fontId="3"/>
  </si>
  <si>
    <t>NOT
NULL</t>
    <phoneticPr fontId="3"/>
  </si>
  <si>
    <t>顧客番号</t>
  </si>
  <si>
    <t>ACCOUNT_NO</t>
  </si>
  <si>
    <t>異動解消日</t>
  </si>
  <si>
    <t>IDOKS_YMD</t>
  </si>
  <si>
    <t>SK1_CD</t>
  </si>
  <si>
    <t>SKHS1_YMD</t>
  </si>
  <si>
    <t>SK2_CD</t>
  </si>
  <si>
    <t>SKHS2_YMD</t>
  </si>
  <si>
    <t>SK3_CD</t>
  </si>
  <si>
    <t>SKHS3_YMD</t>
  </si>
  <si>
    <t>SK4_CD</t>
  </si>
  <si>
    <t>SKHS4_YMD</t>
  </si>
  <si>
    <t>SK5_CD</t>
  </si>
  <si>
    <t>SKHS5_YMD</t>
  </si>
  <si>
    <t>SK6_CD</t>
  </si>
  <si>
    <t>SKHS6_YMD</t>
  </si>
  <si>
    <t>SK7_CD</t>
  </si>
  <si>
    <t>SKHS7_YMD</t>
  </si>
  <si>
    <t>SK8_CD</t>
  </si>
  <si>
    <t>SKHS8_YMD</t>
  </si>
  <si>
    <t>SK9_CD</t>
  </si>
  <si>
    <t>SKHS9_YMD</t>
  </si>
  <si>
    <t>参考コード１０</t>
  </si>
  <si>
    <t>SK10_CD</t>
  </si>
  <si>
    <t>参考発生日１０</t>
  </si>
  <si>
    <t>SKHS10_YMD</t>
  </si>
  <si>
    <t>債権付帯サービスコード</t>
  </si>
  <si>
    <t>SVC_CD</t>
  </si>
  <si>
    <t>債権付帯サービス確認日</t>
  </si>
  <si>
    <t>SVCHS_YMD</t>
  </si>
  <si>
    <t>DATE</t>
  </si>
  <si>
    <t>TIME</t>
  </si>
  <si>
    <t>dbKbn</t>
    <phoneticPr fontId="1"/>
  </si>
  <si>
    <t>primary</t>
    <phoneticPr fontId="1"/>
  </si>
  <si>
    <t>DB区分</t>
    <rPh sb="2" eb="4">
      <t>クブン</t>
    </rPh>
    <phoneticPr fontId="1"/>
  </si>
  <si>
    <t>secondary</t>
    <phoneticPr fontId="1"/>
  </si>
  <si>
    <t>versionMark</t>
    <phoneticPr fontId="1"/>
  </si>
  <si>
    <t>バージョンアノテーション</t>
    <phoneticPr fontId="1"/>
  </si>
  <si>
    <t>versionField</t>
    <phoneticPr fontId="1"/>
  </si>
  <si>
    <t>UPDT_YMDHMS</t>
    <phoneticPr fontId="1"/>
  </si>
  <si>
    <t>バージョンカラム</t>
    <phoneticPr fontId="1"/>
  </si>
  <si>
    <t>UPDT_YMD,UPDT_HMS</t>
    <phoneticPr fontId="1"/>
  </si>
  <si>
    <t>Version</t>
    <phoneticPr fontId="1"/>
  </si>
  <si>
    <t>MultiVersion</t>
    <phoneticPr fontId="1"/>
  </si>
  <si>
    <t>isMultiDefined('colKey')</t>
    <phoneticPr fontId="1"/>
  </si>
  <si>
    <t>isDefined('loop:colType')</t>
    <phoneticPr fontId="1"/>
  </si>
  <si>
    <t>templateDir</t>
    <phoneticPr fontId="1"/>
  </si>
  <si>
    <t>テンプレートファイルパス</t>
    <phoneticPr fontId="1"/>
  </si>
  <si>
    <t>data\01_テーブルレイアウト（店舗マスタ）.xls</t>
    <phoneticPr fontId="1"/>
  </si>
  <si>
    <t>data\02_テーブルレイアウト（西暦和暦変換テーブル）.xls</t>
    <phoneticPr fontId="1"/>
  </si>
  <si>
    <t>templates\freeMarker\EntityTemplate.fmt</t>
    <phoneticPr fontId="1"/>
  </si>
  <si>
    <t>templates\freeMarker\EntityIdTemplate.fmt</t>
    <phoneticPr fontId="1"/>
  </si>
  <si>
    <t>テーブルレイアウト定義書</t>
    <rPh sb="9" eb="11">
      <t>テイギ</t>
    </rPh>
    <rPh sb="11" eb="12">
      <t>ショ</t>
    </rPh>
    <phoneticPr fontId="3"/>
  </si>
  <si>
    <t>TABLE1</t>
    <phoneticPr fontId="3"/>
  </si>
  <si>
    <t>テーブル１</t>
    <phoneticPr fontId="3"/>
  </si>
  <si>
    <t>data\04_テーブルレイアウト（エラーコード管理）.xls</t>
    <phoneticPr fontId="1"/>
  </si>
  <si>
    <t>data\05_テーブルレイアウト（会員コード）.xls</t>
    <phoneticPr fontId="1"/>
  </si>
  <si>
    <t>data\06_テーブルレイアウト（締め日）.xls</t>
    <phoneticPr fontId="1"/>
  </si>
  <si>
    <t>src\main\java\com\kbn2\entrity</t>
    <phoneticPr fontId="1"/>
  </si>
  <si>
    <t>src\main\java\com\kbn2\repository</t>
    <phoneticPr fontId="1"/>
  </si>
  <si>
    <t>com.kbn2.entity</t>
    <phoneticPr fontId="1"/>
  </si>
  <si>
    <t>com.kbn2.repository</t>
    <phoneticPr fontId="1"/>
  </si>
  <si>
    <t>template\RepositoryTemplate.fmt</t>
    <phoneticPr fontId="1"/>
  </si>
  <si>
    <t>sag\conf</t>
    <phoneticPr fontId="1"/>
  </si>
  <si>
    <t>TABLE2</t>
    <phoneticPr fontId="3"/>
  </si>
  <si>
    <t>テーブル２</t>
    <phoneticPr fontId="3"/>
  </si>
  <si>
    <t>共通/エラー系</t>
    <phoneticPr fontId="3"/>
  </si>
  <si>
    <t>kbn1,kbn2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</si>
</sst>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411]ggge&quot;年&quot;mm&quot;月&quot;dd&quot;日&quot;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8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14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>
      <alignment vertical="center"/>
    </xf>
    <xf numFmtId="176" fontId="2" fillId="0" borderId="0"/>
    <xf numFmtId="0" fontId="2" fillId="0" borderId="0"/>
    <xf numFmtId="0" fontId="10" fillId="0" borderId="0">
      <alignment vertical="center"/>
    </xf>
    <xf numFmtId="38" fontId="2" fillId="0" borderId="0" applyFont="0" applyFill="0" applyBorder="0" applyAlignment="0" applyProtection="0"/>
    <xf numFmtId="0" fontId="2" fillId="0" borderId="0"/>
    <xf numFmtId="176" fontId="2" fillId="0" borderId="0"/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4" fillId="2" borderId="0" xfId="2" applyNumberFormat="1" applyFont="1" applyFill="1" applyAlignment="1">
      <alignment vertical="center"/>
    </xf>
    <xf numFmtId="0" fontId="5" fillId="2" borderId="0" xfId="2" applyNumberFormat="1" applyFont="1" applyFill="1" applyAlignment="1">
      <alignment vertical="center"/>
    </xf>
    <xf numFmtId="0" fontId="5" fillId="2" borderId="2" xfId="2" applyNumberFormat="1" applyFont="1" applyFill="1" applyBorder="1" applyAlignment="1">
      <alignment vertical="center"/>
    </xf>
    <xf numFmtId="0" fontId="5" fillId="2" borderId="3" xfId="2" applyNumberFormat="1" applyFont="1" applyFill="1" applyBorder="1" applyAlignment="1">
      <alignment vertical="center"/>
    </xf>
    <xf numFmtId="0" fontId="5" fillId="2" borderId="4" xfId="2" applyNumberFormat="1" applyFont="1" applyFill="1" applyBorder="1" applyAlignment="1">
      <alignment vertical="center"/>
    </xf>
    <xf numFmtId="0" fontId="5" fillId="2" borderId="8" xfId="2" applyNumberFormat="1" applyFont="1" applyFill="1" applyBorder="1" applyAlignment="1">
      <alignment vertical="center"/>
    </xf>
    <xf numFmtId="0" fontId="5" fillId="2" borderId="9" xfId="2" applyNumberFormat="1" applyFont="1" applyFill="1" applyBorder="1" applyAlignment="1">
      <alignment vertical="center"/>
    </xf>
    <xf numFmtId="0" fontId="5" fillId="2" borderId="0" xfId="2" applyNumberFormat="1" applyFont="1" applyFill="1" applyBorder="1" applyAlignment="1">
      <alignment vertical="center"/>
    </xf>
    <xf numFmtId="0" fontId="6" fillId="2" borderId="0" xfId="2" applyNumberFormat="1" applyFont="1" applyFill="1" applyAlignment="1">
      <alignment vertical="center"/>
    </xf>
    <xf numFmtId="0" fontId="6" fillId="2" borderId="8" xfId="2" applyNumberFormat="1" applyFont="1" applyFill="1" applyBorder="1" applyAlignment="1">
      <alignment vertical="center"/>
    </xf>
    <xf numFmtId="0" fontId="5" fillId="3" borderId="10" xfId="2" applyNumberFormat="1" applyFont="1" applyFill="1" applyBorder="1" applyAlignment="1">
      <alignment horizontal="center" vertical="center"/>
    </xf>
    <xf numFmtId="0" fontId="5" fillId="3" borderId="11" xfId="2" applyNumberFormat="1" applyFont="1" applyFill="1" applyBorder="1" applyAlignment="1">
      <alignment horizontal="center" vertical="center"/>
    </xf>
    <xf numFmtId="0" fontId="5" fillId="3" borderId="12" xfId="2" applyNumberFormat="1" applyFont="1" applyFill="1" applyBorder="1" applyAlignment="1">
      <alignment horizontal="center" vertical="center"/>
    </xf>
    <xf numFmtId="0" fontId="5" fillId="0" borderId="1" xfId="2" applyNumberFormat="1" applyFont="1" applyFill="1" applyBorder="1" applyAlignment="1">
      <alignment horizontal="right" vertical="center" shrinkToFit="1"/>
    </xf>
    <xf numFmtId="0" fontId="5" fillId="3" borderId="10" xfId="2" applyNumberFormat="1" applyFont="1" applyFill="1" applyBorder="1" applyAlignment="1">
      <alignment horizontal="center" vertical="center" shrinkToFit="1"/>
    </xf>
    <xf numFmtId="0" fontId="5" fillId="3" borderId="11" xfId="2" applyNumberFormat="1" applyFont="1" applyFill="1" applyBorder="1" applyAlignment="1">
      <alignment horizontal="center" vertical="center" shrinkToFit="1"/>
    </xf>
    <xf numFmtId="0" fontId="5" fillId="3" borderId="12" xfId="2" applyNumberFormat="1" applyFont="1" applyFill="1" applyBorder="1" applyAlignment="1">
      <alignment horizontal="center" vertical="center" shrinkToFit="1"/>
    </xf>
    <xf numFmtId="0" fontId="12" fillId="2" borderId="0" xfId="2" applyNumberFormat="1" applyFont="1" applyFill="1" applyAlignment="1">
      <alignment vertical="center"/>
    </xf>
    <xf numFmtId="0" fontId="5" fillId="2" borderId="5" xfId="2" applyNumberFormat="1" applyFont="1" applyFill="1" applyBorder="1" applyAlignment="1">
      <alignment vertical="center"/>
    </xf>
    <xf numFmtId="0" fontId="5" fillId="2" borderId="6" xfId="2" applyNumberFormat="1" applyFont="1" applyFill="1" applyBorder="1" applyAlignment="1">
      <alignment vertical="center"/>
    </xf>
    <xf numFmtId="0" fontId="5" fillId="3" borderId="6" xfId="2" applyNumberFormat="1" applyFont="1" applyFill="1" applyBorder="1" applyAlignment="1">
      <alignment vertical="center"/>
    </xf>
    <xf numFmtId="0" fontId="5" fillId="2" borderId="7" xfId="2" applyNumberFormat="1" applyFont="1" applyFill="1" applyBorder="1" applyAlignment="1">
      <alignment vertical="center"/>
    </xf>
    <xf numFmtId="0" fontId="5" fillId="2" borderId="0" xfId="2" applyNumberFormat="1" applyFont="1" applyFill="1" applyBorder="1" applyAlignment="1">
      <alignment horizontal="center" vertical="center"/>
    </xf>
    <xf numFmtId="0" fontId="5" fillId="2" borderId="6" xfId="2" applyNumberFormat="1" applyFont="1" applyFill="1" applyBorder="1" applyAlignment="1">
      <alignment horizontal="center" vertical="center"/>
    </xf>
    <xf numFmtId="0" fontId="4" fillId="2" borderId="0" xfId="4" applyFont="1" applyFill="1" applyAlignment="1">
      <alignment vertical="center"/>
    </xf>
    <xf numFmtId="0" fontId="5" fillId="2" borderId="0" xfId="4" applyFont="1" applyFill="1" applyAlignment="1">
      <alignment vertical="center"/>
    </xf>
    <xf numFmtId="0" fontId="6" fillId="2" borderId="0" xfId="4" applyFont="1" applyFill="1" applyAlignment="1">
      <alignment vertical="center"/>
    </xf>
    <xf numFmtId="0" fontId="12" fillId="2" borderId="0" xfId="4" applyFont="1" applyFill="1" applyAlignment="1">
      <alignment vertical="center"/>
    </xf>
    <xf numFmtId="0" fontId="0" fillId="0" borderId="1" xfId="0" quotePrefix="1" applyBorder="1">
      <alignment vertical="center"/>
    </xf>
    <xf numFmtId="0" fontId="5" fillId="3" borderId="13" xfId="2" applyNumberFormat="1" applyFont="1" applyFill="1" applyBorder="1" applyAlignment="1">
      <alignment vertical="center" wrapText="1"/>
    </xf>
    <xf numFmtId="0" fontId="5" fillId="3" borderId="14" xfId="2" applyNumberFormat="1" applyFont="1" applyFill="1" applyBorder="1" applyAlignment="1">
      <alignment vertical="center" wrapText="1"/>
    </xf>
    <xf numFmtId="0" fontId="5" fillId="3" borderId="15" xfId="2" applyNumberFormat="1" applyFont="1" applyFill="1" applyBorder="1" applyAlignment="1">
      <alignment vertical="center" wrapText="1"/>
    </xf>
    <xf numFmtId="0" fontId="5" fillId="3" borderId="13" xfId="4" applyFont="1" applyFill="1" applyBorder="1" applyAlignment="1">
      <alignment horizontal="center" vertical="center" shrinkToFit="1"/>
    </xf>
    <xf numFmtId="0" fontId="5" fillId="3" borderId="15" xfId="4" applyFont="1" applyFill="1" applyBorder="1" applyAlignment="1">
      <alignment horizontal="center" vertical="center" shrinkToFit="1"/>
    </xf>
    <xf numFmtId="0" fontId="5" fillId="3" borderId="13" xfId="2" applyNumberFormat="1" applyFont="1" applyFill="1" applyBorder="1" applyAlignment="1">
      <alignment vertical="center" shrinkToFit="1"/>
    </xf>
    <xf numFmtId="0" fontId="5" fillId="3" borderId="14" xfId="2" applyNumberFormat="1" applyFont="1" applyFill="1" applyBorder="1" applyAlignment="1">
      <alignment vertical="center" shrinkToFit="1"/>
    </xf>
    <xf numFmtId="0" fontId="5" fillId="3" borderId="15" xfId="2" applyNumberFormat="1" applyFont="1" applyFill="1" applyBorder="1" applyAlignment="1">
      <alignment vertical="center" shrinkToFit="1"/>
    </xf>
    <xf numFmtId="0" fontId="5" fillId="3" borderId="1" xfId="2" applyNumberFormat="1" applyFont="1" applyFill="1" applyBorder="1" applyAlignment="1">
      <alignment horizontal="center" vertical="center" shrinkToFit="1"/>
    </xf>
    <xf numFmtId="0" fontId="5" fillId="3" borderId="13" xfId="2" applyNumberFormat="1" applyFont="1" applyFill="1" applyBorder="1" applyAlignment="1">
      <alignment horizontal="center" vertical="center" shrinkToFit="1"/>
    </xf>
    <xf numFmtId="0" fontId="5" fillId="3" borderId="15" xfId="2" applyNumberFormat="1" applyFont="1" applyFill="1" applyBorder="1" applyAlignment="1">
      <alignment horizontal="center" vertical="center" shrinkToFit="1"/>
    </xf>
    <xf numFmtId="0" fontId="5" fillId="3" borderId="13" xfId="2" applyNumberFormat="1" applyFont="1" applyFill="1" applyBorder="1" applyAlignment="1">
      <alignment vertical="center"/>
    </xf>
    <xf numFmtId="0" fontId="5" fillId="3" borderId="14" xfId="2" applyNumberFormat="1" applyFont="1" applyFill="1" applyBorder="1" applyAlignment="1">
      <alignment vertical="center"/>
    </xf>
    <xf numFmtId="0" fontId="5" fillId="3" borderId="15" xfId="2" applyNumberFormat="1" applyFont="1" applyFill="1" applyBorder="1" applyAlignment="1">
      <alignment vertical="center"/>
    </xf>
    <xf numFmtId="0" fontId="5" fillId="3" borderId="1" xfId="2" applyNumberFormat="1" applyFont="1" applyFill="1" applyBorder="1" applyAlignment="1">
      <alignment horizontal="center" vertical="center"/>
    </xf>
    <xf numFmtId="0" fontId="5" fillId="3" borderId="1" xfId="2" applyNumberFormat="1" applyFont="1" applyFill="1" applyBorder="1" applyAlignment="1">
      <alignment horizontal="center" vertical="center" wrapText="1"/>
    </xf>
    <xf numFmtId="0" fontId="5" fillId="3" borderId="1" xfId="2" applyNumberFormat="1" applyFont="1" applyFill="1" applyBorder="1" applyAlignment="1">
      <alignment vertical="center"/>
    </xf>
    <xf numFmtId="0" fontId="5" fillId="0" borderId="1" xfId="2" applyNumberFormat="1" applyFont="1" applyFill="1" applyBorder="1" applyAlignment="1">
      <alignment vertical="center"/>
    </xf>
    <xf numFmtId="0" fontId="9" fillId="2" borderId="1" xfId="2" applyNumberFormat="1" applyFont="1" applyFill="1" applyBorder="1" applyAlignment="1">
      <alignment horizontal="center" vertical="center" wrapText="1"/>
    </xf>
    <xf numFmtId="0" fontId="9" fillId="2" borderId="1" xfId="2" applyNumberFormat="1" applyFont="1" applyFill="1" applyBorder="1" applyAlignment="1">
      <alignment horizontal="center" vertical="center"/>
    </xf>
    <xf numFmtId="0" fontId="5" fillId="2" borderId="2" xfId="2" applyNumberFormat="1" applyFont="1" applyFill="1" applyBorder="1" applyAlignment="1">
      <alignment horizontal="center" vertical="center"/>
    </xf>
    <xf numFmtId="0" fontId="5" fillId="2" borderId="3" xfId="2" applyNumberFormat="1" applyFont="1" applyFill="1" applyBorder="1" applyAlignment="1">
      <alignment horizontal="center" vertical="center"/>
    </xf>
    <xf numFmtId="0" fontId="5" fillId="2" borderId="4" xfId="2" applyNumberFormat="1" applyFont="1" applyFill="1" applyBorder="1" applyAlignment="1">
      <alignment horizontal="center" vertical="center"/>
    </xf>
    <xf numFmtId="0" fontId="5" fillId="2" borderId="5" xfId="2" applyNumberFormat="1" applyFont="1" applyFill="1" applyBorder="1" applyAlignment="1">
      <alignment horizontal="center" vertical="center"/>
    </xf>
    <xf numFmtId="0" fontId="5" fillId="2" borderId="6" xfId="2" applyNumberFormat="1" applyFont="1" applyFill="1" applyBorder="1" applyAlignment="1">
      <alignment horizontal="center" vertical="center"/>
    </xf>
    <xf numFmtId="0" fontId="5" fillId="2" borderId="7" xfId="2" applyNumberFormat="1" applyFont="1" applyFill="1" applyBorder="1" applyAlignment="1">
      <alignment horizontal="center" vertical="center"/>
    </xf>
    <xf numFmtId="0" fontId="5" fillId="2" borderId="1" xfId="2" quotePrefix="1" applyNumberFormat="1" applyFont="1" applyFill="1" applyBorder="1" applyAlignment="1">
      <alignment horizontal="center" vertical="center"/>
    </xf>
    <xf numFmtId="0" fontId="5" fillId="3" borderId="13" xfId="4" applyNumberFormat="1" applyFont="1" applyFill="1" applyBorder="1" applyAlignment="1">
      <alignment horizontal="center" vertical="center" shrinkToFit="1"/>
    </xf>
    <xf numFmtId="0" fontId="5" fillId="3" borderId="15" xfId="4" applyNumberFormat="1" applyFont="1" applyFill="1" applyBorder="1" applyAlignment="1">
      <alignment horizontal="center" vertical="center" shrinkToFit="1"/>
    </xf>
    <xf numFmtId="0" fontId="11" fillId="3" borderId="13" xfId="2" applyNumberFormat="1" applyFont="1" applyFill="1" applyBorder="1" applyAlignment="1">
      <alignment horizontal="center" vertical="center" shrinkToFit="1"/>
    </xf>
    <xf numFmtId="0" fontId="11" fillId="3" borderId="15" xfId="2" applyNumberFormat="1" applyFont="1" applyFill="1" applyBorder="1" applyAlignment="1">
      <alignment horizontal="center" vertical="center" shrinkToFit="1"/>
    </xf>
    <xf numFmtId="14" fontId="5" fillId="3" borderId="1" xfId="2" applyNumberFormat="1" applyFont="1" applyFill="1" applyBorder="1" applyAlignment="1">
      <alignment horizontal="center" vertical="center"/>
    </xf>
  </cellXfs>
  <cellStyles count="8">
    <cellStyle name="桁区切り 2" xfId="5"/>
    <cellStyle name="標準" xfId="0" builtinId="0"/>
    <cellStyle name="標準 2" xfId="1"/>
    <cellStyle name="標準 2 2" xfId="2"/>
    <cellStyle name="標準 2 2 2" xfId="6"/>
    <cellStyle name="標準 2 2 2 2" xfId="7"/>
    <cellStyle name="標準 3" xfId="3"/>
    <cellStyle name="標準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h184s20\A467\DOCUME~1\TIS298~1\LOCALS~1\Temp\C.Lotus.Notes.Data\&#12503;&#12525;&#12472;&#12455;&#12463;&#12488;&#23436;&#20102;&#22577;&#21578;&#26360;&#26360;&#24335;_200604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65332;&#65325;&#36039;&#26009;\&#26032;&#12486;&#12524;&#12510;(99shimo)\&#38283;&#30330;&#35336;&#30011;\OKADA\&#20491;&#20154;&#31649;&#29702;\95&#24180;&#24230;\95&#19979;&#35336;&#30011;\&#24403;&#21021;&#25237;&#2083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6.61.101\Ccms(Ccms-PJ_Internal_Use_Only)\650%20D&#12459;&#12540;&#12489;\050_&#20316;&#26989;&#12501;&#12457;&#12523;&#12480;\030_IF&#19968;&#35239;&#12539;IF&#12524;&#12452;&#12450;&#12454;&#12488;&#65288;&#20206;&#65289;\020_TIS&#29992;\215_&#12469;&#12540;&#12499;&#12473;&#20869;&#12452;&#12531;&#12479;&#12540;&#12501;&#12455;&#12540;&#12473;&#35373;&#35336;&#26360;_CCF721A33_CIC&#26085;&#27425;&#30331;&#37682;&#12510;&#12473;&#12479;&#29031;&#20250;&#38651;&#25991;&#65288;&#12522;&#12463;&#12456;&#12473;&#12488;&#65289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h184s20\A467\DOCUME~1\TIS298~1\LOCALS~1\Temp\C.Lotus.Notes.Data\&#12522;&#12473;&#12463;&#19968;&#35239;&#26360;&#24335;(2)20060123&#65288;&#12469;&#12531;&#12503;&#12523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プロジェクトプロフィール"/>
      <sheetName val="振り返り"/>
      <sheetName val="データ集計表≪新規開発・保守開発≫"/>
      <sheetName val="データ集計表≪保守≫"/>
      <sheetName val="データ集計表≪保守≫ (工数・規模・品質データ（案件明細）)"/>
      <sheetName val="分類(削除しないこと)"/>
      <sheetName val="選択肢(削除しないで下さい)"/>
    </sheetNames>
    <sheetDataSet>
      <sheetData sheetId="0"/>
      <sheetData sheetId="1"/>
      <sheetData sheetId="2"/>
      <sheetData sheetId="3"/>
      <sheetData sheetId="4"/>
      <sheetData sheetId="5" refreshError="1">
        <row r="2">
          <cell r="B2" t="str">
            <v>a：ワークフロー支援&amp;管理システム</v>
          </cell>
        </row>
        <row r="3">
          <cell r="B3" t="str">
            <v>b：ネットワーク管理システム</v>
          </cell>
        </row>
        <row r="4">
          <cell r="B4" t="str">
            <v>c：ジョブ管理・監視システム</v>
          </cell>
        </row>
        <row r="5">
          <cell r="B5" t="str">
            <v>d：プロセス制御システム</v>
          </cell>
        </row>
        <row r="6">
          <cell r="B6" t="str">
            <v>e：セキュリティシステム</v>
          </cell>
        </row>
        <row r="7">
          <cell r="B7" t="str">
            <v>f：金融取引処理システム</v>
          </cell>
        </row>
        <row r="8">
          <cell r="B8" t="str">
            <v>g：レポーティング</v>
          </cell>
        </row>
        <row r="9">
          <cell r="B9" t="str">
            <v>h：オンライン解析&amp;レポーティング</v>
          </cell>
        </row>
        <row r="10">
          <cell r="B10" t="str">
            <v>i：データ管理/マイニングシステム</v>
          </cell>
        </row>
        <row r="11">
          <cell r="B11" t="str">
            <v>j：Webポータルサイト</v>
          </cell>
        </row>
        <row r="12">
          <cell r="B12" t="str">
            <v>k：ERP</v>
          </cell>
        </row>
        <row r="13">
          <cell r="B13" t="str">
            <v>l：SCM</v>
          </cell>
        </row>
        <row r="14">
          <cell r="B14" t="str">
            <v>m：CRM/CTI</v>
          </cell>
        </row>
        <row r="15">
          <cell r="B15" t="str">
            <v>n：文書管理</v>
          </cell>
        </row>
        <row r="16">
          <cell r="B16" t="str">
            <v>o：ナレッジマネジメントシステム</v>
          </cell>
        </row>
        <row r="17">
          <cell r="B17" t="str">
            <v>p：カタログ処理・管理システム</v>
          </cell>
        </row>
        <row r="18">
          <cell r="B18" t="str">
            <v>q：数学モデリング(金融/工学)</v>
          </cell>
        </row>
        <row r="19">
          <cell r="B19" t="str">
            <v>r：3Dモデリング/アニメーション</v>
          </cell>
        </row>
        <row r="20">
          <cell r="B20" t="str">
            <v>s：地理/位置/空間情報システム</v>
          </cell>
        </row>
        <row r="21">
          <cell r="B21" t="str">
            <v>t：グラフィクス&amp;出版ツール/システム</v>
          </cell>
        </row>
        <row r="22">
          <cell r="B22" t="str">
            <v>u：画像</v>
          </cell>
        </row>
        <row r="23">
          <cell r="B23" t="str">
            <v>v：ビデオ</v>
          </cell>
        </row>
        <row r="24">
          <cell r="B24" t="str">
            <v>w：音声処理システム</v>
          </cell>
        </row>
        <row r="25">
          <cell r="B25" t="str">
            <v>x：組み込みソフトウェア(for 機械制御)</v>
          </cell>
        </row>
        <row r="26">
          <cell r="B26" t="str">
            <v>y：デバイスドライバ/インタフェースドライバ</v>
          </cell>
        </row>
        <row r="27">
          <cell r="B27" t="str">
            <v>z：OS/ソフトウェアユーティリティ</v>
          </cell>
        </row>
        <row r="28">
          <cell r="B28" t="str">
            <v>A：ソフトウェア開発ツール</v>
          </cell>
        </row>
        <row r="29">
          <cell r="B29" t="str">
            <v>B：個人向け製品(ワープロ，表計算ソフトなど)</v>
          </cell>
        </row>
        <row r="30">
          <cell r="B30" t="str">
            <v>C：EDI</v>
          </cell>
        </row>
        <row r="31">
          <cell r="B31" t="str">
            <v>D：EAI</v>
          </cell>
        </row>
        <row r="32">
          <cell r="B32" t="str">
            <v>E：エミュレータ</v>
          </cell>
        </row>
        <row r="33">
          <cell r="B33" t="str">
            <v>F：ファイル転送</v>
          </cell>
        </row>
        <row r="34">
          <cell r="B34" t="str">
            <v>G：その他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概略見積（資金）"/>
      <sheetName val="概略見積_資金_"/>
      <sheetName val="初期設定"/>
      <sheetName val="分類(削除しないこと)"/>
      <sheetName val="CRITERIA"/>
      <sheetName val="区分値"/>
      <sheetName val="当初投入"/>
      <sheetName val="リストボックス　バリューリスト"/>
      <sheetName val="リスト"/>
      <sheetName val="本番稼動体制oct_2nd"/>
      <sheetName val="DATA"/>
      <sheetName val="外部ﾃﾞｨｽｸ"/>
      <sheetName val="993Q"/>
      <sheetName val="AS120設定シート"/>
      <sheetName val="１．ジョブ実行ホスト一覧"/>
      <sheetName val="Sheet1"/>
      <sheetName val="#REF"/>
      <sheetName val="ＤＢ一覧"/>
      <sheetName val="会員"/>
      <sheetName val="F0BF8120ﾚｲｱｳﾄ"/>
    </sheetNames>
    <sheetDataSet>
      <sheetData sheetId="0" refreshError="1">
        <row r="1">
          <cell r="E1" t="str">
            <v>　</v>
          </cell>
          <cell r="F1" t="str">
            <v>　　　</v>
          </cell>
          <cell r="G1">
            <v>0</v>
          </cell>
          <cell r="H1">
            <v>0</v>
          </cell>
          <cell r="I1" t="str">
            <v>　</v>
          </cell>
          <cell r="J1" t="str">
            <v>　　　</v>
          </cell>
          <cell r="K1" t="str">
            <v>　　　　　　　　　　　単位:人日　　　　95/08/23　　　TIS</v>
          </cell>
          <cell r="L1" t="str">
            <v>　　　</v>
          </cell>
        </row>
        <row r="2">
          <cell r="A2" t="str">
            <v>NO</v>
          </cell>
          <cell r="B2" t="str">
            <v>案件名</v>
          </cell>
          <cell r="C2" t="str">
            <v>対応AP</v>
          </cell>
          <cell r="D2" t="str">
            <v>要件確認</v>
          </cell>
          <cell r="E2" t="str">
            <v>仕様確認</v>
          </cell>
          <cell r="F2" t="str">
            <v>内部設計</v>
          </cell>
          <cell r="G2" t="str">
            <v>製造</v>
          </cell>
          <cell r="H2" t="str">
            <v>単体ﾃｽﾄ</v>
          </cell>
          <cell r="I2" t="str">
            <v>接続ﾃｽﾄ</v>
          </cell>
          <cell r="J2" t="str">
            <v>工数合計</v>
          </cell>
          <cell r="K2" t="str">
            <v>備考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変更履歴"/>
      <sheetName val="個社拡張"/>
      <sheetName val="インターフェース仕様"/>
      <sheetName val="レコード構成"/>
      <sheetName val="参照依頼データ（CIC日次）"/>
      <sheetName val="データ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データタイプ</v>
          </cell>
          <cell r="B1" t="str">
            <v>データタイプ【階層構造】</v>
          </cell>
          <cell r="C1" t="str">
            <v>授受方式</v>
          </cell>
          <cell r="D1" t="str">
            <v>文字コード</v>
          </cell>
          <cell r="E1" t="str">
            <v>プラガブルフォーム</v>
          </cell>
          <cell r="F1" t="str">
            <v>個社拡張</v>
          </cell>
          <cell r="G1" t="str">
            <v>プラガブルフォーム未使用以外</v>
          </cell>
        </row>
        <row r="3">
          <cell r="A3" t="str">
            <v>半角</v>
          </cell>
          <cell r="B3" t="str">
            <v>半角</v>
          </cell>
          <cell r="C3" t="str">
            <v>HULFT</v>
          </cell>
          <cell r="D3" t="str">
            <v>windows-31j</v>
          </cell>
          <cell r="E3" t="str">
            <v>○</v>
          </cell>
          <cell r="F3" t="str">
            <v>追加</v>
          </cell>
          <cell r="G3" t="str">
            <v>○</v>
          </cell>
        </row>
        <row r="4">
          <cell r="A4" t="str">
            <v>全角</v>
          </cell>
          <cell r="B4" t="str">
            <v>全角</v>
          </cell>
          <cell r="C4" t="str">
            <v>MQ</v>
          </cell>
          <cell r="D4" t="str">
            <v>UTF-8</v>
          </cell>
          <cell r="E4" t="str">
            <v>未使用</v>
          </cell>
          <cell r="F4" t="str">
            <v>変更</v>
          </cell>
        </row>
        <row r="5">
          <cell r="A5" t="str">
            <v>全半角</v>
          </cell>
          <cell r="B5" t="str">
            <v>全半角</v>
          </cell>
          <cell r="C5" t="str">
            <v>HTTP</v>
          </cell>
          <cell r="D5" t="str">
            <v>UTF-16LE</v>
          </cell>
          <cell r="F5" t="str">
            <v>削除</v>
          </cell>
        </row>
        <row r="6">
          <cell r="A6" t="str">
            <v>符号無ゾーン10進数</v>
          </cell>
          <cell r="B6" t="str">
            <v>符号無数値</v>
          </cell>
          <cell r="C6" t="str">
            <v>SOCKET</v>
          </cell>
          <cell r="D6" t="str">
            <v>UTF-16BE</v>
          </cell>
        </row>
        <row r="7">
          <cell r="A7" t="str">
            <v>符号付ゾーン10進数</v>
          </cell>
          <cell r="B7" t="str">
            <v>符号付数値</v>
          </cell>
          <cell r="C7" t="str">
            <v>SCP</v>
          </cell>
          <cell r="D7" t="str">
            <v>EUC-JP</v>
          </cell>
        </row>
        <row r="8">
          <cell r="A8" t="str">
            <v>符号無パック10進数</v>
          </cell>
          <cell r="B8" t="str">
            <v>オブジェクト</v>
          </cell>
        </row>
        <row r="9">
          <cell r="A9" t="str">
            <v>符号付パック10進数</v>
          </cell>
          <cell r="B9" t="str">
            <v>真偽値</v>
          </cell>
        </row>
        <row r="10">
          <cell r="A10" t="str">
            <v>符号無数値</v>
          </cell>
        </row>
        <row r="11">
          <cell r="A11" t="str">
            <v>符号付数値</v>
          </cell>
        </row>
        <row r="12">
          <cell r="A12" t="str">
            <v>バイナリ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リスク一覧"/>
      <sheetName val="リスク区分（入力規則）"/>
      <sheetName val="リスク区分"/>
    </sheetNames>
    <sheetDataSet>
      <sheetData sheetId="0"/>
      <sheetData sheetId="1">
        <row r="2">
          <cell r="B2" t="str">
            <v>【リスク区分】</v>
          </cell>
        </row>
        <row r="3">
          <cell r="B3" t="str">
            <v>A   ビジネス</v>
          </cell>
        </row>
        <row r="4">
          <cell r="B4" t="str">
            <v>A1  ビジネス上の変化</v>
          </cell>
        </row>
        <row r="5">
          <cell r="B5" t="str">
            <v>A11 事業の合弁／撤退</v>
          </cell>
        </row>
        <row r="6">
          <cell r="B6" t="str">
            <v>A12 ビジネスモデルの変更(BPRの結果として)</v>
          </cell>
        </row>
        <row r="7">
          <cell r="B7" t="str">
            <v>A13 配置転換、早期退職、レイオフ</v>
          </cell>
        </row>
        <row r="8">
          <cell r="B8" t="str">
            <v>A14 法律や制度の変更</v>
          </cell>
        </row>
        <row r="9">
          <cell r="B9" t="str">
            <v>A15 訴訟</v>
          </cell>
        </row>
        <row r="10">
          <cell r="B10" t="str">
            <v>A16 自然災害、戦争等</v>
          </cell>
        </row>
        <row r="11">
          <cell r="B11" t="str">
            <v>A17 風評、噂</v>
          </cell>
        </row>
        <row r="12">
          <cell r="B12" t="str">
            <v>A19 その他</v>
          </cell>
        </row>
        <row r="13">
          <cell r="B13" t="str">
            <v>A9  その他</v>
          </cell>
        </row>
        <row r="14">
          <cell r="B14" t="str">
            <v>B   マネジメント／お客様</v>
          </cell>
        </row>
        <row r="15">
          <cell r="B15" t="str">
            <v>B1  コミュニケーション</v>
          </cell>
        </row>
        <row r="16">
          <cell r="B16" t="str">
            <v>B11 要件定義へのお客様参画度合・要件定義が不正確、不十分</v>
          </cell>
        </row>
        <row r="17">
          <cell r="B17" t="str">
            <v>B12 お客様側キーマンの継続的参画・キーマンの人事異動</v>
          </cell>
        </row>
        <row r="18">
          <cell r="B18" t="str">
            <v>B13 お客様の過剰要求</v>
          </cell>
        </row>
        <row r="19">
          <cell r="B19" t="str">
            <v>B14 要件変更</v>
          </cell>
        </row>
        <row r="20">
          <cell r="B20" t="str">
            <v>B15 重要な機能の大幅削減</v>
          </cell>
        </row>
        <row r="21">
          <cell r="B21" t="str">
            <v>B16 要件の確定度合い</v>
          </cell>
        </row>
        <row r="22">
          <cell r="B22" t="str">
            <v>B17 お客様と他ベンダーとの役割分担、責任範囲、ルール</v>
          </cell>
        </row>
        <row r="23">
          <cell r="B23" t="str">
            <v>B18 お客様の承認</v>
          </cell>
        </row>
        <row r="24">
          <cell r="B24" t="str">
            <v>B19 その他</v>
          </cell>
        </row>
        <row r="25">
          <cell r="B25" t="str">
            <v>B2  人、組織</v>
          </cell>
        </row>
        <row r="26">
          <cell r="B26" t="str">
            <v>B21 お客様企業の組織、文化、風土</v>
          </cell>
        </row>
        <row r="27">
          <cell r="B27" t="str">
            <v>B22 お客様側責任者の社内における政治力</v>
          </cell>
        </row>
        <row r="28">
          <cell r="B28" t="str">
            <v>B23 お客様側責任者、組織のコミットメント(積極的な協力)</v>
          </cell>
        </row>
        <row r="29">
          <cell r="B29" t="str">
            <v>B29 その他</v>
          </cell>
        </row>
        <row r="30">
          <cell r="B30" t="str">
            <v>B9  その他</v>
          </cell>
        </row>
        <row r="31">
          <cell r="B31" t="str">
            <v>C   技術／製品</v>
          </cell>
        </row>
        <row r="32">
          <cell r="B32" t="str">
            <v>C1  技術／製品</v>
          </cell>
        </row>
        <row r="33">
          <cell r="B33" t="str">
            <v>C11 技術／製品選定の方向性間違い</v>
          </cell>
        </row>
        <row r="34">
          <cell r="B34" t="str">
            <v>C12 新技術の採用</v>
          </cell>
        </row>
        <row r="35">
          <cell r="B35" t="str">
            <v>C13 製品／ツールの品質</v>
          </cell>
        </row>
        <row r="36">
          <cell r="B36" t="str">
            <v>C14 製品／ツールベンダーの方針転換、買収等</v>
          </cell>
        </row>
        <row r="37">
          <cell r="B37" t="str">
            <v>C19 その他</v>
          </cell>
        </row>
        <row r="38">
          <cell r="B38" t="str">
            <v>C9  その他</v>
          </cell>
        </row>
        <row r="39">
          <cell r="B39" t="str">
            <v>D   システム開発</v>
          </cell>
        </row>
        <row r="40">
          <cell r="B40" t="str">
            <v>D1  システム自体</v>
          </cell>
        </row>
        <row r="41">
          <cell r="B41" t="str">
            <v>D11 システムの規模</v>
          </cell>
        </row>
        <row r="42">
          <cell r="B42" t="str">
            <v>D12 システムの品質</v>
          </cell>
        </row>
        <row r="43">
          <cell r="B43" t="str">
            <v>D13 開発スケジュールの余裕度合い</v>
          </cell>
        </row>
        <row r="44">
          <cell r="B44" t="str">
            <v>D14 システム開発の先例性</v>
          </cell>
        </row>
        <row r="45">
          <cell r="B45" t="str">
            <v>D15 システム開発の柔軟性</v>
          </cell>
        </row>
        <row r="46">
          <cell r="B46" t="str">
            <v>D16 アーキテクチャ／リスクの解決度合い</v>
          </cell>
        </row>
        <row r="47">
          <cell r="B47" t="str">
            <v>D19 その他</v>
          </cell>
        </row>
        <row r="48">
          <cell r="B48" t="str">
            <v>D2  マネジメント</v>
          </cell>
        </row>
        <row r="49">
          <cell r="B49" t="str">
            <v>D21 開発チームの体制、人材の不足</v>
          </cell>
        </row>
        <row r="50">
          <cell r="B50" t="str">
            <v>D22 お客様側チームメンバーの管理</v>
          </cell>
        </row>
        <row r="51">
          <cell r="B51" t="str">
            <v>D23 開発チームメンバーのコミットメント(積極的参画)</v>
          </cell>
        </row>
        <row r="52">
          <cell r="B52" t="str">
            <v>D24 開発チームメンバーの健康不良、事故</v>
          </cell>
        </row>
        <row r="53">
          <cell r="B53" t="str">
            <v>D25 開発環境</v>
          </cell>
        </row>
        <row r="54">
          <cell r="B54" t="str">
            <v>D29 その他</v>
          </cell>
        </row>
        <row r="55">
          <cell r="B55" t="str">
            <v>D3  開発チームの能力</v>
          </cell>
        </row>
        <row r="56">
          <cell r="B56" t="str">
            <v>D31 規模、コスト見積り</v>
          </cell>
        </row>
        <row r="57">
          <cell r="B57" t="str">
            <v>D32 プロジェクトマネジメント</v>
          </cell>
        </row>
        <row r="58">
          <cell r="B58" t="str">
            <v>D33 システム開発標準</v>
          </cell>
        </row>
        <row r="59">
          <cell r="B59" t="str">
            <v>D34 システム開発手順の成熟度合い</v>
          </cell>
        </row>
        <row r="60">
          <cell r="B60" t="str">
            <v>D35 あいまいな改善目標</v>
          </cell>
        </row>
        <row r="61">
          <cell r="B61" t="str">
            <v>D36 システム開発技術のスキル、生産性</v>
          </cell>
        </row>
        <row r="62">
          <cell r="B62" t="str">
            <v>D37 開発チームの凝集度、統制</v>
          </cell>
        </row>
        <row r="63">
          <cell r="B63" t="str">
            <v>D38 協力会社の能力</v>
          </cell>
        </row>
        <row r="64">
          <cell r="B64" t="str">
            <v>D39 不適切な構成管理</v>
          </cell>
        </row>
        <row r="65">
          <cell r="B65" t="str">
            <v>D39 その他</v>
          </cell>
        </row>
        <row r="66">
          <cell r="B66" t="str">
            <v>D4  システム運用</v>
          </cell>
        </row>
        <row r="67">
          <cell r="B67" t="str">
            <v>D41 高い保守コスト</v>
          </cell>
        </row>
        <row r="68">
          <cell r="B68" t="str">
            <v>D42 リカバリー</v>
          </cell>
        </row>
        <row r="69">
          <cell r="B69" t="str">
            <v>D49 その他</v>
          </cell>
        </row>
        <row r="70">
          <cell r="B70" t="str">
            <v>D5  技術要素</v>
          </cell>
        </row>
        <row r="71">
          <cell r="B71" t="str">
            <v>D51 レスポンス</v>
          </cell>
        </row>
        <row r="72">
          <cell r="B72" t="str">
            <v>D52 セキュリティ</v>
          </cell>
        </row>
        <row r="73">
          <cell r="B73" t="str">
            <v>D53 他システム、既存システムとのI/F</v>
          </cell>
        </row>
        <row r="74">
          <cell r="B74" t="str">
            <v>D54 障害バックアップ対策</v>
          </cell>
        </row>
        <row r="75">
          <cell r="B75" t="str">
            <v>D59 その他</v>
          </cell>
        </row>
        <row r="76">
          <cell r="B76" t="str">
            <v>D9  その他</v>
          </cell>
        </row>
        <row r="77">
          <cell r="B77" t="str">
            <v>E   自社</v>
          </cell>
        </row>
        <row r="78">
          <cell r="B78" t="str">
            <v>E1  自社の企業文化・企業施策</v>
          </cell>
        </row>
        <row r="79">
          <cell r="B79" t="str">
            <v>E31 改革への抵抗</v>
          </cell>
        </row>
        <row r="80">
          <cell r="B80" t="str">
            <v>E32 技術導入の遅れ</v>
          </cell>
        </row>
        <row r="81">
          <cell r="B81" t="str">
            <v>E33 専門分化の不足／不適切な専門分化</v>
          </cell>
        </row>
        <row r="82">
          <cell r="B82" t="str">
            <v>E34 拙劣な技術投資</v>
          </cell>
        </row>
        <row r="83">
          <cell r="B83" t="str">
            <v>E35 不適切な報償制度</v>
          </cell>
        </row>
        <row r="84">
          <cell r="B84" t="str">
            <v>E39 その他</v>
          </cell>
        </row>
        <row r="85">
          <cell r="B85" t="str">
            <v>E9  その他</v>
          </cell>
        </row>
        <row r="86">
          <cell r="B86" t="str">
            <v>Z   その他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15"/>
  <sheetViews>
    <sheetView tabSelected="1" workbookViewId="0">
      <selection activeCell="B4" sqref="B4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20</v>
      </c>
    </row>
    <row r="2" spans="2:4">
      <c r="B2" s="1" t="s">
        <v>24</v>
      </c>
      <c r="C2" s="1" t="s">
        <v>68</v>
      </c>
      <c r="D2" s="1" t="s">
        <v>21</v>
      </c>
    </row>
    <row r="3" spans="2:4">
      <c r="B3" s="1" t="s">
        <v>22</v>
      </c>
      <c r="C3" s="1" t="s">
        <v>196</v>
      </c>
      <c r="D3" s="1" t="s">
        <v>23</v>
      </c>
    </row>
    <row r="4" spans="2:4">
      <c r="B4" s="1" t="s">
        <v>76</v>
      </c>
      <c r="C4" s="1" t="s">
        <v>218</v>
      </c>
      <c r="D4" s="1" t="s">
        <v>77</v>
      </c>
    </row>
    <row r="5" spans="2:4">
      <c r="B5" s="1" t="s">
        <v>197</v>
      </c>
      <c r="C5" s="1" t="s">
        <v>214</v>
      </c>
      <c r="D5" s="1" t="s">
        <v>198</v>
      </c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D16"/>
  <sheetViews>
    <sheetView workbookViewId="0">
      <selection activeCell="AP7" sqref="AP7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20</v>
      </c>
    </row>
    <row r="2" spans="2:4">
      <c r="B2" s="1" t="s">
        <v>183</v>
      </c>
      <c r="C2" s="1" t="s">
        <v>186</v>
      </c>
      <c r="D2" s="1" t="s">
        <v>185</v>
      </c>
    </row>
    <row r="3" spans="2:4">
      <c r="B3" s="1" t="s">
        <v>187</v>
      </c>
      <c r="C3" s="33" t="s">
        <v>194</v>
      </c>
      <c r="D3" s="1" t="s">
        <v>188</v>
      </c>
    </row>
    <row r="4" spans="2:4">
      <c r="B4" s="1" t="s">
        <v>189</v>
      </c>
      <c r="C4" s="1" t="s">
        <v>192</v>
      </c>
      <c r="D4" s="1" t="s">
        <v>191</v>
      </c>
    </row>
    <row r="5" spans="2:4">
      <c r="B5" s="1"/>
      <c r="C5" s="1"/>
      <c r="D5" s="1"/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:B94"/>
  <sheetViews>
    <sheetView topLeftCell="B19" workbookViewId="0">
      <selection activeCell="B7" sqref="B7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199</v>
      </c>
    </row>
    <row r="6" spans="2:2">
      <c r="B6" s="1" t="s">
        <v>200</v>
      </c>
    </row>
    <row r="7" spans="2:2">
      <c r="B7" s="1"/>
    </row>
    <row r="8" spans="2:2">
      <c r="B8" s="1"/>
    </row>
    <row r="9" spans="2:2">
      <c r="B9" s="1"/>
    </row>
    <row r="10" spans="2:2">
      <c r="B10" s="1"/>
    </row>
    <row r="11" spans="2:2">
      <c r="B11" s="1"/>
    </row>
    <row r="12" spans="2:2">
      <c r="B12" s="1"/>
    </row>
    <row r="13" spans="2:2">
      <c r="B13" s="1"/>
    </row>
    <row r="14" spans="2:2">
      <c r="B14" s="1"/>
    </row>
    <row r="15" spans="2:2">
      <c r="B15" s="1"/>
    </row>
    <row r="16" spans="2:2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E5"/>
  <sheetViews>
    <sheetView topLeftCell="C1" workbookViewId="0">
      <selection activeCell="E4" sqref="E4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5.375" bestFit="1" customWidth="1"/>
    <col min="5" max="5" width="79" bestFit="1" customWidth="1"/>
  </cols>
  <sheetData>
    <row r="1" spans="2:5">
      <c r="B1" s="2" t="s">
        <v>5</v>
      </c>
      <c r="C1" s="2" t="s">
        <v>6</v>
      </c>
      <c r="D1" s="2" t="s">
        <v>2</v>
      </c>
      <c r="E1" s="4" t="s">
        <v>75</v>
      </c>
    </row>
    <row r="2" spans="2:5">
      <c r="B2" s="1" t="s">
        <v>201</v>
      </c>
      <c r="C2" s="1"/>
      <c r="D2" s="1" t="s">
        <v>70</v>
      </c>
      <c r="E2" s="1" t="s">
        <v>209</v>
      </c>
    </row>
    <row r="3" spans="2:5">
      <c r="B3" s="1" t="s">
        <v>202</v>
      </c>
      <c r="C3" s="1" t="s">
        <v>195</v>
      </c>
      <c r="D3" s="1" t="s">
        <v>71</v>
      </c>
      <c r="E3" s="1" t="s">
        <v>209</v>
      </c>
    </row>
    <row r="4" spans="2:5">
      <c r="B4" s="1"/>
      <c r="C4" s="1"/>
      <c r="D4" s="1"/>
      <c r="E4" s="1"/>
    </row>
    <row r="5" spans="2:5">
      <c r="B5" s="1"/>
      <c r="C5" s="1"/>
      <c r="D5" s="1"/>
      <c r="E5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BF49"/>
  <sheetViews>
    <sheetView view="pageBreakPreview" zoomScaleNormal="75" zoomScaleSheetLayoutView="100" workbookViewId="0">
      <selection activeCell="I7" sqref="I7:V7"/>
    </sheetView>
  </sheetViews>
  <sheetFormatPr defaultColWidth="3.125" defaultRowHeight="15" customHeight="1"/>
  <cols>
    <col min="1" max="1" width="1.625" style="5" customWidth="1"/>
    <col min="2" max="56" width="3.125" style="5" customWidth="1"/>
    <col min="57" max="57" width="1.625" style="5" customWidth="1"/>
    <col min="58" max="58" width="3.125" style="29"/>
    <col min="59" max="256" width="3.125" style="5"/>
    <col min="257" max="257" width="1.625" style="5" customWidth="1"/>
    <col min="258" max="312" width="3.125" style="5" customWidth="1"/>
    <col min="313" max="313" width="1.625" style="5" customWidth="1"/>
    <col min="314" max="512" width="3.125" style="5"/>
    <col min="513" max="513" width="1.625" style="5" customWidth="1"/>
    <col min="514" max="568" width="3.125" style="5" customWidth="1"/>
    <col min="569" max="569" width="1.625" style="5" customWidth="1"/>
    <col min="570" max="768" width="3.125" style="5"/>
    <col min="769" max="769" width="1.625" style="5" customWidth="1"/>
    <col min="770" max="824" width="3.125" style="5" customWidth="1"/>
    <col min="825" max="825" width="1.625" style="5" customWidth="1"/>
    <col min="826" max="1024" width="3.125" style="5"/>
    <col min="1025" max="1025" width="1.625" style="5" customWidth="1"/>
    <col min="1026" max="1080" width="3.125" style="5" customWidth="1"/>
    <col min="1081" max="1081" width="1.625" style="5" customWidth="1"/>
    <col min="1082" max="1280" width="3.125" style="5"/>
    <col min="1281" max="1281" width="1.625" style="5" customWidth="1"/>
    <col min="1282" max="1336" width="3.125" style="5" customWidth="1"/>
    <col min="1337" max="1337" width="1.625" style="5" customWidth="1"/>
    <col min="1338" max="1536" width="3.125" style="5"/>
    <col min="1537" max="1537" width="1.625" style="5" customWidth="1"/>
    <col min="1538" max="1592" width="3.125" style="5" customWidth="1"/>
    <col min="1593" max="1593" width="1.625" style="5" customWidth="1"/>
    <col min="1594" max="1792" width="3.125" style="5"/>
    <col min="1793" max="1793" width="1.625" style="5" customWidth="1"/>
    <col min="1794" max="1848" width="3.125" style="5" customWidth="1"/>
    <col min="1849" max="1849" width="1.625" style="5" customWidth="1"/>
    <col min="1850" max="2048" width="3.125" style="5"/>
    <col min="2049" max="2049" width="1.625" style="5" customWidth="1"/>
    <col min="2050" max="2104" width="3.125" style="5" customWidth="1"/>
    <col min="2105" max="2105" width="1.625" style="5" customWidth="1"/>
    <col min="2106" max="2304" width="3.125" style="5"/>
    <col min="2305" max="2305" width="1.625" style="5" customWidth="1"/>
    <col min="2306" max="2360" width="3.125" style="5" customWidth="1"/>
    <col min="2361" max="2361" width="1.625" style="5" customWidth="1"/>
    <col min="2362" max="2560" width="3.125" style="5"/>
    <col min="2561" max="2561" width="1.625" style="5" customWidth="1"/>
    <col min="2562" max="2616" width="3.125" style="5" customWidth="1"/>
    <col min="2617" max="2617" width="1.625" style="5" customWidth="1"/>
    <col min="2618" max="2816" width="3.125" style="5"/>
    <col min="2817" max="2817" width="1.625" style="5" customWidth="1"/>
    <col min="2818" max="2872" width="3.125" style="5" customWidth="1"/>
    <col min="2873" max="2873" width="1.625" style="5" customWidth="1"/>
    <col min="2874" max="3072" width="3.125" style="5"/>
    <col min="3073" max="3073" width="1.625" style="5" customWidth="1"/>
    <col min="3074" max="3128" width="3.125" style="5" customWidth="1"/>
    <col min="3129" max="3129" width="1.625" style="5" customWidth="1"/>
    <col min="3130" max="3328" width="3.125" style="5"/>
    <col min="3329" max="3329" width="1.625" style="5" customWidth="1"/>
    <col min="3330" max="3384" width="3.125" style="5" customWidth="1"/>
    <col min="3385" max="3385" width="1.625" style="5" customWidth="1"/>
    <col min="3386" max="3584" width="3.125" style="5"/>
    <col min="3585" max="3585" width="1.625" style="5" customWidth="1"/>
    <col min="3586" max="3640" width="3.125" style="5" customWidth="1"/>
    <col min="3641" max="3641" width="1.625" style="5" customWidth="1"/>
    <col min="3642" max="3840" width="3.125" style="5"/>
    <col min="3841" max="3841" width="1.625" style="5" customWidth="1"/>
    <col min="3842" max="3896" width="3.125" style="5" customWidth="1"/>
    <col min="3897" max="3897" width="1.625" style="5" customWidth="1"/>
    <col min="3898" max="4096" width="3.125" style="5"/>
    <col min="4097" max="4097" width="1.625" style="5" customWidth="1"/>
    <col min="4098" max="4152" width="3.125" style="5" customWidth="1"/>
    <col min="4153" max="4153" width="1.625" style="5" customWidth="1"/>
    <col min="4154" max="4352" width="3.125" style="5"/>
    <col min="4353" max="4353" width="1.625" style="5" customWidth="1"/>
    <col min="4354" max="4408" width="3.125" style="5" customWidth="1"/>
    <col min="4409" max="4409" width="1.625" style="5" customWidth="1"/>
    <col min="4410" max="4608" width="3.125" style="5"/>
    <col min="4609" max="4609" width="1.625" style="5" customWidth="1"/>
    <col min="4610" max="4664" width="3.125" style="5" customWidth="1"/>
    <col min="4665" max="4665" width="1.625" style="5" customWidth="1"/>
    <col min="4666" max="4864" width="3.125" style="5"/>
    <col min="4865" max="4865" width="1.625" style="5" customWidth="1"/>
    <col min="4866" max="4920" width="3.125" style="5" customWidth="1"/>
    <col min="4921" max="4921" width="1.625" style="5" customWidth="1"/>
    <col min="4922" max="5120" width="3.125" style="5"/>
    <col min="5121" max="5121" width="1.625" style="5" customWidth="1"/>
    <col min="5122" max="5176" width="3.125" style="5" customWidth="1"/>
    <col min="5177" max="5177" width="1.625" style="5" customWidth="1"/>
    <col min="5178" max="5376" width="3.125" style="5"/>
    <col min="5377" max="5377" width="1.625" style="5" customWidth="1"/>
    <col min="5378" max="5432" width="3.125" style="5" customWidth="1"/>
    <col min="5433" max="5433" width="1.625" style="5" customWidth="1"/>
    <col min="5434" max="5632" width="3.125" style="5"/>
    <col min="5633" max="5633" width="1.625" style="5" customWidth="1"/>
    <col min="5634" max="5688" width="3.125" style="5" customWidth="1"/>
    <col min="5689" max="5689" width="1.625" style="5" customWidth="1"/>
    <col min="5690" max="5888" width="3.125" style="5"/>
    <col min="5889" max="5889" width="1.625" style="5" customWidth="1"/>
    <col min="5890" max="5944" width="3.125" style="5" customWidth="1"/>
    <col min="5945" max="5945" width="1.625" style="5" customWidth="1"/>
    <col min="5946" max="6144" width="3.125" style="5"/>
    <col min="6145" max="6145" width="1.625" style="5" customWidth="1"/>
    <col min="6146" max="6200" width="3.125" style="5" customWidth="1"/>
    <col min="6201" max="6201" width="1.625" style="5" customWidth="1"/>
    <col min="6202" max="6400" width="3.125" style="5"/>
    <col min="6401" max="6401" width="1.625" style="5" customWidth="1"/>
    <col min="6402" max="6456" width="3.125" style="5" customWidth="1"/>
    <col min="6457" max="6457" width="1.625" style="5" customWidth="1"/>
    <col min="6458" max="6656" width="3.125" style="5"/>
    <col min="6657" max="6657" width="1.625" style="5" customWidth="1"/>
    <col min="6658" max="6712" width="3.125" style="5" customWidth="1"/>
    <col min="6713" max="6713" width="1.625" style="5" customWidth="1"/>
    <col min="6714" max="6912" width="3.125" style="5"/>
    <col min="6913" max="6913" width="1.625" style="5" customWidth="1"/>
    <col min="6914" max="6968" width="3.125" style="5" customWidth="1"/>
    <col min="6969" max="6969" width="1.625" style="5" customWidth="1"/>
    <col min="6970" max="7168" width="3.125" style="5"/>
    <col min="7169" max="7169" width="1.625" style="5" customWidth="1"/>
    <col min="7170" max="7224" width="3.125" style="5" customWidth="1"/>
    <col min="7225" max="7225" width="1.625" style="5" customWidth="1"/>
    <col min="7226" max="7424" width="3.125" style="5"/>
    <col min="7425" max="7425" width="1.625" style="5" customWidth="1"/>
    <col min="7426" max="7480" width="3.125" style="5" customWidth="1"/>
    <col min="7481" max="7481" width="1.625" style="5" customWidth="1"/>
    <col min="7482" max="7680" width="3.125" style="5"/>
    <col min="7681" max="7681" width="1.625" style="5" customWidth="1"/>
    <col min="7682" max="7736" width="3.125" style="5" customWidth="1"/>
    <col min="7737" max="7737" width="1.625" style="5" customWidth="1"/>
    <col min="7738" max="7936" width="3.125" style="5"/>
    <col min="7937" max="7937" width="1.625" style="5" customWidth="1"/>
    <col min="7938" max="7992" width="3.125" style="5" customWidth="1"/>
    <col min="7993" max="7993" width="1.625" style="5" customWidth="1"/>
    <col min="7994" max="8192" width="3.125" style="5"/>
    <col min="8193" max="8193" width="1.625" style="5" customWidth="1"/>
    <col min="8194" max="8248" width="3.125" style="5" customWidth="1"/>
    <col min="8249" max="8249" width="1.625" style="5" customWidth="1"/>
    <col min="8250" max="8448" width="3.125" style="5"/>
    <col min="8449" max="8449" width="1.625" style="5" customWidth="1"/>
    <col min="8450" max="8504" width="3.125" style="5" customWidth="1"/>
    <col min="8505" max="8505" width="1.625" style="5" customWidth="1"/>
    <col min="8506" max="8704" width="3.125" style="5"/>
    <col min="8705" max="8705" width="1.625" style="5" customWidth="1"/>
    <col min="8706" max="8760" width="3.125" style="5" customWidth="1"/>
    <col min="8761" max="8761" width="1.625" style="5" customWidth="1"/>
    <col min="8762" max="8960" width="3.125" style="5"/>
    <col min="8961" max="8961" width="1.625" style="5" customWidth="1"/>
    <col min="8962" max="9016" width="3.125" style="5" customWidth="1"/>
    <col min="9017" max="9017" width="1.625" style="5" customWidth="1"/>
    <col min="9018" max="9216" width="3.125" style="5"/>
    <col min="9217" max="9217" width="1.625" style="5" customWidth="1"/>
    <col min="9218" max="9272" width="3.125" style="5" customWidth="1"/>
    <col min="9273" max="9273" width="1.625" style="5" customWidth="1"/>
    <col min="9274" max="9472" width="3.125" style="5"/>
    <col min="9473" max="9473" width="1.625" style="5" customWidth="1"/>
    <col min="9474" max="9528" width="3.125" style="5" customWidth="1"/>
    <col min="9529" max="9529" width="1.625" style="5" customWidth="1"/>
    <col min="9530" max="9728" width="3.125" style="5"/>
    <col min="9729" max="9729" width="1.625" style="5" customWidth="1"/>
    <col min="9730" max="9784" width="3.125" style="5" customWidth="1"/>
    <col min="9785" max="9785" width="1.625" style="5" customWidth="1"/>
    <col min="9786" max="9984" width="3.125" style="5"/>
    <col min="9985" max="9985" width="1.625" style="5" customWidth="1"/>
    <col min="9986" max="10040" width="3.125" style="5" customWidth="1"/>
    <col min="10041" max="10041" width="1.625" style="5" customWidth="1"/>
    <col min="10042" max="10240" width="3.125" style="5"/>
    <col min="10241" max="10241" width="1.625" style="5" customWidth="1"/>
    <col min="10242" max="10296" width="3.125" style="5" customWidth="1"/>
    <col min="10297" max="10297" width="1.625" style="5" customWidth="1"/>
    <col min="10298" max="10496" width="3.125" style="5"/>
    <col min="10497" max="10497" width="1.625" style="5" customWidth="1"/>
    <col min="10498" max="10552" width="3.125" style="5" customWidth="1"/>
    <col min="10553" max="10553" width="1.625" style="5" customWidth="1"/>
    <col min="10554" max="10752" width="3.125" style="5"/>
    <col min="10753" max="10753" width="1.625" style="5" customWidth="1"/>
    <col min="10754" max="10808" width="3.125" style="5" customWidth="1"/>
    <col min="10809" max="10809" width="1.625" style="5" customWidth="1"/>
    <col min="10810" max="11008" width="3.125" style="5"/>
    <col min="11009" max="11009" width="1.625" style="5" customWidth="1"/>
    <col min="11010" max="11064" width="3.125" style="5" customWidth="1"/>
    <col min="11065" max="11065" width="1.625" style="5" customWidth="1"/>
    <col min="11066" max="11264" width="3.125" style="5"/>
    <col min="11265" max="11265" width="1.625" style="5" customWidth="1"/>
    <col min="11266" max="11320" width="3.125" style="5" customWidth="1"/>
    <col min="11321" max="11321" width="1.625" style="5" customWidth="1"/>
    <col min="11322" max="11520" width="3.125" style="5"/>
    <col min="11521" max="11521" width="1.625" style="5" customWidth="1"/>
    <col min="11522" max="11576" width="3.125" style="5" customWidth="1"/>
    <col min="11577" max="11577" width="1.625" style="5" customWidth="1"/>
    <col min="11578" max="11776" width="3.125" style="5"/>
    <col min="11777" max="11777" width="1.625" style="5" customWidth="1"/>
    <col min="11778" max="11832" width="3.125" style="5" customWidth="1"/>
    <col min="11833" max="11833" width="1.625" style="5" customWidth="1"/>
    <col min="11834" max="12032" width="3.125" style="5"/>
    <col min="12033" max="12033" width="1.625" style="5" customWidth="1"/>
    <col min="12034" max="12088" width="3.125" style="5" customWidth="1"/>
    <col min="12089" max="12089" width="1.625" style="5" customWidth="1"/>
    <col min="12090" max="12288" width="3.125" style="5"/>
    <col min="12289" max="12289" width="1.625" style="5" customWidth="1"/>
    <col min="12290" max="12344" width="3.125" style="5" customWidth="1"/>
    <col min="12345" max="12345" width="1.625" style="5" customWidth="1"/>
    <col min="12346" max="12544" width="3.125" style="5"/>
    <col min="12545" max="12545" width="1.625" style="5" customWidth="1"/>
    <col min="12546" max="12600" width="3.125" style="5" customWidth="1"/>
    <col min="12601" max="12601" width="1.625" style="5" customWidth="1"/>
    <col min="12602" max="12800" width="3.125" style="5"/>
    <col min="12801" max="12801" width="1.625" style="5" customWidth="1"/>
    <col min="12802" max="12856" width="3.125" style="5" customWidth="1"/>
    <col min="12857" max="12857" width="1.625" style="5" customWidth="1"/>
    <col min="12858" max="13056" width="3.125" style="5"/>
    <col min="13057" max="13057" width="1.625" style="5" customWidth="1"/>
    <col min="13058" max="13112" width="3.125" style="5" customWidth="1"/>
    <col min="13113" max="13113" width="1.625" style="5" customWidth="1"/>
    <col min="13114" max="13312" width="3.125" style="5"/>
    <col min="13313" max="13313" width="1.625" style="5" customWidth="1"/>
    <col min="13314" max="13368" width="3.125" style="5" customWidth="1"/>
    <col min="13369" max="13369" width="1.625" style="5" customWidth="1"/>
    <col min="13370" max="13568" width="3.125" style="5"/>
    <col min="13569" max="13569" width="1.625" style="5" customWidth="1"/>
    <col min="13570" max="13624" width="3.125" style="5" customWidth="1"/>
    <col min="13625" max="13625" width="1.625" style="5" customWidth="1"/>
    <col min="13626" max="13824" width="3.125" style="5"/>
    <col min="13825" max="13825" width="1.625" style="5" customWidth="1"/>
    <col min="13826" max="13880" width="3.125" style="5" customWidth="1"/>
    <col min="13881" max="13881" width="1.625" style="5" customWidth="1"/>
    <col min="13882" max="14080" width="3.125" style="5"/>
    <col min="14081" max="14081" width="1.625" style="5" customWidth="1"/>
    <col min="14082" max="14136" width="3.125" style="5" customWidth="1"/>
    <col min="14137" max="14137" width="1.625" style="5" customWidth="1"/>
    <col min="14138" max="14336" width="3.125" style="5"/>
    <col min="14337" max="14337" width="1.625" style="5" customWidth="1"/>
    <col min="14338" max="14392" width="3.125" style="5" customWidth="1"/>
    <col min="14393" max="14393" width="1.625" style="5" customWidth="1"/>
    <col min="14394" max="14592" width="3.125" style="5"/>
    <col min="14593" max="14593" width="1.625" style="5" customWidth="1"/>
    <col min="14594" max="14648" width="3.125" style="5" customWidth="1"/>
    <col min="14649" max="14649" width="1.625" style="5" customWidth="1"/>
    <col min="14650" max="14848" width="3.125" style="5"/>
    <col min="14849" max="14849" width="1.625" style="5" customWidth="1"/>
    <col min="14850" max="14904" width="3.125" style="5" customWidth="1"/>
    <col min="14905" max="14905" width="1.625" style="5" customWidth="1"/>
    <col min="14906" max="15104" width="3.125" style="5"/>
    <col min="15105" max="15105" width="1.625" style="5" customWidth="1"/>
    <col min="15106" max="15160" width="3.125" style="5" customWidth="1"/>
    <col min="15161" max="15161" width="1.625" style="5" customWidth="1"/>
    <col min="15162" max="15360" width="3.125" style="5"/>
    <col min="15361" max="15361" width="1.625" style="5" customWidth="1"/>
    <col min="15362" max="15416" width="3.125" style="5" customWidth="1"/>
    <col min="15417" max="15417" width="1.625" style="5" customWidth="1"/>
    <col min="15418" max="15616" width="3.125" style="5"/>
    <col min="15617" max="15617" width="1.625" style="5" customWidth="1"/>
    <col min="15618" max="15672" width="3.125" style="5" customWidth="1"/>
    <col min="15673" max="15673" width="1.625" style="5" customWidth="1"/>
    <col min="15674" max="15872" width="3.125" style="5"/>
    <col min="15873" max="15873" width="1.625" style="5" customWidth="1"/>
    <col min="15874" max="15928" width="3.125" style="5" customWidth="1"/>
    <col min="15929" max="15929" width="1.625" style="5" customWidth="1"/>
    <col min="15930" max="16128" width="3.125" style="5"/>
    <col min="16129" max="16129" width="1.625" style="5" customWidth="1"/>
    <col min="16130" max="16184" width="3.125" style="5" customWidth="1"/>
    <col min="16185" max="16185" width="1.625" style="5" customWidth="1"/>
    <col min="16186" max="16384" width="3.125" style="5"/>
  </cols>
  <sheetData>
    <row r="1" spans="1:58" ht="15" customHeight="1">
      <c r="A1" s="52" t="s">
        <v>203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V1" s="48" t="s">
        <v>7</v>
      </c>
      <c r="W1" s="48"/>
      <c r="X1" s="48"/>
      <c r="Y1" s="48"/>
      <c r="Z1" s="48"/>
      <c r="AA1" s="54" t="s">
        <v>149</v>
      </c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6"/>
      <c r="AP1" s="6"/>
      <c r="AQ1" s="48" t="s">
        <v>8</v>
      </c>
      <c r="AR1" s="48"/>
      <c r="AS1" s="48"/>
      <c r="AT1" s="48"/>
      <c r="AU1" s="48"/>
      <c r="AV1" s="60"/>
      <c r="AW1" s="48"/>
      <c r="AX1" s="48"/>
      <c r="AY1" s="48"/>
      <c r="AZ1" s="48"/>
      <c r="BA1" s="48"/>
      <c r="BB1" s="48"/>
      <c r="BC1" s="48"/>
      <c r="BD1" s="48"/>
      <c r="BE1" s="48"/>
    </row>
    <row r="2" spans="1:58" ht="15" customHeight="1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V2" s="48"/>
      <c r="W2" s="48"/>
      <c r="X2" s="48"/>
      <c r="Y2" s="48"/>
      <c r="Z2" s="48"/>
      <c r="AA2" s="57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9"/>
      <c r="AP2" s="6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</row>
    <row r="3" spans="1:58" ht="15" customHeight="1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V3" s="48" t="s">
        <v>9</v>
      </c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6"/>
      <c r="AQ3" s="48" t="s">
        <v>10</v>
      </c>
      <c r="AR3" s="48"/>
      <c r="AS3" s="48"/>
      <c r="AT3" s="48"/>
      <c r="AU3" s="48"/>
      <c r="AV3" s="60"/>
      <c r="AW3" s="48"/>
      <c r="AX3" s="48"/>
      <c r="AY3" s="48"/>
      <c r="AZ3" s="48"/>
      <c r="BA3" s="48"/>
      <c r="BB3" s="48"/>
      <c r="BC3" s="48"/>
      <c r="BD3" s="48"/>
      <c r="BE3" s="48"/>
    </row>
    <row r="4" spans="1:58" ht="15" customHeight="1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6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</row>
    <row r="5" spans="1:58" ht="11.25" customHeight="1"/>
    <row r="6" spans="1:58" ht="10.35" customHeight="1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9"/>
    </row>
    <row r="7" spans="1:58" s="6" customFormat="1" ht="15" customHeight="1">
      <c r="A7" s="10"/>
      <c r="B7" s="48" t="s">
        <v>67</v>
      </c>
      <c r="C7" s="48"/>
      <c r="D7" s="48"/>
      <c r="E7" s="48"/>
      <c r="F7" s="48"/>
      <c r="G7" s="48"/>
      <c r="H7" s="48"/>
      <c r="I7" s="50" t="s">
        <v>204</v>
      </c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48" t="s">
        <v>12</v>
      </c>
      <c r="AZ7" s="48"/>
      <c r="BA7" s="48"/>
      <c r="BB7" s="48">
        <f>X41-1</f>
        <v>165</v>
      </c>
      <c r="BC7" s="48"/>
      <c r="BD7" s="48"/>
      <c r="BE7" s="11"/>
      <c r="BF7" s="30"/>
    </row>
    <row r="8" spans="1:58" s="6" customFormat="1" ht="15" customHeight="1">
      <c r="A8" s="10"/>
      <c r="B8" s="48" t="s">
        <v>25</v>
      </c>
      <c r="C8" s="48"/>
      <c r="D8" s="48"/>
      <c r="E8" s="48"/>
      <c r="F8" s="48"/>
      <c r="G8" s="48"/>
      <c r="H8" s="48"/>
      <c r="I8" s="50" t="s">
        <v>205</v>
      </c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48" t="s">
        <v>11</v>
      </c>
      <c r="X8" s="48"/>
      <c r="Y8" s="48"/>
      <c r="Z8" s="48"/>
      <c r="AA8" s="48"/>
      <c r="AB8" s="48"/>
      <c r="AC8" s="48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11"/>
      <c r="BF8" s="30"/>
    </row>
    <row r="9" spans="1:58" s="13" customFormat="1" ht="15" customHeight="1">
      <c r="A9" s="10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1"/>
      <c r="BF9" s="31"/>
    </row>
    <row r="10" spans="1:58" s="13" customFormat="1" ht="15" customHeight="1">
      <c r="A10" s="14"/>
      <c r="B10" s="48" t="s">
        <v>79</v>
      </c>
      <c r="C10" s="48" t="s">
        <v>13</v>
      </c>
      <c r="D10" s="48"/>
      <c r="E10" s="48"/>
      <c r="F10" s="48"/>
      <c r="G10" s="48"/>
      <c r="H10" s="48"/>
      <c r="I10" s="48"/>
      <c r="J10" s="48"/>
      <c r="K10" s="48"/>
      <c r="L10" s="48" t="s">
        <v>14</v>
      </c>
      <c r="M10" s="48"/>
      <c r="N10" s="48"/>
      <c r="O10" s="48"/>
      <c r="P10" s="48"/>
      <c r="Q10" s="48"/>
      <c r="R10" s="48" t="s">
        <v>15</v>
      </c>
      <c r="S10" s="48"/>
      <c r="T10" s="48" t="s">
        <v>16</v>
      </c>
      <c r="U10" s="48"/>
      <c r="V10" s="48" t="s">
        <v>17</v>
      </c>
      <c r="W10" s="48"/>
      <c r="X10" s="48" t="s">
        <v>18</v>
      </c>
      <c r="Y10" s="48"/>
      <c r="Z10" s="49" t="s">
        <v>150</v>
      </c>
      <c r="AA10" s="48"/>
      <c r="AB10" s="49" t="s">
        <v>26</v>
      </c>
      <c r="AC10" s="48"/>
      <c r="AD10" s="48" t="s">
        <v>80</v>
      </c>
      <c r="AE10" s="48"/>
      <c r="AF10" s="48" t="s">
        <v>92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 t="s">
        <v>72</v>
      </c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11"/>
      <c r="BF10" s="31"/>
    </row>
    <row r="11" spans="1:58" s="13" customFormat="1" ht="15" customHeight="1">
      <c r="A11" s="14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15">
        <v>1</v>
      </c>
      <c r="AG11" s="16">
        <v>2</v>
      </c>
      <c r="AH11" s="16">
        <v>3</v>
      </c>
      <c r="AI11" s="16">
        <v>4</v>
      </c>
      <c r="AJ11" s="16">
        <v>5</v>
      </c>
      <c r="AK11" s="16">
        <v>6</v>
      </c>
      <c r="AL11" s="16">
        <v>7</v>
      </c>
      <c r="AM11" s="16">
        <v>8</v>
      </c>
      <c r="AN11" s="16">
        <v>9</v>
      </c>
      <c r="AO11" s="17">
        <v>10</v>
      </c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11"/>
      <c r="BF11" s="31"/>
    </row>
    <row r="12" spans="1:58" s="13" customFormat="1" ht="15" customHeight="1">
      <c r="A12" s="10"/>
      <c r="B12" s="18">
        <v>1</v>
      </c>
      <c r="C12" s="39" t="s">
        <v>151</v>
      </c>
      <c r="D12" s="40"/>
      <c r="E12" s="40"/>
      <c r="F12" s="40"/>
      <c r="G12" s="40"/>
      <c r="H12" s="40"/>
      <c r="I12" s="40"/>
      <c r="J12" s="40"/>
      <c r="K12" s="41"/>
      <c r="L12" s="39" t="s">
        <v>152</v>
      </c>
      <c r="M12" s="40"/>
      <c r="N12" s="40"/>
      <c r="O12" s="40"/>
      <c r="P12" s="40"/>
      <c r="Q12" s="41"/>
      <c r="R12" s="43" t="s">
        <v>19</v>
      </c>
      <c r="S12" s="44"/>
      <c r="T12" s="43">
        <v>20</v>
      </c>
      <c r="U12" s="44"/>
      <c r="V12" s="43">
        <f t="shared" ref="V12:V41" si="0">IF(R12&lt;&gt;"",IF(R12="N",T12*2,IF(R12="DATE",8,IF(R12="TIME",6,T12))),"")</f>
        <v>20</v>
      </c>
      <c r="W12" s="44"/>
      <c r="X12" s="43">
        <f>IF(C12&lt;&gt;"",1,"")</f>
        <v>1</v>
      </c>
      <c r="Y12" s="44"/>
      <c r="Z12" s="43" t="s">
        <v>94</v>
      </c>
      <c r="AA12" s="44"/>
      <c r="AB12" s="43"/>
      <c r="AC12" s="44"/>
      <c r="AD12" s="43">
        <v>1</v>
      </c>
      <c r="AE12" s="44"/>
      <c r="AF12" s="19"/>
      <c r="AG12" s="20"/>
      <c r="AH12" s="20"/>
      <c r="AI12" s="20"/>
      <c r="AJ12" s="20"/>
      <c r="AK12" s="20"/>
      <c r="AL12" s="20"/>
      <c r="AM12" s="20"/>
      <c r="AN12" s="20"/>
      <c r="AO12" s="21"/>
      <c r="AP12" s="45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7"/>
      <c r="BE12" s="11"/>
      <c r="BF12" s="31"/>
    </row>
    <row r="13" spans="1:58" s="13" customFormat="1" ht="15" customHeight="1">
      <c r="A13" s="10"/>
      <c r="B13" s="18">
        <f>B12+1</f>
        <v>2</v>
      </c>
      <c r="C13" s="39" t="s">
        <v>81</v>
      </c>
      <c r="D13" s="40"/>
      <c r="E13" s="40"/>
      <c r="F13" s="40"/>
      <c r="G13" s="40"/>
      <c r="H13" s="40"/>
      <c r="I13" s="40"/>
      <c r="J13" s="40"/>
      <c r="K13" s="41"/>
      <c r="L13" s="39" t="s">
        <v>82</v>
      </c>
      <c r="M13" s="40"/>
      <c r="N13" s="40"/>
      <c r="O13" s="40"/>
      <c r="P13" s="40"/>
      <c r="Q13" s="41"/>
      <c r="R13" s="43" t="s">
        <v>19</v>
      </c>
      <c r="S13" s="44"/>
      <c r="T13" s="43">
        <v>3</v>
      </c>
      <c r="U13" s="44"/>
      <c r="V13" s="43">
        <f t="shared" si="0"/>
        <v>3</v>
      </c>
      <c r="W13" s="44"/>
      <c r="X13" s="43">
        <f>IF(C13&lt;&gt;"",IF(V12="",X12,V12+X12),"")</f>
        <v>21</v>
      </c>
      <c r="Y13" s="44"/>
      <c r="Z13" s="43" t="s">
        <v>94</v>
      </c>
      <c r="AA13" s="44"/>
      <c r="AB13" s="43"/>
      <c r="AC13" s="44"/>
      <c r="AD13" s="43">
        <v>2</v>
      </c>
      <c r="AE13" s="44"/>
      <c r="AF13" s="19"/>
      <c r="AG13" s="20"/>
      <c r="AH13" s="20"/>
      <c r="AI13" s="20"/>
      <c r="AJ13" s="20"/>
      <c r="AK13" s="20"/>
      <c r="AL13" s="20"/>
      <c r="AM13" s="20"/>
      <c r="AN13" s="20"/>
      <c r="AO13" s="21"/>
      <c r="AP13" s="34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6"/>
      <c r="BE13" s="11"/>
      <c r="BF13" s="31"/>
    </row>
    <row r="14" spans="1:58" s="13" customFormat="1" ht="15" customHeight="1">
      <c r="A14" s="10"/>
      <c r="B14" s="18">
        <f t="shared" ref="B14:B40" si="1">B13+1</f>
        <v>3</v>
      </c>
      <c r="C14" s="39" t="s">
        <v>35</v>
      </c>
      <c r="D14" s="40"/>
      <c r="E14" s="40"/>
      <c r="F14" s="40"/>
      <c r="G14" s="40"/>
      <c r="H14" s="40"/>
      <c r="I14" s="40"/>
      <c r="J14" s="40"/>
      <c r="K14" s="41"/>
      <c r="L14" s="39" t="s">
        <v>36</v>
      </c>
      <c r="M14" s="40"/>
      <c r="N14" s="40"/>
      <c r="O14" s="40"/>
      <c r="P14" s="40"/>
      <c r="Q14" s="41"/>
      <c r="R14" s="43" t="s">
        <v>19</v>
      </c>
      <c r="S14" s="44"/>
      <c r="T14" s="43">
        <v>2</v>
      </c>
      <c r="U14" s="44"/>
      <c r="V14" s="43">
        <f t="shared" si="0"/>
        <v>2</v>
      </c>
      <c r="W14" s="44"/>
      <c r="X14" s="43">
        <f t="shared" ref="X14:X40" si="2">IF(C14&lt;&gt;"",IF(V13="",X13,V13+X13),"")</f>
        <v>24</v>
      </c>
      <c r="Y14" s="44"/>
      <c r="Z14" s="43"/>
      <c r="AA14" s="44"/>
      <c r="AB14" s="43" t="s">
        <v>29</v>
      </c>
      <c r="AC14" s="44"/>
      <c r="AD14" s="43"/>
      <c r="AE14" s="44"/>
      <c r="AF14" s="19"/>
      <c r="AG14" s="20"/>
      <c r="AH14" s="20"/>
      <c r="AI14" s="20"/>
      <c r="AJ14" s="20"/>
      <c r="AK14" s="20"/>
      <c r="AL14" s="20"/>
      <c r="AM14" s="20"/>
      <c r="AN14" s="20"/>
      <c r="AO14" s="21"/>
      <c r="AP14" s="34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6"/>
      <c r="BE14" s="11"/>
      <c r="BF14" s="31"/>
    </row>
    <row r="15" spans="1:58" s="13" customFormat="1" ht="15" customHeight="1">
      <c r="A15" s="10"/>
      <c r="B15" s="18">
        <f t="shared" si="1"/>
        <v>4</v>
      </c>
      <c r="C15" s="39" t="s">
        <v>37</v>
      </c>
      <c r="D15" s="40"/>
      <c r="E15" s="40"/>
      <c r="F15" s="40"/>
      <c r="G15" s="40"/>
      <c r="H15" s="40"/>
      <c r="I15" s="40"/>
      <c r="J15" s="40"/>
      <c r="K15" s="41"/>
      <c r="L15" s="39" t="s">
        <v>38</v>
      </c>
      <c r="M15" s="40"/>
      <c r="N15" s="40"/>
      <c r="O15" s="40"/>
      <c r="P15" s="40"/>
      <c r="Q15" s="41"/>
      <c r="R15" s="43" t="s">
        <v>19</v>
      </c>
      <c r="S15" s="44"/>
      <c r="T15" s="43">
        <v>8</v>
      </c>
      <c r="U15" s="44"/>
      <c r="V15" s="43">
        <f t="shared" si="0"/>
        <v>8</v>
      </c>
      <c r="W15" s="44"/>
      <c r="X15" s="43">
        <f t="shared" si="2"/>
        <v>26</v>
      </c>
      <c r="Y15" s="44"/>
      <c r="Z15" s="43"/>
      <c r="AA15" s="44"/>
      <c r="AB15" s="43" t="s">
        <v>29</v>
      </c>
      <c r="AC15" s="44"/>
      <c r="AD15" s="43"/>
      <c r="AE15" s="44"/>
      <c r="AF15" s="19"/>
      <c r="AG15" s="20"/>
      <c r="AH15" s="20"/>
      <c r="AI15" s="20"/>
      <c r="AJ15" s="20"/>
      <c r="AK15" s="20"/>
      <c r="AL15" s="20"/>
      <c r="AM15" s="20"/>
      <c r="AN15" s="20"/>
      <c r="AO15" s="21"/>
      <c r="AP15" s="34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6"/>
      <c r="BE15" s="11"/>
      <c r="BF15" s="31"/>
    </row>
    <row r="16" spans="1:58" s="13" customFormat="1" ht="15" customHeight="1">
      <c r="A16" s="10"/>
      <c r="B16" s="18">
        <f t="shared" si="1"/>
        <v>5</v>
      </c>
      <c r="C16" s="39" t="s">
        <v>153</v>
      </c>
      <c r="D16" s="40"/>
      <c r="E16" s="40"/>
      <c r="F16" s="40"/>
      <c r="G16" s="40"/>
      <c r="H16" s="40"/>
      <c r="I16" s="40"/>
      <c r="J16" s="40"/>
      <c r="K16" s="41"/>
      <c r="L16" s="39" t="s">
        <v>154</v>
      </c>
      <c r="M16" s="40"/>
      <c r="N16" s="40"/>
      <c r="O16" s="40"/>
      <c r="P16" s="40"/>
      <c r="Q16" s="41"/>
      <c r="R16" s="43" t="s">
        <v>19</v>
      </c>
      <c r="S16" s="44"/>
      <c r="T16" s="43">
        <v>8</v>
      </c>
      <c r="U16" s="44"/>
      <c r="V16" s="43">
        <f t="shared" si="0"/>
        <v>8</v>
      </c>
      <c r="W16" s="44"/>
      <c r="X16" s="43">
        <f t="shared" si="2"/>
        <v>34</v>
      </c>
      <c r="Y16" s="44"/>
      <c r="Z16" s="43"/>
      <c r="AA16" s="44"/>
      <c r="AB16" s="43" t="s">
        <v>29</v>
      </c>
      <c r="AC16" s="44"/>
      <c r="AD16" s="43"/>
      <c r="AE16" s="44"/>
      <c r="AF16" s="19"/>
      <c r="AG16" s="20"/>
      <c r="AH16" s="20"/>
      <c r="AI16" s="20"/>
      <c r="AJ16" s="20"/>
      <c r="AK16" s="20"/>
      <c r="AL16" s="20"/>
      <c r="AM16" s="20"/>
      <c r="AN16" s="20"/>
      <c r="AO16" s="21"/>
      <c r="AP16" s="34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6"/>
      <c r="BE16" s="11"/>
      <c r="BF16" s="31"/>
    </row>
    <row r="17" spans="1:58" s="13" customFormat="1" ht="15" customHeight="1">
      <c r="A17" s="10"/>
      <c r="B17" s="18">
        <f t="shared" si="1"/>
        <v>6</v>
      </c>
      <c r="C17" s="39" t="s">
        <v>39</v>
      </c>
      <c r="D17" s="40"/>
      <c r="E17" s="40"/>
      <c r="F17" s="40"/>
      <c r="G17" s="40"/>
      <c r="H17" s="40"/>
      <c r="I17" s="40"/>
      <c r="J17" s="40"/>
      <c r="K17" s="41"/>
      <c r="L17" s="39" t="s">
        <v>155</v>
      </c>
      <c r="M17" s="40"/>
      <c r="N17" s="40"/>
      <c r="O17" s="40"/>
      <c r="P17" s="40"/>
      <c r="Q17" s="41"/>
      <c r="R17" s="37" t="s">
        <v>19</v>
      </c>
      <c r="S17" s="38"/>
      <c r="T17" s="37">
        <v>2</v>
      </c>
      <c r="U17" s="38"/>
      <c r="V17" s="43">
        <f t="shared" si="0"/>
        <v>2</v>
      </c>
      <c r="W17" s="44"/>
      <c r="X17" s="43">
        <f t="shared" si="2"/>
        <v>42</v>
      </c>
      <c r="Y17" s="44"/>
      <c r="Z17" s="37"/>
      <c r="AA17" s="38"/>
      <c r="AB17" s="37" t="s">
        <v>29</v>
      </c>
      <c r="AC17" s="38"/>
      <c r="AD17" s="37"/>
      <c r="AE17" s="38"/>
      <c r="AF17" s="19"/>
      <c r="AG17" s="20"/>
      <c r="AH17" s="20"/>
      <c r="AI17" s="20"/>
      <c r="AJ17" s="20"/>
      <c r="AK17" s="20"/>
      <c r="AL17" s="20"/>
      <c r="AM17" s="20"/>
      <c r="AN17" s="20"/>
      <c r="AO17" s="21"/>
      <c r="AP17" s="34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6"/>
      <c r="BE17" s="11"/>
      <c r="BF17" s="31"/>
    </row>
    <row r="18" spans="1:58" s="13" customFormat="1" ht="15" customHeight="1">
      <c r="A18" s="10"/>
      <c r="B18" s="18">
        <f t="shared" si="1"/>
        <v>7</v>
      </c>
      <c r="C18" s="39" t="s">
        <v>40</v>
      </c>
      <c r="D18" s="40"/>
      <c r="E18" s="40"/>
      <c r="F18" s="40"/>
      <c r="G18" s="40"/>
      <c r="H18" s="40"/>
      <c r="I18" s="40"/>
      <c r="J18" s="40"/>
      <c r="K18" s="41"/>
      <c r="L18" s="39" t="s">
        <v>156</v>
      </c>
      <c r="M18" s="40"/>
      <c r="N18" s="40"/>
      <c r="O18" s="40"/>
      <c r="P18" s="40"/>
      <c r="Q18" s="41"/>
      <c r="R18" s="37" t="s">
        <v>19</v>
      </c>
      <c r="S18" s="38"/>
      <c r="T18" s="37">
        <v>8</v>
      </c>
      <c r="U18" s="38"/>
      <c r="V18" s="43">
        <f t="shared" si="0"/>
        <v>8</v>
      </c>
      <c r="W18" s="44"/>
      <c r="X18" s="43">
        <f t="shared" si="2"/>
        <v>44</v>
      </c>
      <c r="Y18" s="44"/>
      <c r="Z18" s="37"/>
      <c r="AA18" s="38"/>
      <c r="AB18" s="37" t="s">
        <v>29</v>
      </c>
      <c r="AC18" s="38"/>
      <c r="AD18" s="37"/>
      <c r="AE18" s="38"/>
      <c r="AF18" s="19"/>
      <c r="AG18" s="20"/>
      <c r="AH18" s="20"/>
      <c r="AI18" s="20"/>
      <c r="AJ18" s="20"/>
      <c r="AK18" s="20"/>
      <c r="AL18" s="20"/>
      <c r="AM18" s="20"/>
      <c r="AN18" s="20"/>
      <c r="AO18" s="21"/>
      <c r="AP18" s="34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6"/>
      <c r="BE18" s="11"/>
      <c r="BF18" s="31"/>
    </row>
    <row r="19" spans="1:58" s="13" customFormat="1" ht="15" customHeight="1">
      <c r="A19" s="10"/>
      <c r="B19" s="18">
        <f t="shared" si="1"/>
        <v>8</v>
      </c>
      <c r="C19" s="39" t="s">
        <v>41</v>
      </c>
      <c r="D19" s="40"/>
      <c r="E19" s="40"/>
      <c r="F19" s="40"/>
      <c r="G19" s="40"/>
      <c r="H19" s="40"/>
      <c r="I19" s="40"/>
      <c r="J19" s="40"/>
      <c r="K19" s="41"/>
      <c r="L19" s="39" t="s">
        <v>157</v>
      </c>
      <c r="M19" s="40"/>
      <c r="N19" s="40"/>
      <c r="O19" s="40"/>
      <c r="P19" s="40"/>
      <c r="Q19" s="41"/>
      <c r="R19" s="37" t="s">
        <v>19</v>
      </c>
      <c r="S19" s="38"/>
      <c r="T19" s="37">
        <v>2</v>
      </c>
      <c r="U19" s="38"/>
      <c r="V19" s="43">
        <f t="shared" si="0"/>
        <v>2</v>
      </c>
      <c r="W19" s="44"/>
      <c r="X19" s="43">
        <f t="shared" si="2"/>
        <v>52</v>
      </c>
      <c r="Y19" s="44"/>
      <c r="Z19" s="37"/>
      <c r="AA19" s="38"/>
      <c r="AB19" s="37" t="s">
        <v>29</v>
      </c>
      <c r="AC19" s="38"/>
      <c r="AD19" s="37"/>
      <c r="AE19" s="38"/>
      <c r="AF19" s="19"/>
      <c r="AG19" s="20"/>
      <c r="AH19" s="20"/>
      <c r="AI19" s="20"/>
      <c r="AJ19" s="20"/>
      <c r="AK19" s="20"/>
      <c r="AL19" s="20"/>
      <c r="AM19" s="20"/>
      <c r="AN19" s="20"/>
      <c r="AO19" s="21"/>
      <c r="AP19" s="34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6"/>
      <c r="BE19" s="11"/>
      <c r="BF19" s="31"/>
    </row>
    <row r="20" spans="1:58" s="13" customFormat="1" ht="15" customHeight="1">
      <c r="A20" s="10"/>
      <c r="B20" s="18">
        <f t="shared" si="1"/>
        <v>9</v>
      </c>
      <c r="C20" s="39" t="s">
        <v>42</v>
      </c>
      <c r="D20" s="40"/>
      <c r="E20" s="40"/>
      <c r="F20" s="40"/>
      <c r="G20" s="40"/>
      <c r="H20" s="40"/>
      <c r="I20" s="40"/>
      <c r="J20" s="40"/>
      <c r="K20" s="41"/>
      <c r="L20" s="39" t="s">
        <v>158</v>
      </c>
      <c r="M20" s="40"/>
      <c r="N20" s="40"/>
      <c r="O20" s="40"/>
      <c r="P20" s="40"/>
      <c r="Q20" s="41"/>
      <c r="R20" s="37" t="s">
        <v>19</v>
      </c>
      <c r="S20" s="38"/>
      <c r="T20" s="37">
        <v>8</v>
      </c>
      <c r="U20" s="38"/>
      <c r="V20" s="43">
        <f t="shared" si="0"/>
        <v>8</v>
      </c>
      <c r="W20" s="44"/>
      <c r="X20" s="43">
        <f t="shared" si="2"/>
        <v>54</v>
      </c>
      <c r="Y20" s="44"/>
      <c r="Z20" s="37"/>
      <c r="AA20" s="38"/>
      <c r="AB20" s="37" t="s">
        <v>29</v>
      </c>
      <c r="AC20" s="38"/>
      <c r="AD20" s="37"/>
      <c r="AE20" s="38"/>
      <c r="AF20" s="19"/>
      <c r="AG20" s="20"/>
      <c r="AH20" s="20"/>
      <c r="AI20" s="20"/>
      <c r="AJ20" s="20"/>
      <c r="AK20" s="20"/>
      <c r="AL20" s="20"/>
      <c r="AM20" s="20"/>
      <c r="AN20" s="20"/>
      <c r="AO20" s="21"/>
      <c r="AP20" s="34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6"/>
      <c r="BE20" s="11"/>
      <c r="BF20" s="31"/>
    </row>
    <row r="21" spans="1:58" s="13" customFormat="1" ht="15" customHeight="1">
      <c r="A21" s="10"/>
      <c r="B21" s="18">
        <f t="shared" si="1"/>
        <v>10</v>
      </c>
      <c r="C21" s="39" t="s">
        <v>43</v>
      </c>
      <c r="D21" s="40"/>
      <c r="E21" s="40"/>
      <c r="F21" s="40"/>
      <c r="G21" s="40"/>
      <c r="H21" s="40"/>
      <c r="I21" s="40"/>
      <c r="J21" s="40"/>
      <c r="K21" s="41"/>
      <c r="L21" s="39" t="s">
        <v>159</v>
      </c>
      <c r="M21" s="40"/>
      <c r="N21" s="40"/>
      <c r="O21" s="40"/>
      <c r="P21" s="40"/>
      <c r="Q21" s="41"/>
      <c r="R21" s="37" t="s">
        <v>19</v>
      </c>
      <c r="S21" s="38"/>
      <c r="T21" s="37">
        <v>2</v>
      </c>
      <c r="U21" s="38"/>
      <c r="V21" s="43">
        <f t="shared" si="0"/>
        <v>2</v>
      </c>
      <c r="W21" s="44"/>
      <c r="X21" s="43">
        <f t="shared" si="2"/>
        <v>62</v>
      </c>
      <c r="Y21" s="44"/>
      <c r="Z21" s="37"/>
      <c r="AA21" s="38"/>
      <c r="AB21" s="37" t="s">
        <v>29</v>
      </c>
      <c r="AC21" s="38"/>
      <c r="AD21" s="37"/>
      <c r="AE21" s="38"/>
      <c r="AF21" s="19"/>
      <c r="AG21" s="20"/>
      <c r="AH21" s="20"/>
      <c r="AI21" s="20"/>
      <c r="AJ21" s="20"/>
      <c r="AK21" s="20"/>
      <c r="AL21" s="20"/>
      <c r="AM21" s="20"/>
      <c r="AN21" s="20"/>
      <c r="AO21" s="21"/>
      <c r="AP21" s="34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6"/>
      <c r="BE21" s="11"/>
      <c r="BF21" s="31"/>
    </row>
    <row r="22" spans="1:58" s="13" customFormat="1" ht="15" customHeight="1">
      <c r="A22" s="10"/>
      <c r="B22" s="18">
        <f t="shared" si="1"/>
        <v>11</v>
      </c>
      <c r="C22" s="39" t="s">
        <v>44</v>
      </c>
      <c r="D22" s="40"/>
      <c r="E22" s="40"/>
      <c r="F22" s="40"/>
      <c r="G22" s="40"/>
      <c r="H22" s="40"/>
      <c r="I22" s="40"/>
      <c r="J22" s="40"/>
      <c r="K22" s="41"/>
      <c r="L22" s="39" t="s">
        <v>160</v>
      </c>
      <c r="M22" s="40"/>
      <c r="N22" s="40"/>
      <c r="O22" s="40"/>
      <c r="P22" s="40"/>
      <c r="Q22" s="41"/>
      <c r="R22" s="37" t="s">
        <v>19</v>
      </c>
      <c r="S22" s="38"/>
      <c r="T22" s="37">
        <v>8</v>
      </c>
      <c r="U22" s="38"/>
      <c r="V22" s="43">
        <f t="shared" si="0"/>
        <v>8</v>
      </c>
      <c r="W22" s="44"/>
      <c r="X22" s="43">
        <f t="shared" si="2"/>
        <v>64</v>
      </c>
      <c r="Y22" s="44"/>
      <c r="Z22" s="37"/>
      <c r="AA22" s="38"/>
      <c r="AB22" s="37" t="s">
        <v>29</v>
      </c>
      <c r="AC22" s="38"/>
      <c r="AD22" s="37"/>
      <c r="AE22" s="38"/>
      <c r="AF22" s="19"/>
      <c r="AG22" s="20"/>
      <c r="AH22" s="20"/>
      <c r="AI22" s="20"/>
      <c r="AJ22" s="20"/>
      <c r="AK22" s="20"/>
      <c r="AL22" s="20"/>
      <c r="AM22" s="20"/>
      <c r="AN22" s="20"/>
      <c r="AO22" s="21"/>
      <c r="AP22" s="34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6"/>
      <c r="BE22" s="11"/>
      <c r="BF22" s="31"/>
    </row>
    <row r="23" spans="1:58" s="13" customFormat="1" ht="15" customHeight="1">
      <c r="A23" s="10"/>
      <c r="B23" s="18">
        <f t="shared" si="1"/>
        <v>12</v>
      </c>
      <c r="C23" s="39" t="s">
        <v>45</v>
      </c>
      <c r="D23" s="40"/>
      <c r="E23" s="40"/>
      <c r="F23" s="40"/>
      <c r="G23" s="40"/>
      <c r="H23" s="40"/>
      <c r="I23" s="40"/>
      <c r="J23" s="40"/>
      <c r="K23" s="41"/>
      <c r="L23" s="39" t="s">
        <v>161</v>
      </c>
      <c r="M23" s="40"/>
      <c r="N23" s="40"/>
      <c r="O23" s="40"/>
      <c r="P23" s="40"/>
      <c r="Q23" s="41"/>
      <c r="R23" s="37" t="s">
        <v>19</v>
      </c>
      <c r="S23" s="38"/>
      <c r="T23" s="37">
        <v>2</v>
      </c>
      <c r="U23" s="38"/>
      <c r="V23" s="43">
        <f t="shared" si="0"/>
        <v>2</v>
      </c>
      <c r="W23" s="44"/>
      <c r="X23" s="43">
        <f t="shared" si="2"/>
        <v>72</v>
      </c>
      <c r="Y23" s="44"/>
      <c r="Z23" s="37"/>
      <c r="AA23" s="38"/>
      <c r="AB23" s="37" t="s">
        <v>29</v>
      </c>
      <c r="AC23" s="38"/>
      <c r="AD23" s="37"/>
      <c r="AE23" s="38"/>
      <c r="AF23" s="19"/>
      <c r="AG23" s="20"/>
      <c r="AH23" s="20"/>
      <c r="AI23" s="20"/>
      <c r="AJ23" s="20"/>
      <c r="AK23" s="20"/>
      <c r="AL23" s="20"/>
      <c r="AM23" s="20"/>
      <c r="AN23" s="20"/>
      <c r="AO23" s="21"/>
      <c r="AP23" s="34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6"/>
      <c r="BE23" s="11"/>
      <c r="BF23" s="31"/>
    </row>
    <row r="24" spans="1:58" s="13" customFormat="1" ht="15" customHeight="1">
      <c r="A24" s="10"/>
      <c r="B24" s="18">
        <f t="shared" si="1"/>
        <v>13</v>
      </c>
      <c r="C24" s="39" t="s">
        <v>46</v>
      </c>
      <c r="D24" s="40"/>
      <c r="E24" s="40"/>
      <c r="F24" s="40"/>
      <c r="G24" s="40"/>
      <c r="H24" s="40"/>
      <c r="I24" s="40"/>
      <c r="J24" s="40"/>
      <c r="K24" s="41"/>
      <c r="L24" s="39" t="s">
        <v>162</v>
      </c>
      <c r="M24" s="40"/>
      <c r="N24" s="40"/>
      <c r="O24" s="40"/>
      <c r="P24" s="40"/>
      <c r="Q24" s="41"/>
      <c r="R24" s="37" t="s">
        <v>19</v>
      </c>
      <c r="S24" s="38"/>
      <c r="T24" s="37">
        <v>8</v>
      </c>
      <c r="U24" s="38"/>
      <c r="V24" s="43">
        <f t="shared" si="0"/>
        <v>8</v>
      </c>
      <c r="W24" s="44"/>
      <c r="X24" s="43">
        <f t="shared" si="2"/>
        <v>74</v>
      </c>
      <c r="Y24" s="44"/>
      <c r="Z24" s="37"/>
      <c r="AA24" s="38"/>
      <c r="AB24" s="37" t="s">
        <v>29</v>
      </c>
      <c r="AC24" s="38"/>
      <c r="AD24" s="37"/>
      <c r="AE24" s="38"/>
      <c r="AF24" s="19"/>
      <c r="AG24" s="20"/>
      <c r="AH24" s="20"/>
      <c r="AI24" s="20"/>
      <c r="AJ24" s="20"/>
      <c r="AK24" s="20"/>
      <c r="AL24" s="20"/>
      <c r="AM24" s="20"/>
      <c r="AN24" s="20"/>
      <c r="AO24" s="21"/>
      <c r="AP24" s="34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6"/>
      <c r="BE24" s="11"/>
      <c r="BF24" s="31"/>
    </row>
    <row r="25" spans="1:58" s="13" customFormat="1" ht="15" customHeight="1">
      <c r="A25" s="10"/>
      <c r="B25" s="18">
        <f t="shared" si="1"/>
        <v>14</v>
      </c>
      <c r="C25" s="39" t="s">
        <v>47</v>
      </c>
      <c r="D25" s="40"/>
      <c r="E25" s="40"/>
      <c r="F25" s="40"/>
      <c r="G25" s="40"/>
      <c r="H25" s="40"/>
      <c r="I25" s="40"/>
      <c r="J25" s="40"/>
      <c r="K25" s="41"/>
      <c r="L25" s="39" t="s">
        <v>163</v>
      </c>
      <c r="M25" s="40"/>
      <c r="N25" s="40"/>
      <c r="O25" s="40"/>
      <c r="P25" s="40"/>
      <c r="Q25" s="41"/>
      <c r="R25" s="37" t="s">
        <v>19</v>
      </c>
      <c r="S25" s="38"/>
      <c r="T25" s="37">
        <v>2</v>
      </c>
      <c r="U25" s="38"/>
      <c r="V25" s="43">
        <f t="shared" si="0"/>
        <v>2</v>
      </c>
      <c r="W25" s="44"/>
      <c r="X25" s="43">
        <f t="shared" si="2"/>
        <v>82</v>
      </c>
      <c r="Y25" s="44"/>
      <c r="Z25" s="37"/>
      <c r="AA25" s="38"/>
      <c r="AB25" s="37" t="s">
        <v>29</v>
      </c>
      <c r="AC25" s="38"/>
      <c r="AD25" s="37"/>
      <c r="AE25" s="38"/>
      <c r="AF25" s="19"/>
      <c r="AG25" s="20"/>
      <c r="AH25" s="20"/>
      <c r="AI25" s="20"/>
      <c r="AJ25" s="20"/>
      <c r="AK25" s="20"/>
      <c r="AL25" s="20"/>
      <c r="AM25" s="20"/>
      <c r="AN25" s="20"/>
      <c r="AO25" s="21"/>
      <c r="AP25" s="34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6"/>
      <c r="BE25" s="11"/>
      <c r="BF25" s="31"/>
    </row>
    <row r="26" spans="1:58" s="13" customFormat="1" ht="15" customHeight="1">
      <c r="A26" s="10"/>
      <c r="B26" s="18">
        <f t="shared" si="1"/>
        <v>15</v>
      </c>
      <c r="C26" s="39" t="s">
        <v>48</v>
      </c>
      <c r="D26" s="40"/>
      <c r="E26" s="40"/>
      <c r="F26" s="40"/>
      <c r="G26" s="40"/>
      <c r="H26" s="40"/>
      <c r="I26" s="40"/>
      <c r="J26" s="40"/>
      <c r="K26" s="41"/>
      <c r="L26" s="39" t="s">
        <v>164</v>
      </c>
      <c r="M26" s="40"/>
      <c r="N26" s="40"/>
      <c r="O26" s="40"/>
      <c r="P26" s="40"/>
      <c r="Q26" s="41"/>
      <c r="R26" s="37" t="s">
        <v>19</v>
      </c>
      <c r="S26" s="38"/>
      <c r="T26" s="37">
        <v>8</v>
      </c>
      <c r="U26" s="38"/>
      <c r="V26" s="43">
        <f t="shared" si="0"/>
        <v>8</v>
      </c>
      <c r="W26" s="44"/>
      <c r="X26" s="43">
        <f t="shared" si="2"/>
        <v>84</v>
      </c>
      <c r="Y26" s="44"/>
      <c r="Z26" s="37"/>
      <c r="AA26" s="38"/>
      <c r="AB26" s="37" t="s">
        <v>29</v>
      </c>
      <c r="AC26" s="38"/>
      <c r="AD26" s="37"/>
      <c r="AE26" s="38"/>
      <c r="AF26" s="19"/>
      <c r="AG26" s="20"/>
      <c r="AH26" s="20"/>
      <c r="AI26" s="20"/>
      <c r="AJ26" s="20"/>
      <c r="AK26" s="20"/>
      <c r="AL26" s="20"/>
      <c r="AM26" s="20"/>
      <c r="AN26" s="20"/>
      <c r="AO26" s="21"/>
      <c r="AP26" s="34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6"/>
      <c r="BE26" s="11"/>
      <c r="BF26" s="31"/>
    </row>
    <row r="27" spans="1:58" s="13" customFormat="1" ht="15" customHeight="1">
      <c r="A27" s="10"/>
      <c r="B27" s="18">
        <f t="shared" si="1"/>
        <v>16</v>
      </c>
      <c r="C27" s="39" t="s">
        <v>49</v>
      </c>
      <c r="D27" s="40"/>
      <c r="E27" s="40"/>
      <c r="F27" s="40"/>
      <c r="G27" s="40"/>
      <c r="H27" s="40"/>
      <c r="I27" s="40"/>
      <c r="J27" s="40"/>
      <c r="K27" s="41"/>
      <c r="L27" s="39" t="s">
        <v>165</v>
      </c>
      <c r="M27" s="40"/>
      <c r="N27" s="40"/>
      <c r="O27" s="40"/>
      <c r="P27" s="40"/>
      <c r="Q27" s="41"/>
      <c r="R27" s="37" t="s">
        <v>19</v>
      </c>
      <c r="S27" s="38"/>
      <c r="T27" s="37">
        <v>2</v>
      </c>
      <c r="U27" s="38"/>
      <c r="V27" s="43">
        <f t="shared" si="0"/>
        <v>2</v>
      </c>
      <c r="W27" s="44"/>
      <c r="X27" s="43">
        <f t="shared" si="2"/>
        <v>92</v>
      </c>
      <c r="Y27" s="44"/>
      <c r="Z27" s="37"/>
      <c r="AA27" s="38"/>
      <c r="AB27" s="37" t="s">
        <v>29</v>
      </c>
      <c r="AC27" s="38"/>
      <c r="AD27" s="37"/>
      <c r="AE27" s="38"/>
      <c r="AF27" s="19"/>
      <c r="AG27" s="20"/>
      <c r="AH27" s="20"/>
      <c r="AI27" s="20"/>
      <c r="AJ27" s="20"/>
      <c r="AK27" s="20"/>
      <c r="AL27" s="20"/>
      <c r="AM27" s="20"/>
      <c r="AN27" s="20"/>
      <c r="AO27" s="21"/>
      <c r="AP27" s="34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6"/>
      <c r="BE27" s="11"/>
      <c r="BF27" s="31"/>
    </row>
    <row r="28" spans="1:58" s="13" customFormat="1" ht="15" customHeight="1">
      <c r="A28" s="10"/>
      <c r="B28" s="18">
        <f t="shared" si="1"/>
        <v>17</v>
      </c>
      <c r="C28" s="39" t="s">
        <v>50</v>
      </c>
      <c r="D28" s="40"/>
      <c r="E28" s="40"/>
      <c r="F28" s="40"/>
      <c r="G28" s="40"/>
      <c r="H28" s="40"/>
      <c r="I28" s="40"/>
      <c r="J28" s="40"/>
      <c r="K28" s="41"/>
      <c r="L28" s="39" t="s">
        <v>166</v>
      </c>
      <c r="M28" s="40"/>
      <c r="N28" s="40"/>
      <c r="O28" s="40"/>
      <c r="P28" s="40"/>
      <c r="Q28" s="41"/>
      <c r="R28" s="37" t="s">
        <v>19</v>
      </c>
      <c r="S28" s="38"/>
      <c r="T28" s="37">
        <v>8</v>
      </c>
      <c r="U28" s="38"/>
      <c r="V28" s="43">
        <f t="shared" si="0"/>
        <v>8</v>
      </c>
      <c r="W28" s="44"/>
      <c r="X28" s="43">
        <f t="shared" si="2"/>
        <v>94</v>
      </c>
      <c r="Y28" s="44"/>
      <c r="Z28" s="37"/>
      <c r="AA28" s="38"/>
      <c r="AB28" s="37" t="s">
        <v>29</v>
      </c>
      <c r="AC28" s="38"/>
      <c r="AD28" s="37"/>
      <c r="AE28" s="38"/>
      <c r="AF28" s="19"/>
      <c r="AG28" s="20"/>
      <c r="AH28" s="20"/>
      <c r="AI28" s="20"/>
      <c r="AJ28" s="20"/>
      <c r="AK28" s="20"/>
      <c r="AL28" s="20"/>
      <c r="AM28" s="20"/>
      <c r="AN28" s="20"/>
      <c r="AO28" s="21"/>
      <c r="AP28" s="34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6"/>
      <c r="BE28" s="11"/>
      <c r="BF28" s="31"/>
    </row>
    <row r="29" spans="1:58" s="13" customFormat="1" ht="15" customHeight="1">
      <c r="A29" s="10"/>
      <c r="B29" s="18">
        <f t="shared" si="1"/>
        <v>18</v>
      </c>
      <c r="C29" s="39" t="s">
        <v>51</v>
      </c>
      <c r="D29" s="40"/>
      <c r="E29" s="40"/>
      <c r="F29" s="40"/>
      <c r="G29" s="40"/>
      <c r="H29" s="40"/>
      <c r="I29" s="40"/>
      <c r="J29" s="40"/>
      <c r="K29" s="41"/>
      <c r="L29" s="39" t="s">
        <v>167</v>
      </c>
      <c r="M29" s="40"/>
      <c r="N29" s="40"/>
      <c r="O29" s="40"/>
      <c r="P29" s="40"/>
      <c r="Q29" s="41"/>
      <c r="R29" s="37" t="s">
        <v>19</v>
      </c>
      <c r="S29" s="38"/>
      <c r="T29" s="37">
        <v>2</v>
      </c>
      <c r="U29" s="38"/>
      <c r="V29" s="43">
        <f t="shared" si="0"/>
        <v>2</v>
      </c>
      <c r="W29" s="44"/>
      <c r="X29" s="43">
        <f t="shared" si="2"/>
        <v>102</v>
      </c>
      <c r="Y29" s="44"/>
      <c r="Z29" s="37"/>
      <c r="AA29" s="38"/>
      <c r="AB29" s="37" t="s">
        <v>29</v>
      </c>
      <c r="AC29" s="38"/>
      <c r="AD29" s="37"/>
      <c r="AE29" s="38"/>
      <c r="AF29" s="19"/>
      <c r="AG29" s="20"/>
      <c r="AH29" s="20"/>
      <c r="AI29" s="20"/>
      <c r="AJ29" s="20"/>
      <c r="AK29" s="20"/>
      <c r="AL29" s="20"/>
      <c r="AM29" s="20"/>
      <c r="AN29" s="20"/>
      <c r="AO29" s="21"/>
      <c r="AP29" s="34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6"/>
      <c r="BE29" s="11"/>
      <c r="BF29" s="31"/>
    </row>
    <row r="30" spans="1:58" s="13" customFormat="1" ht="15" customHeight="1">
      <c r="A30" s="10"/>
      <c r="B30" s="18">
        <f t="shared" si="1"/>
        <v>19</v>
      </c>
      <c r="C30" s="39" t="s">
        <v>52</v>
      </c>
      <c r="D30" s="40"/>
      <c r="E30" s="40"/>
      <c r="F30" s="40"/>
      <c r="G30" s="40"/>
      <c r="H30" s="40"/>
      <c r="I30" s="40"/>
      <c r="J30" s="40"/>
      <c r="K30" s="41"/>
      <c r="L30" s="39" t="s">
        <v>168</v>
      </c>
      <c r="M30" s="40"/>
      <c r="N30" s="40"/>
      <c r="O30" s="40"/>
      <c r="P30" s="40"/>
      <c r="Q30" s="41"/>
      <c r="R30" s="37" t="s">
        <v>19</v>
      </c>
      <c r="S30" s="38"/>
      <c r="T30" s="37">
        <v>8</v>
      </c>
      <c r="U30" s="38"/>
      <c r="V30" s="43">
        <f t="shared" si="0"/>
        <v>8</v>
      </c>
      <c r="W30" s="44"/>
      <c r="X30" s="43">
        <f t="shared" si="2"/>
        <v>104</v>
      </c>
      <c r="Y30" s="44"/>
      <c r="Z30" s="37"/>
      <c r="AA30" s="38"/>
      <c r="AB30" s="37" t="s">
        <v>29</v>
      </c>
      <c r="AC30" s="38"/>
      <c r="AD30" s="37"/>
      <c r="AE30" s="38"/>
      <c r="AF30" s="19"/>
      <c r="AG30" s="20"/>
      <c r="AH30" s="20"/>
      <c r="AI30" s="20"/>
      <c r="AJ30" s="20"/>
      <c r="AK30" s="20"/>
      <c r="AL30" s="20"/>
      <c r="AM30" s="20"/>
      <c r="AN30" s="20"/>
      <c r="AO30" s="21"/>
      <c r="AP30" s="34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6"/>
      <c r="BE30" s="11"/>
      <c r="BF30" s="31"/>
    </row>
    <row r="31" spans="1:58" s="13" customFormat="1" ht="15" customHeight="1">
      <c r="A31" s="10"/>
      <c r="B31" s="18">
        <f t="shared" si="1"/>
        <v>20</v>
      </c>
      <c r="C31" s="39" t="s">
        <v>53</v>
      </c>
      <c r="D31" s="40"/>
      <c r="E31" s="40"/>
      <c r="F31" s="40"/>
      <c r="G31" s="40"/>
      <c r="H31" s="40"/>
      <c r="I31" s="40"/>
      <c r="J31" s="40"/>
      <c r="K31" s="41"/>
      <c r="L31" s="39" t="s">
        <v>169</v>
      </c>
      <c r="M31" s="40"/>
      <c r="N31" s="40"/>
      <c r="O31" s="40"/>
      <c r="P31" s="40"/>
      <c r="Q31" s="41"/>
      <c r="R31" s="37" t="s">
        <v>19</v>
      </c>
      <c r="S31" s="38"/>
      <c r="T31" s="37">
        <v>2</v>
      </c>
      <c r="U31" s="38"/>
      <c r="V31" s="43">
        <f t="shared" si="0"/>
        <v>2</v>
      </c>
      <c r="W31" s="44"/>
      <c r="X31" s="43">
        <f t="shared" si="2"/>
        <v>112</v>
      </c>
      <c r="Y31" s="44"/>
      <c r="Z31" s="37"/>
      <c r="AA31" s="38"/>
      <c r="AB31" s="37" t="s">
        <v>29</v>
      </c>
      <c r="AC31" s="38"/>
      <c r="AD31" s="37"/>
      <c r="AE31" s="38"/>
      <c r="AF31" s="19"/>
      <c r="AG31" s="20"/>
      <c r="AH31" s="20"/>
      <c r="AI31" s="20"/>
      <c r="AJ31" s="20"/>
      <c r="AK31" s="20"/>
      <c r="AL31" s="20"/>
      <c r="AM31" s="20"/>
      <c r="AN31" s="20"/>
      <c r="AO31" s="21"/>
      <c r="AP31" s="34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6"/>
      <c r="BE31" s="11"/>
      <c r="BF31" s="31"/>
    </row>
    <row r="32" spans="1:58" s="13" customFormat="1" ht="15" customHeight="1">
      <c r="A32" s="10"/>
      <c r="B32" s="18">
        <f t="shared" si="1"/>
        <v>21</v>
      </c>
      <c r="C32" s="39" t="s">
        <v>54</v>
      </c>
      <c r="D32" s="40"/>
      <c r="E32" s="40"/>
      <c r="F32" s="40"/>
      <c r="G32" s="40"/>
      <c r="H32" s="40"/>
      <c r="I32" s="40"/>
      <c r="J32" s="40"/>
      <c r="K32" s="41"/>
      <c r="L32" s="39" t="s">
        <v>170</v>
      </c>
      <c r="M32" s="40"/>
      <c r="N32" s="40"/>
      <c r="O32" s="40"/>
      <c r="P32" s="40"/>
      <c r="Q32" s="41"/>
      <c r="R32" s="37" t="s">
        <v>19</v>
      </c>
      <c r="S32" s="38"/>
      <c r="T32" s="37">
        <v>8</v>
      </c>
      <c r="U32" s="38"/>
      <c r="V32" s="43">
        <f t="shared" si="0"/>
        <v>8</v>
      </c>
      <c r="W32" s="44"/>
      <c r="X32" s="43">
        <f t="shared" si="2"/>
        <v>114</v>
      </c>
      <c r="Y32" s="44"/>
      <c r="Z32" s="37"/>
      <c r="AA32" s="38"/>
      <c r="AB32" s="37" t="s">
        <v>29</v>
      </c>
      <c r="AC32" s="38"/>
      <c r="AD32" s="37"/>
      <c r="AE32" s="38"/>
      <c r="AF32" s="19"/>
      <c r="AG32" s="20"/>
      <c r="AH32" s="20"/>
      <c r="AI32" s="20"/>
      <c r="AJ32" s="20"/>
      <c r="AK32" s="20"/>
      <c r="AL32" s="20"/>
      <c r="AM32" s="20"/>
      <c r="AN32" s="20"/>
      <c r="AO32" s="21"/>
      <c r="AP32" s="34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6"/>
      <c r="BE32" s="11"/>
      <c r="BF32" s="31"/>
    </row>
    <row r="33" spans="1:58" s="13" customFormat="1" ht="15" customHeight="1">
      <c r="A33" s="10"/>
      <c r="B33" s="18">
        <f t="shared" si="1"/>
        <v>22</v>
      </c>
      <c r="C33" s="39" t="s">
        <v>55</v>
      </c>
      <c r="D33" s="40"/>
      <c r="E33" s="40"/>
      <c r="F33" s="40"/>
      <c r="G33" s="40"/>
      <c r="H33" s="40"/>
      <c r="I33" s="40"/>
      <c r="J33" s="40"/>
      <c r="K33" s="41"/>
      <c r="L33" s="39" t="s">
        <v>171</v>
      </c>
      <c r="M33" s="40"/>
      <c r="N33" s="40"/>
      <c r="O33" s="40"/>
      <c r="P33" s="40"/>
      <c r="Q33" s="41"/>
      <c r="R33" s="37" t="s">
        <v>19</v>
      </c>
      <c r="S33" s="38"/>
      <c r="T33" s="37">
        <v>2</v>
      </c>
      <c r="U33" s="38"/>
      <c r="V33" s="43">
        <f t="shared" si="0"/>
        <v>2</v>
      </c>
      <c r="W33" s="44"/>
      <c r="X33" s="43">
        <f t="shared" si="2"/>
        <v>122</v>
      </c>
      <c r="Y33" s="44"/>
      <c r="Z33" s="37"/>
      <c r="AA33" s="38"/>
      <c r="AB33" s="37" t="s">
        <v>29</v>
      </c>
      <c r="AC33" s="38"/>
      <c r="AD33" s="37"/>
      <c r="AE33" s="38"/>
      <c r="AF33" s="19"/>
      <c r="AG33" s="20"/>
      <c r="AH33" s="20"/>
      <c r="AI33" s="20"/>
      <c r="AJ33" s="20"/>
      <c r="AK33" s="20"/>
      <c r="AL33" s="20"/>
      <c r="AM33" s="20"/>
      <c r="AN33" s="20"/>
      <c r="AO33" s="21"/>
      <c r="AP33" s="34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6"/>
      <c r="BE33" s="11"/>
      <c r="BF33" s="31"/>
    </row>
    <row r="34" spans="1:58" s="13" customFormat="1" ht="15" customHeight="1">
      <c r="A34" s="10"/>
      <c r="B34" s="18">
        <f t="shared" si="1"/>
        <v>23</v>
      </c>
      <c r="C34" s="39" t="s">
        <v>56</v>
      </c>
      <c r="D34" s="40"/>
      <c r="E34" s="40"/>
      <c r="F34" s="40"/>
      <c r="G34" s="40"/>
      <c r="H34" s="40"/>
      <c r="I34" s="40"/>
      <c r="J34" s="40"/>
      <c r="K34" s="41"/>
      <c r="L34" s="39" t="s">
        <v>172</v>
      </c>
      <c r="M34" s="40"/>
      <c r="N34" s="40"/>
      <c r="O34" s="40"/>
      <c r="P34" s="40"/>
      <c r="Q34" s="41"/>
      <c r="R34" s="37" t="s">
        <v>19</v>
      </c>
      <c r="S34" s="38"/>
      <c r="T34" s="37">
        <v>8</v>
      </c>
      <c r="U34" s="38"/>
      <c r="V34" s="43">
        <f t="shared" si="0"/>
        <v>8</v>
      </c>
      <c r="W34" s="44"/>
      <c r="X34" s="43">
        <f t="shared" si="2"/>
        <v>124</v>
      </c>
      <c r="Y34" s="44"/>
      <c r="Z34" s="37"/>
      <c r="AA34" s="38"/>
      <c r="AB34" s="37" t="s">
        <v>29</v>
      </c>
      <c r="AC34" s="38"/>
      <c r="AD34" s="37"/>
      <c r="AE34" s="38"/>
      <c r="AF34" s="19"/>
      <c r="AG34" s="20"/>
      <c r="AH34" s="20"/>
      <c r="AI34" s="20"/>
      <c r="AJ34" s="20"/>
      <c r="AK34" s="20"/>
      <c r="AL34" s="20"/>
      <c r="AM34" s="20"/>
      <c r="AN34" s="20"/>
      <c r="AO34" s="21"/>
      <c r="AP34" s="34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6"/>
      <c r="BE34" s="11"/>
      <c r="BF34" s="31"/>
    </row>
    <row r="35" spans="1:58" s="13" customFormat="1" ht="15" customHeight="1">
      <c r="A35" s="10"/>
      <c r="B35" s="18">
        <f t="shared" si="1"/>
        <v>24</v>
      </c>
      <c r="C35" s="39" t="s">
        <v>173</v>
      </c>
      <c r="D35" s="40"/>
      <c r="E35" s="40"/>
      <c r="F35" s="40"/>
      <c r="G35" s="40"/>
      <c r="H35" s="40"/>
      <c r="I35" s="40"/>
      <c r="J35" s="40"/>
      <c r="K35" s="41"/>
      <c r="L35" s="39" t="s">
        <v>174</v>
      </c>
      <c r="M35" s="40"/>
      <c r="N35" s="40"/>
      <c r="O35" s="40"/>
      <c r="P35" s="40"/>
      <c r="Q35" s="41"/>
      <c r="R35" s="37" t="s">
        <v>19</v>
      </c>
      <c r="S35" s="38"/>
      <c r="T35" s="37">
        <v>2</v>
      </c>
      <c r="U35" s="38"/>
      <c r="V35" s="43">
        <f t="shared" si="0"/>
        <v>2</v>
      </c>
      <c r="W35" s="44"/>
      <c r="X35" s="43">
        <f t="shared" si="2"/>
        <v>132</v>
      </c>
      <c r="Y35" s="44"/>
      <c r="Z35" s="37"/>
      <c r="AA35" s="38"/>
      <c r="AB35" s="37" t="s">
        <v>29</v>
      </c>
      <c r="AC35" s="38"/>
      <c r="AD35" s="37"/>
      <c r="AE35" s="38"/>
      <c r="AF35" s="19"/>
      <c r="AG35" s="20"/>
      <c r="AH35" s="20"/>
      <c r="AI35" s="20"/>
      <c r="AJ35" s="20"/>
      <c r="AK35" s="20"/>
      <c r="AL35" s="20"/>
      <c r="AM35" s="20"/>
      <c r="AN35" s="20"/>
      <c r="AO35" s="21"/>
      <c r="AP35" s="34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6"/>
      <c r="BE35" s="11"/>
      <c r="BF35" s="31"/>
    </row>
    <row r="36" spans="1:58" s="13" customFormat="1" ht="15" customHeight="1">
      <c r="A36" s="10"/>
      <c r="B36" s="18">
        <f t="shared" si="1"/>
        <v>25</v>
      </c>
      <c r="C36" s="39" t="s">
        <v>175</v>
      </c>
      <c r="D36" s="40"/>
      <c r="E36" s="40"/>
      <c r="F36" s="40"/>
      <c r="G36" s="40"/>
      <c r="H36" s="40"/>
      <c r="I36" s="40"/>
      <c r="J36" s="40"/>
      <c r="K36" s="41"/>
      <c r="L36" s="39" t="s">
        <v>176</v>
      </c>
      <c r="M36" s="40"/>
      <c r="N36" s="40"/>
      <c r="O36" s="40"/>
      <c r="P36" s="40"/>
      <c r="Q36" s="41"/>
      <c r="R36" s="37" t="s">
        <v>19</v>
      </c>
      <c r="S36" s="38"/>
      <c r="T36" s="37">
        <v>8</v>
      </c>
      <c r="U36" s="38"/>
      <c r="V36" s="43">
        <f t="shared" si="0"/>
        <v>8</v>
      </c>
      <c r="W36" s="44"/>
      <c r="X36" s="43">
        <f t="shared" si="2"/>
        <v>134</v>
      </c>
      <c r="Y36" s="44"/>
      <c r="Z36" s="37"/>
      <c r="AA36" s="38"/>
      <c r="AB36" s="37" t="s">
        <v>29</v>
      </c>
      <c r="AC36" s="38"/>
      <c r="AD36" s="37"/>
      <c r="AE36" s="38"/>
      <c r="AF36" s="19"/>
      <c r="AG36" s="20"/>
      <c r="AH36" s="20"/>
      <c r="AI36" s="20"/>
      <c r="AJ36" s="20"/>
      <c r="AK36" s="20"/>
      <c r="AL36" s="20"/>
      <c r="AM36" s="20"/>
      <c r="AN36" s="20"/>
      <c r="AO36" s="21"/>
      <c r="AP36" s="34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6"/>
      <c r="BE36" s="11"/>
      <c r="BF36" s="31"/>
    </row>
    <row r="37" spans="1:58" s="13" customFormat="1" ht="15" customHeight="1">
      <c r="A37" s="10"/>
      <c r="B37" s="18">
        <f t="shared" si="1"/>
        <v>26</v>
      </c>
      <c r="C37" s="39" t="s">
        <v>177</v>
      </c>
      <c r="D37" s="40"/>
      <c r="E37" s="40"/>
      <c r="F37" s="40"/>
      <c r="G37" s="40"/>
      <c r="H37" s="40"/>
      <c r="I37" s="40"/>
      <c r="J37" s="40"/>
      <c r="K37" s="41"/>
      <c r="L37" s="39" t="s">
        <v>178</v>
      </c>
      <c r="M37" s="40"/>
      <c r="N37" s="40"/>
      <c r="O37" s="40"/>
      <c r="P37" s="40"/>
      <c r="Q37" s="41"/>
      <c r="R37" s="37" t="s">
        <v>19</v>
      </c>
      <c r="S37" s="38"/>
      <c r="T37" s="37">
        <v>2</v>
      </c>
      <c r="U37" s="38"/>
      <c r="V37" s="43">
        <f t="shared" si="0"/>
        <v>2</v>
      </c>
      <c r="W37" s="44"/>
      <c r="X37" s="43">
        <f t="shared" si="2"/>
        <v>142</v>
      </c>
      <c r="Y37" s="44"/>
      <c r="Z37" s="37"/>
      <c r="AA37" s="38"/>
      <c r="AB37" s="37" t="s">
        <v>29</v>
      </c>
      <c r="AC37" s="38"/>
      <c r="AD37" s="37"/>
      <c r="AE37" s="38"/>
      <c r="AF37" s="19"/>
      <c r="AG37" s="20"/>
      <c r="AH37" s="20"/>
      <c r="AI37" s="20"/>
      <c r="AJ37" s="20"/>
      <c r="AK37" s="20"/>
      <c r="AL37" s="20"/>
      <c r="AM37" s="20"/>
      <c r="AN37" s="20"/>
      <c r="AO37" s="21"/>
      <c r="AP37" s="34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6"/>
      <c r="BE37" s="11"/>
      <c r="BF37" s="31"/>
    </row>
    <row r="38" spans="1:58" s="13" customFormat="1" ht="15" customHeight="1">
      <c r="A38" s="10"/>
      <c r="B38" s="18">
        <f t="shared" si="1"/>
        <v>27</v>
      </c>
      <c r="C38" s="39" t="s">
        <v>179</v>
      </c>
      <c r="D38" s="40"/>
      <c r="E38" s="40"/>
      <c r="F38" s="40"/>
      <c r="G38" s="40"/>
      <c r="H38" s="40"/>
      <c r="I38" s="40"/>
      <c r="J38" s="40"/>
      <c r="K38" s="41"/>
      <c r="L38" s="39" t="s">
        <v>180</v>
      </c>
      <c r="M38" s="40"/>
      <c r="N38" s="40"/>
      <c r="O38" s="40"/>
      <c r="P38" s="40"/>
      <c r="Q38" s="41"/>
      <c r="R38" s="37" t="s">
        <v>19</v>
      </c>
      <c r="S38" s="38"/>
      <c r="T38" s="37">
        <v>8</v>
      </c>
      <c r="U38" s="38"/>
      <c r="V38" s="43">
        <f t="shared" si="0"/>
        <v>8</v>
      </c>
      <c r="W38" s="44"/>
      <c r="X38" s="43">
        <f t="shared" si="2"/>
        <v>144</v>
      </c>
      <c r="Y38" s="44"/>
      <c r="Z38" s="37"/>
      <c r="AA38" s="38"/>
      <c r="AB38" s="37" t="s">
        <v>29</v>
      </c>
      <c r="AC38" s="38"/>
      <c r="AD38" s="37"/>
      <c r="AE38" s="38"/>
      <c r="AF38" s="19"/>
      <c r="AG38" s="20"/>
      <c r="AH38" s="20"/>
      <c r="AI38" s="20"/>
      <c r="AJ38" s="20"/>
      <c r="AK38" s="20"/>
      <c r="AL38" s="20"/>
      <c r="AM38" s="20"/>
      <c r="AN38" s="20"/>
      <c r="AO38" s="21"/>
      <c r="AP38" s="34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6"/>
      <c r="BE38" s="11"/>
      <c r="BF38" s="31"/>
    </row>
    <row r="39" spans="1:58" s="13" customFormat="1" ht="15" customHeight="1">
      <c r="A39" s="10"/>
      <c r="B39" s="18">
        <f t="shared" si="1"/>
        <v>28</v>
      </c>
      <c r="C39" s="39" t="s">
        <v>83</v>
      </c>
      <c r="D39" s="40"/>
      <c r="E39" s="40"/>
      <c r="F39" s="40"/>
      <c r="G39" s="40"/>
      <c r="H39" s="40"/>
      <c r="I39" s="40"/>
      <c r="J39" s="40"/>
      <c r="K39" s="41"/>
      <c r="L39" s="39" t="s">
        <v>84</v>
      </c>
      <c r="M39" s="40"/>
      <c r="N39" s="40"/>
      <c r="O39" s="40"/>
      <c r="P39" s="40"/>
      <c r="Q39" s="41"/>
      <c r="R39" s="37" t="s">
        <v>181</v>
      </c>
      <c r="S39" s="38"/>
      <c r="T39" s="37"/>
      <c r="U39" s="38"/>
      <c r="V39" s="43">
        <f t="shared" si="0"/>
        <v>8</v>
      </c>
      <c r="W39" s="44"/>
      <c r="X39" s="43">
        <f t="shared" si="2"/>
        <v>152</v>
      </c>
      <c r="Y39" s="44"/>
      <c r="Z39" s="37"/>
      <c r="AA39" s="38"/>
      <c r="AB39" s="37"/>
      <c r="AC39" s="38"/>
      <c r="AD39" s="37"/>
      <c r="AE39" s="38"/>
      <c r="AF39" s="19"/>
      <c r="AG39" s="20"/>
      <c r="AH39" s="20"/>
      <c r="AI39" s="20"/>
      <c r="AJ39" s="20"/>
      <c r="AK39" s="20"/>
      <c r="AL39" s="20"/>
      <c r="AM39" s="20"/>
      <c r="AN39" s="20"/>
      <c r="AO39" s="21"/>
      <c r="AP39" s="34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6"/>
      <c r="BE39" s="11"/>
      <c r="BF39" s="32"/>
    </row>
    <row r="40" spans="1:58" s="13" customFormat="1" ht="15" customHeight="1">
      <c r="A40" s="10"/>
      <c r="B40" s="18">
        <f t="shared" si="1"/>
        <v>29</v>
      </c>
      <c r="C40" s="39" t="s">
        <v>85</v>
      </c>
      <c r="D40" s="40"/>
      <c r="E40" s="40"/>
      <c r="F40" s="40"/>
      <c r="G40" s="40"/>
      <c r="H40" s="40"/>
      <c r="I40" s="40"/>
      <c r="J40" s="40"/>
      <c r="K40" s="41"/>
      <c r="L40" s="39" t="s">
        <v>86</v>
      </c>
      <c r="M40" s="40"/>
      <c r="N40" s="40"/>
      <c r="O40" s="40"/>
      <c r="P40" s="40"/>
      <c r="Q40" s="41"/>
      <c r="R40" s="37" t="s">
        <v>182</v>
      </c>
      <c r="S40" s="38"/>
      <c r="T40" s="37"/>
      <c r="U40" s="38"/>
      <c r="V40" s="43">
        <f t="shared" si="0"/>
        <v>6</v>
      </c>
      <c r="W40" s="44"/>
      <c r="X40" s="43">
        <f t="shared" si="2"/>
        <v>160</v>
      </c>
      <c r="Y40" s="44"/>
      <c r="Z40" s="37"/>
      <c r="AA40" s="38"/>
      <c r="AB40" s="37"/>
      <c r="AC40" s="38"/>
      <c r="AD40" s="37"/>
      <c r="AE40" s="38"/>
      <c r="AF40" s="19"/>
      <c r="AG40" s="20"/>
      <c r="AH40" s="20"/>
      <c r="AI40" s="20"/>
      <c r="AJ40" s="20"/>
      <c r="AK40" s="20"/>
      <c r="AL40" s="20"/>
      <c r="AM40" s="20"/>
      <c r="AN40" s="20"/>
      <c r="AO40" s="21"/>
      <c r="AP40" s="34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6"/>
      <c r="BE40" s="11"/>
      <c r="BF40" s="32"/>
    </row>
    <row r="41" spans="1:58" s="13" customFormat="1" ht="15" customHeight="1">
      <c r="A41" s="10"/>
      <c r="B41" s="18"/>
      <c r="C41" s="39" t="s">
        <v>148</v>
      </c>
      <c r="D41" s="40"/>
      <c r="E41" s="40"/>
      <c r="F41" s="40"/>
      <c r="G41" s="40"/>
      <c r="H41" s="40"/>
      <c r="I41" s="40"/>
      <c r="J41" s="40"/>
      <c r="K41" s="41"/>
      <c r="L41" s="39"/>
      <c r="M41" s="40"/>
      <c r="N41" s="40"/>
      <c r="O41" s="40"/>
      <c r="P41" s="40"/>
      <c r="Q41" s="41"/>
      <c r="R41" s="42"/>
      <c r="S41" s="42"/>
      <c r="T41" s="43"/>
      <c r="U41" s="44"/>
      <c r="V41" s="43" t="str">
        <f t="shared" si="0"/>
        <v/>
      </c>
      <c r="W41" s="44"/>
      <c r="X41" s="43">
        <f>IF(C41&lt;&gt;"",IF(V40="",X40,V40+X40),"")</f>
        <v>166</v>
      </c>
      <c r="Y41" s="44"/>
      <c r="Z41" s="43"/>
      <c r="AA41" s="44"/>
      <c r="AB41" s="43"/>
      <c r="AC41" s="44"/>
      <c r="AD41" s="43"/>
      <c r="AE41" s="44"/>
      <c r="AF41" s="19"/>
      <c r="AG41" s="20"/>
      <c r="AH41" s="20"/>
      <c r="AI41" s="20"/>
      <c r="AJ41" s="20"/>
      <c r="AK41" s="20"/>
      <c r="AL41" s="20"/>
      <c r="AM41" s="20"/>
      <c r="AN41" s="20"/>
      <c r="AO41" s="21"/>
      <c r="AP41" s="34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6"/>
      <c r="BE41" s="11"/>
      <c r="BF41" s="31"/>
    </row>
    <row r="42" spans="1:58" s="13" customFormat="1" ht="15" customHeight="1">
      <c r="A42" s="10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1"/>
      <c r="BF42" s="31"/>
    </row>
    <row r="43" spans="1:58" s="13" customFormat="1" ht="15" customHeight="1">
      <c r="A43" s="10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1"/>
      <c r="BF43" s="31"/>
    </row>
    <row r="44" spans="1:58" s="13" customFormat="1" ht="15" customHeight="1">
      <c r="A44" s="10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1"/>
      <c r="BF44" s="31"/>
    </row>
    <row r="45" spans="1:58" s="13" customFormat="1" ht="15" customHeight="1">
      <c r="A45" s="10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1"/>
      <c r="BF45" s="31"/>
    </row>
    <row r="46" spans="1:58" s="13" customFormat="1" ht="15" customHeight="1">
      <c r="A46" s="10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1"/>
      <c r="BF46" s="31"/>
    </row>
    <row r="47" spans="1:58" s="13" customFormat="1" ht="15" customHeight="1">
      <c r="A47" s="10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1"/>
      <c r="BF47" s="31"/>
    </row>
    <row r="48" spans="1:58" s="13" customFormat="1" ht="15" customHeight="1">
      <c r="A48" s="10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1"/>
      <c r="BF48" s="29"/>
    </row>
    <row r="49" spans="1:58" s="13" customFormat="1" ht="1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6"/>
      <c r="BF49" s="29"/>
    </row>
  </sheetData>
  <mergeCells count="332">
    <mergeCell ref="AY3:BE4"/>
    <mergeCell ref="B7:H7"/>
    <mergeCell ref="I7:V7"/>
    <mergeCell ref="W7:AX7"/>
    <mergeCell ref="AY7:BA7"/>
    <mergeCell ref="BB7:BD7"/>
    <mergeCell ref="A1:T4"/>
    <mergeCell ref="V1:Z2"/>
    <mergeCell ref="AA1:AO2"/>
    <mergeCell ref="AQ1:AU2"/>
    <mergeCell ref="AV1:AX2"/>
    <mergeCell ref="AY1:BE2"/>
    <mergeCell ref="V3:Z4"/>
    <mergeCell ref="AA3:AO4"/>
    <mergeCell ref="AQ3:AU4"/>
    <mergeCell ref="AV3:AX4"/>
    <mergeCell ref="X10:Y11"/>
    <mergeCell ref="Z10:AA11"/>
    <mergeCell ref="AB10:AC11"/>
    <mergeCell ref="AD10:AE11"/>
    <mergeCell ref="AF10:AO10"/>
    <mergeCell ref="AP10:BD11"/>
    <mergeCell ref="B8:H8"/>
    <mergeCell ref="I8:V8"/>
    <mergeCell ref="W8:AC8"/>
    <mergeCell ref="AD8:BD8"/>
    <mergeCell ref="B10:B11"/>
    <mergeCell ref="C10:K11"/>
    <mergeCell ref="L10:Q11"/>
    <mergeCell ref="R10:S11"/>
    <mergeCell ref="T10:U11"/>
    <mergeCell ref="V10:W11"/>
    <mergeCell ref="Z12:AA12"/>
    <mergeCell ref="AB12:AC12"/>
    <mergeCell ref="AD12:AE12"/>
    <mergeCell ref="AP12:BD12"/>
    <mergeCell ref="C13:K13"/>
    <mergeCell ref="L13:Q13"/>
    <mergeCell ref="R13:S13"/>
    <mergeCell ref="T13:U13"/>
    <mergeCell ref="V13:W13"/>
    <mergeCell ref="X13:Y13"/>
    <mergeCell ref="C12:K12"/>
    <mergeCell ref="L12:Q12"/>
    <mergeCell ref="R12:S12"/>
    <mergeCell ref="T12:U12"/>
    <mergeCell ref="V12:W12"/>
    <mergeCell ref="X12:Y12"/>
    <mergeCell ref="Z13:AA13"/>
    <mergeCell ref="AB13:AC13"/>
    <mergeCell ref="AD13:AE13"/>
    <mergeCell ref="AP13:BD13"/>
    <mergeCell ref="AP14:BD14"/>
    <mergeCell ref="C15:K15"/>
    <mergeCell ref="L15:Q15"/>
    <mergeCell ref="R15:S15"/>
    <mergeCell ref="T15:U15"/>
    <mergeCell ref="V15:W15"/>
    <mergeCell ref="X15:Y15"/>
    <mergeCell ref="Z15:AA15"/>
    <mergeCell ref="AB15:AC15"/>
    <mergeCell ref="AD15:AE15"/>
    <mergeCell ref="AP15:BD15"/>
    <mergeCell ref="C14:K14"/>
    <mergeCell ref="L14:Q14"/>
    <mergeCell ref="R14:S14"/>
    <mergeCell ref="T14:U14"/>
    <mergeCell ref="V14:W14"/>
    <mergeCell ref="X14:Y14"/>
    <mergeCell ref="Z14:AA14"/>
    <mergeCell ref="AB14:AC14"/>
    <mergeCell ref="AD14:AE14"/>
    <mergeCell ref="AP16:BD16"/>
    <mergeCell ref="C17:K17"/>
    <mergeCell ref="L17:Q17"/>
    <mergeCell ref="R17:S17"/>
    <mergeCell ref="T17:U17"/>
    <mergeCell ref="V17:W17"/>
    <mergeCell ref="X17:Y17"/>
    <mergeCell ref="Z17:AA17"/>
    <mergeCell ref="AB17:AC17"/>
    <mergeCell ref="AD17:AE17"/>
    <mergeCell ref="AP17:BD17"/>
    <mergeCell ref="C16:K16"/>
    <mergeCell ref="L16:Q16"/>
    <mergeCell ref="R16:S16"/>
    <mergeCell ref="T16:U16"/>
    <mergeCell ref="V16:W16"/>
    <mergeCell ref="X16:Y16"/>
    <mergeCell ref="Z16:AA16"/>
    <mergeCell ref="AB16:AC16"/>
    <mergeCell ref="AD16:AE16"/>
    <mergeCell ref="AP18:BD18"/>
    <mergeCell ref="C19:K19"/>
    <mergeCell ref="L19:Q19"/>
    <mergeCell ref="R19:S19"/>
    <mergeCell ref="T19:U19"/>
    <mergeCell ref="V19:W19"/>
    <mergeCell ref="X19:Y19"/>
    <mergeCell ref="Z19:AA19"/>
    <mergeCell ref="AB19:AC19"/>
    <mergeCell ref="AD19:AE19"/>
    <mergeCell ref="AP19:BD19"/>
    <mergeCell ref="C18:K18"/>
    <mergeCell ref="L18:Q18"/>
    <mergeCell ref="R18:S18"/>
    <mergeCell ref="T18:U18"/>
    <mergeCell ref="V18:W18"/>
    <mergeCell ref="X18:Y18"/>
    <mergeCell ref="Z18:AA18"/>
    <mergeCell ref="AB18:AC18"/>
    <mergeCell ref="AD18:AE18"/>
    <mergeCell ref="AP20:BD20"/>
    <mergeCell ref="C21:K21"/>
    <mergeCell ref="L21:Q21"/>
    <mergeCell ref="R21:S21"/>
    <mergeCell ref="T21:U21"/>
    <mergeCell ref="V21:W21"/>
    <mergeCell ref="X21:Y21"/>
    <mergeCell ref="Z21:AA21"/>
    <mergeCell ref="AB21:AC21"/>
    <mergeCell ref="AD21:AE21"/>
    <mergeCell ref="AP21:BD21"/>
    <mergeCell ref="C20:K20"/>
    <mergeCell ref="L20:Q20"/>
    <mergeCell ref="R20:S20"/>
    <mergeCell ref="T20:U20"/>
    <mergeCell ref="V20:W20"/>
    <mergeCell ref="X20:Y20"/>
    <mergeCell ref="Z20:AA20"/>
    <mergeCell ref="AB20:AC20"/>
    <mergeCell ref="AD20:AE20"/>
    <mergeCell ref="AP22:BD22"/>
    <mergeCell ref="C23:K23"/>
    <mergeCell ref="L23:Q23"/>
    <mergeCell ref="R23:S23"/>
    <mergeCell ref="T23:U23"/>
    <mergeCell ref="V23:W23"/>
    <mergeCell ref="X23:Y23"/>
    <mergeCell ref="Z23:AA23"/>
    <mergeCell ref="AB23:AC23"/>
    <mergeCell ref="AD23:AE23"/>
    <mergeCell ref="AP23:BD23"/>
    <mergeCell ref="C22:K22"/>
    <mergeCell ref="L22:Q22"/>
    <mergeCell ref="R22:S22"/>
    <mergeCell ref="T22:U22"/>
    <mergeCell ref="V22:W22"/>
    <mergeCell ref="X22:Y22"/>
    <mergeCell ref="Z22:AA22"/>
    <mergeCell ref="AB22:AC22"/>
    <mergeCell ref="AD22:AE22"/>
    <mergeCell ref="AP24:BD24"/>
    <mergeCell ref="C25:K25"/>
    <mergeCell ref="L25:Q25"/>
    <mergeCell ref="R25:S25"/>
    <mergeCell ref="T25:U25"/>
    <mergeCell ref="V25:W25"/>
    <mergeCell ref="X25:Y25"/>
    <mergeCell ref="Z25:AA25"/>
    <mergeCell ref="AB25:AC25"/>
    <mergeCell ref="AD25:AE25"/>
    <mergeCell ref="AP25:BD25"/>
    <mergeCell ref="C24:K24"/>
    <mergeCell ref="L24:Q24"/>
    <mergeCell ref="R24:S24"/>
    <mergeCell ref="T24:U24"/>
    <mergeCell ref="V24:W24"/>
    <mergeCell ref="X24:Y24"/>
    <mergeCell ref="Z24:AA24"/>
    <mergeCell ref="AB24:AC24"/>
    <mergeCell ref="AD24:AE24"/>
    <mergeCell ref="AP26:BD26"/>
    <mergeCell ref="C27:K27"/>
    <mergeCell ref="L27:Q27"/>
    <mergeCell ref="R27:S27"/>
    <mergeCell ref="T27:U27"/>
    <mergeCell ref="V27:W27"/>
    <mergeCell ref="X27:Y27"/>
    <mergeCell ref="Z27:AA27"/>
    <mergeCell ref="AB27:AC27"/>
    <mergeCell ref="AD27:AE27"/>
    <mergeCell ref="AP27:BD27"/>
    <mergeCell ref="C26:K26"/>
    <mergeCell ref="L26:Q26"/>
    <mergeCell ref="R26:S26"/>
    <mergeCell ref="T26:U26"/>
    <mergeCell ref="V26:W26"/>
    <mergeCell ref="X26:Y26"/>
    <mergeCell ref="Z26:AA26"/>
    <mergeCell ref="AB26:AC26"/>
    <mergeCell ref="AD26:AE26"/>
    <mergeCell ref="AP28:BD28"/>
    <mergeCell ref="C29:K29"/>
    <mergeCell ref="L29:Q29"/>
    <mergeCell ref="R29:S29"/>
    <mergeCell ref="T29:U29"/>
    <mergeCell ref="V29:W29"/>
    <mergeCell ref="X29:Y29"/>
    <mergeCell ref="Z29:AA29"/>
    <mergeCell ref="AB29:AC29"/>
    <mergeCell ref="AD29:AE29"/>
    <mergeCell ref="AP29:BD29"/>
    <mergeCell ref="C28:K28"/>
    <mergeCell ref="L28:Q28"/>
    <mergeCell ref="R28:S28"/>
    <mergeCell ref="T28:U28"/>
    <mergeCell ref="V28:W28"/>
    <mergeCell ref="X28:Y28"/>
    <mergeCell ref="Z28:AA28"/>
    <mergeCell ref="AB28:AC28"/>
    <mergeCell ref="AD28:AE28"/>
    <mergeCell ref="AP30:BD30"/>
    <mergeCell ref="C31:K31"/>
    <mergeCell ref="L31:Q31"/>
    <mergeCell ref="R31:S31"/>
    <mergeCell ref="T31:U31"/>
    <mergeCell ref="V31:W31"/>
    <mergeCell ref="X31:Y31"/>
    <mergeCell ref="Z31:AA31"/>
    <mergeCell ref="AB31:AC31"/>
    <mergeCell ref="AD31:AE31"/>
    <mergeCell ref="AP31:BD31"/>
    <mergeCell ref="C30:K30"/>
    <mergeCell ref="L30:Q30"/>
    <mergeCell ref="R30:S30"/>
    <mergeCell ref="T30:U30"/>
    <mergeCell ref="V30:W30"/>
    <mergeCell ref="X30:Y30"/>
    <mergeCell ref="Z30:AA30"/>
    <mergeCell ref="AB30:AC30"/>
    <mergeCell ref="AD30:AE30"/>
    <mergeCell ref="AP32:BD32"/>
    <mergeCell ref="C33:K33"/>
    <mergeCell ref="L33:Q33"/>
    <mergeCell ref="R33:S33"/>
    <mergeCell ref="T33:U33"/>
    <mergeCell ref="V33:W33"/>
    <mergeCell ref="X33:Y33"/>
    <mergeCell ref="Z33:AA33"/>
    <mergeCell ref="AB33:AC33"/>
    <mergeCell ref="AD33:AE33"/>
    <mergeCell ref="AP33:BD33"/>
    <mergeCell ref="C32:K32"/>
    <mergeCell ref="L32:Q32"/>
    <mergeCell ref="R32:S32"/>
    <mergeCell ref="T32:U32"/>
    <mergeCell ref="V32:W32"/>
    <mergeCell ref="X32:Y32"/>
    <mergeCell ref="Z32:AA32"/>
    <mergeCell ref="AB32:AC32"/>
    <mergeCell ref="AD32:AE32"/>
    <mergeCell ref="AP34:BD34"/>
    <mergeCell ref="C35:K35"/>
    <mergeCell ref="L35:Q35"/>
    <mergeCell ref="R35:S35"/>
    <mergeCell ref="T35:U35"/>
    <mergeCell ref="V35:W35"/>
    <mergeCell ref="X35:Y35"/>
    <mergeCell ref="Z35:AA35"/>
    <mergeCell ref="AB35:AC35"/>
    <mergeCell ref="AD35:AE35"/>
    <mergeCell ref="AP35:BD35"/>
    <mergeCell ref="C34:K34"/>
    <mergeCell ref="L34:Q34"/>
    <mergeCell ref="R34:S34"/>
    <mergeCell ref="T34:U34"/>
    <mergeCell ref="V34:W34"/>
    <mergeCell ref="X34:Y34"/>
    <mergeCell ref="Z34:AA34"/>
    <mergeCell ref="AB34:AC34"/>
    <mergeCell ref="AD34:AE34"/>
    <mergeCell ref="AP36:BD36"/>
    <mergeCell ref="C37:K37"/>
    <mergeCell ref="L37:Q37"/>
    <mergeCell ref="R37:S37"/>
    <mergeCell ref="T37:U37"/>
    <mergeCell ref="V37:W37"/>
    <mergeCell ref="X37:Y37"/>
    <mergeCell ref="Z37:AA37"/>
    <mergeCell ref="AB37:AC37"/>
    <mergeCell ref="AD37:AE37"/>
    <mergeCell ref="AP37:BD37"/>
    <mergeCell ref="C36:K36"/>
    <mergeCell ref="L36:Q36"/>
    <mergeCell ref="R36:S36"/>
    <mergeCell ref="T36:U36"/>
    <mergeCell ref="V36:W36"/>
    <mergeCell ref="X36:Y36"/>
    <mergeCell ref="Z36:AA36"/>
    <mergeCell ref="AB36:AC36"/>
    <mergeCell ref="AD36:AE36"/>
    <mergeCell ref="AP38:BD38"/>
    <mergeCell ref="C39:K39"/>
    <mergeCell ref="L39:Q39"/>
    <mergeCell ref="R39:S39"/>
    <mergeCell ref="T39:U39"/>
    <mergeCell ref="V39:W39"/>
    <mergeCell ref="X39:Y39"/>
    <mergeCell ref="Z39:AA39"/>
    <mergeCell ref="AB39:AC39"/>
    <mergeCell ref="AD39:AE39"/>
    <mergeCell ref="AP39:BD39"/>
    <mergeCell ref="C38:K38"/>
    <mergeCell ref="L38:Q38"/>
    <mergeCell ref="R38:S38"/>
    <mergeCell ref="T38:U38"/>
    <mergeCell ref="V38:W38"/>
    <mergeCell ref="X38:Y38"/>
    <mergeCell ref="Z38:AA38"/>
    <mergeCell ref="AB38:AC38"/>
    <mergeCell ref="AD38:AE38"/>
    <mergeCell ref="AP41:BD41"/>
    <mergeCell ref="Z40:AA40"/>
    <mergeCell ref="AB40:AC40"/>
    <mergeCell ref="AD40:AE40"/>
    <mergeCell ref="AP40:BD40"/>
    <mergeCell ref="C41:K41"/>
    <mergeCell ref="L41:Q41"/>
    <mergeCell ref="R41:S41"/>
    <mergeCell ref="T41:U41"/>
    <mergeCell ref="V41:W41"/>
    <mergeCell ref="X41:Y41"/>
    <mergeCell ref="C40:K40"/>
    <mergeCell ref="L40:Q40"/>
    <mergeCell ref="R40:S40"/>
    <mergeCell ref="T40:U40"/>
    <mergeCell ref="V40:W40"/>
    <mergeCell ref="X40:Y40"/>
    <mergeCell ref="Z41:AA41"/>
    <mergeCell ref="AB41:AC41"/>
    <mergeCell ref="AD41:AE41"/>
  </mergeCells>
  <phoneticPr fontId="1"/>
  <pageMargins left="0.39370078740157483" right="0.39370078740157483" top="0.47244094488188981" bottom="0.44" header="0.19685039370078741" footer="0.25"/>
  <pageSetup paperSize="9" scale="73" fitToHeight="0" orientation="landscape" r:id="rId1"/>
  <headerFooter alignWithMargins="0">
    <oddFooter>&amp;L&amp;"ＭＳ ゴシック,標準"&amp;10ＣＯＮＦＩＤＥＮＴＩＡＬ&amp;R&amp;"ＭＳ ゴシック,標準"&amp;10（&amp;P／&amp;N）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16"/>
  <sheetViews>
    <sheetView workbookViewId="0">
      <selection activeCell="C2" sqref="C2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20</v>
      </c>
    </row>
    <row r="2" spans="2:4">
      <c r="B2" s="1" t="s">
        <v>183</v>
      </c>
      <c r="C2" s="1" t="s">
        <v>184</v>
      </c>
      <c r="D2" s="1" t="s">
        <v>185</v>
      </c>
    </row>
    <row r="3" spans="2:4">
      <c r="B3" s="1" t="s">
        <v>187</v>
      </c>
      <c r="C3" s="33" t="s">
        <v>193</v>
      </c>
      <c r="D3" s="1" t="s">
        <v>188</v>
      </c>
    </row>
    <row r="4" spans="2:4">
      <c r="B4" s="1" t="s">
        <v>189</v>
      </c>
      <c r="C4" s="1" t="s">
        <v>190</v>
      </c>
      <c r="D4" s="1" t="s">
        <v>191</v>
      </c>
    </row>
    <row r="5" spans="2:4">
      <c r="B5" s="1"/>
      <c r="C5" s="1"/>
      <c r="D5" s="1"/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B7"/>
  <sheetViews>
    <sheetView topLeftCell="B1" workbookViewId="0">
      <selection activeCell="B8" sqref="B8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206</v>
      </c>
    </row>
    <row r="6" spans="2:2">
      <c r="B6" s="1" t="s">
        <v>207</v>
      </c>
    </row>
    <row r="7" spans="2:2">
      <c r="B7" s="1" t="s">
        <v>208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5"/>
  <sheetViews>
    <sheetView topLeftCell="C1" workbookViewId="0">
      <selection activeCell="F2" sqref="F2:F4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4.125" bestFit="1" customWidth="1"/>
    <col min="5" max="5" width="35.375" bestFit="1" customWidth="1"/>
    <col min="6" max="6" width="79" bestFit="1" customWidth="1"/>
  </cols>
  <sheetData>
    <row r="1" spans="2:6">
      <c r="B1" s="2" t="s">
        <v>5</v>
      </c>
      <c r="C1" s="2" t="s">
        <v>6</v>
      </c>
      <c r="D1" s="3" t="s">
        <v>1</v>
      </c>
      <c r="E1" s="2" t="s">
        <v>2</v>
      </c>
      <c r="F1" s="4" t="s">
        <v>75</v>
      </c>
    </row>
    <row r="2" spans="2:6">
      <c r="B2" s="1" t="s">
        <v>201</v>
      </c>
      <c r="C2" s="1"/>
      <c r="D2" s="1" t="s">
        <v>211</v>
      </c>
      <c r="E2" s="1" t="s">
        <v>70</v>
      </c>
      <c r="F2" s="1" t="s">
        <v>209</v>
      </c>
    </row>
    <row r="3" spans="2:6">
      <c r="B3" s="1" t="s">
        <v>202</v>
      </c>
      <c r="C3" s="1" t="s">
        <v>69</v>
      </c>
      <c r="D3" s="1" t="s">
        <v>211</v>
      </c>
      <c r="E3" s="1" t="s">
        <v>71</v>
      </c>
      <c r="F3" s="1" t="s">
        <v>209</v>
      </c>
    </row>
    <row r="4" spans="2:6">
      <c r="B4" s="1" t="s">
        <v>213</v>
      </c>
      <c r="C4" s="1"/>
      <c r="D4" s="1" t="s">
        <v>212</v>
      </c>
      <c r="E4" s="1" t="s">
        <v>78</v>
      </c>
      <c r="F4" s="1" t="s">
        <v>210</v>
      </c>
    </row>
    <row r="5" spans="2:6">
      <c r="B5" s="1"/>
      <c r="C5" s="1"/>
      <c r="D5" s="1"/>
      <c r="E5" s="1"/>
      <c r="F5" s="1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BF65"/>
  <sheetViews>
    <sheetView view="pageBreakPreview" zoomScale="90" zoomScaleNormal="75" zoomScaleSheetLayoutView="90" workbookViewId="0">
      <selection activeCell="B12" sqref="B12"/>
    </sheetView>
  </sheetViews>
  <sheetFormatPr defaultColWidth="3.125" defaultRowHeight="15" customHeight="1"/>
  <cols>
    <col min="1" max="1" width="1.625" style="5" customWidth="1"/>
    <col min="2" max="56" width="3.125" style="5" customWidth="1"/>
    <col min="57" max="57" width="1.625" style="5" customWidth="1"/>
    <col min="58" max="256" width="3.125" style="5"/>
    <col min="257" max="257" width="1.625" style="5" customWidth="1"/>
    <col min="258" max="312" width="3.125" style="5" customWidth="1"/>
    <col min="313" max="313" width="1.625" style="5" customWidth="1"/>
    <col min="314" max="512" width="3.125" style="5"/>
    <col min="513" max="513" width="1.625" style="5" customWidth="1"/>
    <col min="514" max="568" width="3.125" style="5" customWidth="1"/>
    <col min="569" max="569" width="1.625" style="5" customWidth="1"/>
    <col min="570" max="768" width="3.125" style="5"/>
    <col min="769" max="769" width="1.625" style="5" customWidth="1"/>
    <col min="770" max="824" width="3.125" style="5" customWidth="1"/>
    <col min="825" max="825" width="1.625" style="5" customWidth="1"/>
    <col min="826" max="1024" width="3.125" style="5"/>
    <col min="1025" max="1025" width="1.625" style="5" customWidth="1"/>
    <col min="1026" max="1080" width="3.125" style="5" customWidth="1"/>
    <col min="1081" max="1081" width="1.625" style="5" customWidth="1"/>
    <col min="1082" max="1280" width="3.125" style="5"/>
    <col min="1281" max="1281" width="1.625" style="5" customWidth="1"/>
    <col min="1282" max="1336" width="3.125" style="5" customWidth="1"/>
    <col min="1337" max="1337" width="1.625" style="5" customWidth="1"/>
    <col min="1338" max="1536" width="3.125" style="5"/>
    <col min="1537" max="1537" width="1.625" style="5" customWidth="1"/>
    <col min="1538" max="1592" width="3.125" style="5" customWidth="1"/>
    <col min="1593" max="1593" width="1.625" style="5" customWidth="1"/>
    <col min="1594" max="1792" width="3.125" style="5"/>
    <col min="1793" max="1793" width="1.625" style="5" customWidth="1"/>
    <col min="1794" max="1848" width="3.125" style="5" customWidth="1"/>
    <col min="1849" max="1849" width="1.625" style="5" customWidth="1"/>
    <col min="1850" max="2048" width="3.125" style="5"/>
    <col min="2049" max="2049" width="1.625" style="5" customWidth="1"/>
    <col min="2050" max="2104" width="3.125" style="5" customWidth="1"/>
    <col min="2105" max="2105" width="1.625" style="5" customWidth="1"/>
    <col min="2106" max="2304" width="3.125" style="5"/>
    <col min="2305" max="2305" width="1.625" style="5" customWidth="1"/>
    <col min="2306" max="2360" width="3.125" style="5" customWidth="1"/>
    <col min="2361" max="2361" width="1.625" style="5" customWidth="1"/>
    <col min="2362" max="2560" width="3.125" style="5"/>
    <col min="2561" max="2561" width="1.625" style="5" customWidth="1"/>
    <col min="2562" max="2616" width="3.125" style="5" customWidth="1"/>
    <col min="2617" max="2617" width="1.625" style="5" customWidth="1"/>
    <col min="2618" max="2816" width="3.125" style="5"/>
    <col min="2817" max="2817" width="1.625" style="5" customWidth="1"/>
    <col min="2818" max="2872" width="3.125" style="5" customWidth="1"/>
    <col min="2873" max="2873" width="1.625" style="5" customWidth="1"/>
    <col min="2874" max="3072" width="3.125" style="5"/>
    <col min="3073" max="3073" width="1.625" style="5" customWidth="1"/>
    <col min="3074" max="3128" width="3.125" style="5" customWidth="1"/>
    <col min="3129" max="3129" width="1.625" style="5" customWidth="1"/>
    <col min="3130" max="3328" width="3.125" style="5"/>
    <col min="3329" max="3329" width="1.625" style="5" customWidth="1"/>
    <col min="3330" max="3384" width="3.125" style="5" customWidth="1"/>
    <col min="3385" max="3385" width="1.625" style="5" customWidth="1"/>
    <col min="3386" max="3584" width="3.125" style="5"/>
    <col min="3585" max="3585" width="1.625" style="5" customWidth="1"/>
    <col min="3586" max="3640" width="3.125" style="5" customWidth="1"/>
    <col min="3641" max="3641" width="1.625" style="5" customWidth="1"/>
    <col min="3642" max="3840" width="3.125" style="5"/>
    <col min="3841" max="3841" width="1.625" style="5" customWidth="1"/>
    <col min="3842" max="3896" width="3.125" style="5" customWidth="1"/>
    <col min="3897" max="3897" width="1.625" style="5" customWidth="1"/>
    <col min="3898" max="4096" width="3.125" style="5"/>
    <col min="4097" max="4097" width="1.625" style="5" customWidth="1"/>
    <col min="4098" max="4152" width="3.125" style="5" customWidth="1"/>
    <col min="4153" max="4153" width="1.625" style="5" customWidth="1"/>
    <col min="4154" max="4352" width="3.125" style="5"/>
    <col min="4353" max="4353" width="1.625" style="5" customWidth="1"/>
    <col min="4354" max="4408" width="3.125" style="5" customWidth="1"/>
    <col min="4409" max="4409" width="1.625" style="5" customWidth="1"/>
    <col min="4410" max="4608" width="3.125" style="5"/>
    <col min="4609" max="4609" width="1.625" style="5" customWidth="1"/>
    <col min="4610" max="4664" width="3.125" style="5" customWidth="1"/>
    <col min="4665" max="4665" width="1.625" style="5" customWidth="1"/>
    <col min="4666" max="4864" width="3.125" style="5"/>
    <col min="4865" max="4865" width="1.625" style="5" customWidth="1"/>
    <col min="4866" max="4920" width="3.125" style="5" customWidth="1"/>
    <col min="4921" max="4921" width="1.625" style="5" customWidth="1"/>
    <col min="4922" max="5120" width="3.125" style="5"/>
    <col min="5121" max="5121" width="1.625" style="5" customWidth="1"/>
    <col min="5122" max="5176" width="3.125" style="5" customWidth="1"/>
    <col min="5177" max="5177" width="1.625" style="5" customWidth="1"/>
    <col min="5178" max="5376" width="3.125" style="5"/>
    <col min="5377" max="5377" width="1.625" style="5" customWidth="1"/>
    <col min="5378" max="5432" width="3.125" style="5" customWidth="1"/>
    <col min="5433" max="5433" width="1.625" style="5" customWidth="1"/>
    <col min="5434" max="5632" width="3.125" style="5"/>
    <col min="5633" max="5633" width="1.625" style="5" customWidth="1"/>
    <col min="5634" max="5688" width="3.125" style="5" customWidth="1"/>
    <col min="5689" max="5689" width="1.625" style="5" customWidth="1"/>
    <col min="5690" max="5888" width="3.125" style="5"/>
    <col min="5889" max="5889" width="1.625" style="5" customWidth="1"/>
    <col min="5890" max="5944" width="3.125" style="5" customWidth="1"/>
    <col min="5945" max="5945" width="1.625" style="5" customWidth="1"/>
    <col min="5946" max="6144" width="3.125" style="5"/>
    <col min="6145" max="6145" width="1.625" style="5" customWidth="1"/>
    <col min="6146" max="6200" width="3.125" style="5" customWidth="1"/>
    <col min="6201" max="6201" width="1.625" style="5" customWidth="1"/>
    <col min="6202" max="6400" width="3.125" style="5"/>
    <col min="6401" max="6401" width="1.625" style="5" customWidth="1"/>
    <col min="6402" max="6456" width="3.125" style="5" customWidth="1"/>
    <col min="6457" max="6457" width="1.625" style="5" customWidth="1"/>
    <col min="6458" max="6656" width="3.125" style="5"/>
    <col min="6657" max="6657" width="1.625" style="5" customWidth="1"/>
    <col min="6658" max="6712" width="3.125" style="5" customWidth="1"/>
    <col min="6713" max="6713" width="1.625" style="5" customWidth="1"/>
    <col min="6714" max="6912" width="3.125" style="5"/>
    <col min="6913" max="6913" width="1.625" style="5" customWidth="1"/>
    <col min="6914" max="6968" width="3.125" style="5" customWidth="1"/>
    <col min="6969" max="6969" width="1.625" style="5" customWidth="1"/>
    <col min="6970" max="7168" width="3.125" style="5"/>
    <col min="7169" max="7169" width="1.625" style="5" customWidth="1"/>
    <col min="7170" max="7224" width="3.125" style="5" customWidth="1"/>
    <col min="7225" max="7225" width="1.625" style="5" customWidth="1"/>
    <col min="7226" max="7424" width="3.125" style="5"/>
    <col min="7425" max="7425" width="1.625" style="5" customWidth="1"/>
    <col min="7426" max="7480" width="3.125" style="5" customWidth="1"/>
    <col min="7481" max="7481" width="1.625" style="5" customWidth="1"/>
    <col min="7482" max="7680" width="3.125" style="5"/>
    <col min="7681" max="7681" width="1.625" style="5" customWidth="1"/>
    <col min="7682" max="7736" width="3.125" style="5" customWidth="1"/>
    <col min="7737" max="7737" width="1.625" style="5" customWidth="1"/>
    <col min="7738" max="7936" width="3.125" style="5"/>
    <col min="7937" max="7937" width="1.625" style="5" customWidth="1"/>
    <col min="7938" max="7992" width="3.125" style="5" customWidth="1"/>
    <col min="7993" max="7993" width="1.625" style="5" customWidth="1"/>
    <col min="7994" max="8192" width="3.125" style="5"/>
    <col min="8193" max="8193" width="1.625" style="5" customWidth="1"/>
    <col min="8194" max="8248" width="3.125" style="5" customWidth="1"/>
    <col min="8249" max="8249" width="1.625" style="5" customWidth="1"/>
    <col min="8250" max="8448" width="3.125" style="5"/>
    <col min="8449" max="8449" width="1.625" style="5" customWidth="1"/>
    <col min="8450" max="8504" width="3.125" style="5" customWidth="1"/>
    <col min="8505" max="8505" width="1.625" style="5" customWidth="1"/>
    <col min="8506" max="8704" width="3.125" style="5"/>
    <col min="8705" max="8705" width="1.625" style="5" customWidth="1"/>
    <col min="8706" max="8760" width="3.125" style="5" customWidth="1"/>
    <col min="8761" max="8761" width="1.625" style="5" customWidth="1"/>
    <col min="8762" max="8960" width="3.125" style="5"/>
    <col min="8961" max="8961" width="1.625" style="5" customWidth="1"/>
    <col min="8962" max="9016" width="3.125" style="5" customWidth="1"/>
    <col min="9017" max="9017" width="1.625" style="5" customWidth="1"/>
    <col min="9018" max="9216" width="3.125" style="5"/>
    <col min="9217" max="9217" width="1.625" style="5" customWidth="1"/>
    <col min="9218" max="9272" width="3.125" style="5" customWidth="1"/>
    <col min="9273" max="9273" width="1.625" style="5" customWidth="1"/>
    <col min="9274" max="9472" width="3.125" style="5"/>
    <col min="9473" max="9473" width="1.625" style="5" customWidth="1"/>
    <col min="9474" max="9528" width="3.125" style="5" customWidth="1"/>
    <col min="9529" max="9529" width="1.625" style="5" customWidth="1"/>
    <col min="9530" max="9728" width="3.125" style="5"/>
    <col min="9729" max="9729" width="1.625" style="5" customWidth="1"/>
    <col min="9730" max="9784" width="3.125" style="5" customWidth="1"/>
    <col min="9785" max="9785" width="1.625" style="5" customWidth="1"/>
    <col min="9786" max="9984" width="3.125" style="5"/>
    <col min="9985" max="9985" width="1.625" style="5" customWidth="1"/>
    <col min="9986" max="10040" width="3.125" style="5" customWidth="1"/>
    <col min="10041" max="10041" width="1.625" style="5" customWidth="1"/>
    <col min="10042" max="10240" width="3.125" style="5"/>
    <col min="10241" max="10241" width="1.625" style="5" customWidth="1"/>
    <col min="10242" max="10296" width="3.125" style="5" customWidth="1"/>
    <col min="10297" max="10297" width="1.625" style="5" customWidth="1"/>
    <col min="10298" max="10496" width="3.125" style="5"/>
    <col min="10497" max="10497" width="1.625" style="5" customWidth="1"/>
    <col min="10498" max="10552" width="3.125" style="5" customWidth="1"/>
    <col min="10553" max="10553" width="1.625" style="5" customWidth="1"/>
    <col min="10554" max="10752" width="3.125" style="5"/>
    <col min="10753" max="10753" width="1.625" style="5" customWidth="1"/>
    <col min="10754" max="10808" width="3.125" style="5" customWidth="1"/>
    <col min="10809" max="10809" width="1.625" style="5" customWidth="1"/>
    <col min="10810" max="11008" width="3.125" style="5"/>
    <col min="11009" max="11009" width="1.625" style="5" customWidth="1"/>
    <col min="11010" max="11064" width="3.125" style="5" customWidth="1"/>
    <col min="11065" max="11065" width="1.625" style="5" customWidth="1"/>
    <col min="11066" max="11264" width="3.125" style="5"/>
    <col min="11265" max="11265" width="1.625" style="5" customWidth="1"/>
    <col min="11266" max="11320" width="3.125" style="5" customWidth="1"/>
    <col min="11321" max="11321" width="1.625" style="5" customWidth="1"/>
    <col min="11322" max="11520" width="3.125" style="5"/>
    <col min="11521" max="11521" width="1.625" style="5" customWidth="1"/>
    <col min="11522" max="11576" width="3.125" style="5" customWidth="1"/>
    <col min="11577" max="11577" width="1.625" style="5" customWidth="1"/>
    <col min="11578" max="11776" width="3.125" style="5"/>
    <col min="11777" max="11777" width="1.625" style="5" customWidth="1"/>
    <col min="11778" max="11832" width="3.125" style="5" customWidth="1"/>
    <col min="11833" max="11833" width="1.625" style="5" customWidth="1"/>
    <col min="11834" max="12032" width="3.125" style="5"/>
    <col min="12033" max="12033" width="1.625" style="5" customWidth="1"/>
    <col min="12034" max="12088" width="3.125" style="5" customWidth="1"/>
    <col min="12089" max="12089" width="1.625" style="5" customWidth="1"/>
    <col min="12090" max="12288" width="3.125" style="5"/>
    <col min="12289" max="12289" width="1.625" style="5" customWidth="1"/>
    <col min="12290" max="12344" width="3.125" style="5" customWidth="1"/>
    <col min="12345" max="12345" width="1.625" style="5" customWidth="1"/>
    <col min="12346" max="12544" width="3.125" style="5"/>
    <col min="12545" max="12545" width="1.625" style="5" customWidth="1"/>
    <col min="12546" max="12600" width="3.125" style="5" customWidth="1"/>
    <col min="12601" max="12601" width="1.625" style="5" customWidth="1"/>
    <col min="12602" max="12800" width="3.125" style="5"/>
    <col min="12801" max="12801" width="1.625" style="5" customWidth="1"/>
    <col min="12802" max="12856" width="3.125" style="5" customWidth="1"/>
    <col min="12857" max="12857" width="1.625" style="5" customWidth="1"/>
    <col min="12858" max="13056" width="3.125" style="5"/>
    <col min="13057" max="13057" width="1.625" style="5" customWidth="1"/>
    <col min="13058" max="13112" width="3.125" style="5" customWidth="1"/>
    <col min="13113" max="13113" width="1.625" style="5" customWidth="1"/>
    <col min="13114" max="13312" width="3.125" style="5"/>
    <col min="13313" max="13313" width="1.625" style="5" customWidth="1"/>
    <col min="13314" max="13368" width="3.125" style="5" customWidth="1"/>
    <col min="13369" max="13369" width="1.625" style="5" customWidth="1"/>
    <col min="13370" max="13568" width="3.125" style="5"/>
    <col min="13569" max="13569" width="1.625" style="5" customWidth="1"/>
    <col min="13570" max="13624" width="3.125" style="5" customWidth="1"/>
    <col min="13625" max="13625" width="1.625" style="5" customWidth="1"/>
    <col min="13626" max="13824" width="3.125" style="5"/>
    <col min="13825" max="13825" width="1.625" style="5" customWidth="1"/>
    <col min="13826" max="13880" width="3.125" style="5" customWidth="1"/>
    <col min="13881" max="13881" width="1.625" style="5" customWidth="1"/>
    <col min="13882" max="14080" width="3.125" style="5"/>
    <col min="14081" max="14081" width="1.625" style="5" customWidth="1"/>
    <col min="14082" max="14136" width="3.125" style="5" customWidth="1"/>
    <col min="14137" max="14137" width="1.625" style="5" customWidth="1"/>
    <col min="14138" max="14336" width="3.125" style="5"/>
    <col min="14337" max="14337" width="1.625" style="5" customWidth="1"/>
    <col min="14338" max="14392" width="3.125" style="5" customWidth="1"/>
    <col min="14393" max="14393" width="1.625" style="5" customWidth="1"/>
    <col min="14394" max="14592" width="3.125" style="5"/>
    <col min="14593" max="14593" width="1.625" style="5" customWidth="1"/>
    <col min="14594" max="14648" width="3.125" style="5" customWidth="1"/>
    <col min="14649" max="14649" width="1.625" style="5" customWidth="1"/>
    <col min="14650" max="14848" width="3.125" style="5"/>
    <col min="14849" max="14849" width="1.625" style="5" customWidth="1"/>
    <col min="14850" max="14904" width="3.125" style="5" customWidth="1"/>
    <col min="14905" max="14905" width="1.625" style="5" customWidth="1"/>
    <col min="14906" max="15104" width="3.125" style="5"/>
    <col min="15105" max="15105" width="1.625" style="5" customWidth="1"/>
    <col min="15106" max="15160" width="3.125" style="5" customWidth="1"/>
    <col min="15161" max="15161" width="1.625" style="5" customWidth="1"/>
    <col min="15162" max="15360" width="3.125" style="5"/>
    <col min="15361" max="15361" width="1.625" style="5" customWidth="1"/>
    <col min="15362" max="15416" width="3.125" style="5" customWidth="1"/>
    <col min="15417" max="15417" width="1.625" style="5" customWidth="1"/>
    <col min="15418" max="15616" width="3.125" style="5"/>
    <col min="15617" max="15617" width="1.625" style="5" customWidth="1"/>
    <col min="15618" max="15672" width="3.125" style="5" customWidth="1"/>
    <col min="15673" max="15673" width="1.625" style="5" customWidth="1"/>
    <col min="15674" max="15872" width="3.125" style="5"/>
    <col min="15873" max="15873" width="1.625" style="5" customWidth="1"/>
    <col min="15874" max="15928" width="3.125" style="5" customWidth="1"/>
    <col min="15929" max="15929" width="1.625" style="5" customWidth="1"/>
    <col min="15930" max="16128" width="3.125" style="5"/>
    <col min="16129" max="16129" width="1.625" style="5" customWidth="1"/>
    <col min="16130" max="16184" width="3.125" style="5" customWidth="1"/>
    <col min="16185" max="16185" width="1.625" style="5" customWidth="1"/>
    <col min="16186" max="16384" width="3.125" style="5"/>
  </cols>
  <sheetData>
    <row r="1" spans="1:57" ht="15" customHeight="1">
      <c r="A1" s="52" t="s">
        <v>203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V1" s="48" t="s">
        <v>7</v>
      </c>
      <c r="W1" s="48"/>
      <c r="X1" s="48"/>
      <c r="Y1" s="48"/>
      <c r="Z1" s="48"/>
      <c r="AA1" s="54" t="s">
        <v>87</v>
      </c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6"/>
      <c r="AP1" s="6"/>
      <c r="AQ1" s="48" t="s">
        <v>8</v>
      </c>
      <c r="AR1" s="48"/>
      <c r="AS1" s="48"/>
      <c r="AT1" s="48"/>
      <c r="AU1" s="48"/>
      <c r="AV1" s="60" t="s">
        <v>88</v>
      </c>
      <c r="AW1" s="48"/>
      <c r="AX1" s="48"/>
      <c r="AY1" s="65">
        <v>40847</v>
      </c>
      <c r="AZ1" s="48"/>
      <c r="BA1" s="48"/>
      <c r="BB1" s="48"/>
      <c r="BC1" s="48"/>
      <c r="BD1" s="48"/>
      <c r="BE1" s="48"/>
    </row>
    <row r="2" spans="1:57" ht="15" customHeight="1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V2" s="48"/>
      <c r="W2" s="48"/>
      <c r="X2" s="48"/>
      <c r="Y2" s="48"/>
      <c r="Z2" s="48"/>
      <c r="AA2" s="57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9"/>
      <c r="AP2" s="6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</row>
    <row r="3" spans="1:57" ht="15" customHeight="1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V3" s="48" t="s">
        <v>9</v>
      </c>
      <c r="W3" s="48"/>
      <c r="X3" s="48"/>
      <c r="Y3" s="48"/>
      <c r="Z3" s="48"/>
      <c r="AA3" s="48" t="s">
        <v>217</v>
      </c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6"/>
      <c r="AQ3" s="48" t="s">
        <v>10</v>
      </c>
      <c r="AR3" s="48"/>
      <c r="AS3" s="48"/>
      <c r="AT3" s="48"/>
      <c r="AU3" s="48"/>
      <c r="AV3" s="60"/>
      <c r="AW3" s="48"/>
      <c r="AX3" s="48"/>
      <c r="AY3" s="48"/>
      <c r="AZ3" s="48"/>
      <c r="BA3" s="48"/>
      <c r="BB3" s="48"/>
      <c r="BC3" s="48"/>
      <c r="BD3" s="48"/>
      <c r="BE3" s="48"/>
    </row>
    <row r="4" spans="1:57" ht="15" customHeight="1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6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</row>
    <row r="5" spans="1:57" ht="11.25" customHeight="1"/>
    <row r="6" spans="1:57" ht="10.35" customHeight="1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9"/>
    </row>
    <row r="7" spans="1:57" s="6" customFormat="1" ht="15" customHeight="1">
      <c r="A7" s="10"/>
      <c r="B7" s="48" t="s">
        <v>89</v>
      </c>
      <c r="C7" s="48"/>
      <c r="D7" s="48"/>
      <c r="E7" s="48"/>
      <c r="F7" s="48"/>
      <c r="G7" s="48"/>
      <c r="H7" s="48"/>
      <c r="I7" s="50" t="s">
        <v>215</v>
      </c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48" t="s">
        <v>12</v>
      </c>
      <c r="AZ7" s="48"/>
      <c r="BA7" s="48"/>
      <c r="BB7" s="48" t="e">
        <f>X49-1</f>
        <v>#REF!</v>
      </c>
      <c r="BC7" s="48"/>
      <c r="BD7" s="48"/>
      <c r="BE7" s="11"/>
    </row>
    <row r="8" spans="1:57" s="6" customFormat="1" ht="15" customHeight="1">
      <c r="A8" s="10"/>
      <c r="B8" s="48" t="s">
        <v>25</v>
      </c>
      <c r="C8" s="48"/>
      <c r="D8" s="48"/>
      <c r="E8" s="48"/>
      <c r="F8" s="48"/>
      <c r="G8" s="48"/>
      <c r="H8" s="48"/>
      <c r="I8" s="50" t="s">
        <v>216</v>
      </c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48" t="s">
        <v>11</v>
      </c>
      <c r="X8" s="48"/>
      <c r="Y8" s="48"/>
      <c r="Z8" s="48"/>
      <c r="AA8" s="48"/>
      <c r="AB8" s="48"/>
      <c r="AC8" s="48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11"/>
    </row>
    <row r="9" spans="1:57" s="13" customFormat="1" ht="15" customHeight="1">
      <c r="A9" s="10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1"/>
    </row>
    <row r="10" spans="1:57" s="13" customFormat="1" ht="15" customHeight="1">
      <c r="A10" s="14"/>
      <c r="B10" s="48" t="s">
        <v>79</v>
      </c>
      <c r="C10" s="48" t="s">
        <v>13</v>
      </c>
      <c r="D10" s="48"/>
      <c r="E10" s="48"/>
      <c r="F10" s="48"/>
      <c r="G10" s="48"/>
      <c r="H10" s="48"/>
      <c r="I10" s="48"/>
      <c r="J10" s="48"/>
      <c r="K10" s="48"/>
      <c r="L10" s="48" t="s">
        <v>14</v>
      </c>
      <c r="M10" s="48"/>
      <c r="N10" s="48"/>
      <c r="O10" s="48"/>
      <c r="P10" s="48"/>
      <c r="Q10" s="48"/>
      <c r="R10" s="48" t="s">
        <v>15</v>
      </c>
      <c r="S10" s="48"/>
      <c r="T10" s="48" t="s">
        <v>16</v>
      </c>
      <c r="U10" s="48"/>
      <c r="V10" s="48" t="s">
        <v>17</v>
      </c>
      <c r="W10" s="48"/>
      <c r="X10" s="48" t="s">
        <v>18</v>
      </c>
      <c r="Y10" s="48"/>
      <c r="Z10" s="49" t="s">
        <v>90</v>
      </c>
      <c r="AA10" s="48"/>
      <c r="AB10" s="49" t="s">
        <v>26</v>
      </c>
      <c r="AC10" s="48"/>
      <c r="AD10" s="48" t="s">
        <v>91</v>
      </c>
      <c r="AE10" s="48"/>
      <c r="AF10" s="48" t="s">
        <v>92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 t="s">
        <v>72</v>
      </c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11"/>
    </row>
    <row r="11" spans="1:57" s="13" customFormat="1" ht="15" customHeight="1">
      <c r="A11" s="14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15">
        <v>1</v>
      </c>
      <c r="AG11" s="16">
        <v>2</v>
      </c>
      <c r="AH11" s="16">
        <v>3</v>
      </c>
      <c r="AI11" s="16">
        <v>4</v>
      </c>
      <c r="AJ11" s="16">
        <v>5</v>
      </c>
      <c r="AK11" s="16">
        <v>6</v>
      </c>
      <c r="AL11" s="16">
        <v>7</v>
      </c>
      <c r="AM11" s="16">
        <v>8</v>
      </c>
      <c r="AN11" s="16">
        <v>9</v>
      </c>
      <c r="AO11" s="17">
        <v>10</v>
      </c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11"/>
    </row>
    <row r="12" spans="1:57" s="13" customFormat="1" ht="15" customHeight="1">
      <c r="A12" s="10"/>
      <c r="B12" s="18">
        <v>1</v>
      </c>
      <c r="C12" s="39" t="s">
        <v>93</v>
      </c>
      <c r="D12" s="40"/>
      <c r="E12" s="40"/>
      <c r="F12" s="40"/>
      <c r="G12" s="40"/>
      <c r="H12" s="40"/>
      <c r="I12" s="40"/>
      <c r="J12" s="40"/>
      <c r="K12" s="41"/>
      <c r="L12" s="39" t="s">
        <v>27</v>
      </c>
      <c r="M12" s="40"/>
      <c r="N12" s="40"/>
      <c r="O12" s="40"/>
      <c r="P12" s="40"/>
      <c r="Q12" s="41"/>
      <c r="R12" s="43" t="s">
        <v>19</v>
      </c>
      <c r="S12" s="44"/>
      <c r="T12" s="43">
        <v>3</v>
      </c>
      <c r="U12" s="44"/>
      <c r="V12" s="42">
        <f>IF(R12&lt;&gt;"",IF(R12="N",T12*2,IF(R12="DATE",8,IF(R12="TIMESTAMP",26,T12))),"")</f>
        <v>3</v>
      </c>
      <c r="W12" s="42"/>
      <c r="X12" s="43">
        <f>IF(C12&lt;&gt;"",1,"")</f>
        <v>1</v>
      </c>
      <c r="Y12" s="44"/>
      <c r="Z12" s="43" t="s">
        <v>94</v>
      </c>
      <c r="AA12" s="44"/>
      <c r="AB12" s="43"/>
      <c r="AC12" s="44"/>
      <c r="AD12" s="43">
        <v>1</v>
      </c>
      <c r="AE12" s="44"/>
      <c r="AF12" s="19">
        <v>1</v>
      </c>
      <c r="AG12" s="20"/>
      <c r="AH12" s="20">
        <v>1</v>
      </c>
      <c r="AI12" s="20">
        <v>1</v>
      </c>
      <c r="AJ12" s="20">
        <v>1</v>
      </c>
      <c r="AK12" s="20"/>
      <c r="AL12" s="20"/>
      <c r="AM12" s="20">
        <v>1</v>
      </c>
      <c r="AN12" s="20">
        <v>1</v>
      </c>
      <c r="AO12" s="21">
        <v>1</v>
      </c>
      <c r="AP12" s="45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7"/>
      <c r="BE12" s="11"/>
    </row>
    <row r="13" spans="1:57" s="13" customFormat="1" ht="15" customHeight="1">
      <c r="A13" s="10"/>
      <c r="B13" s="18">
        <f>B12+1</f>
        <v>2</v>
      </c>
      <c r="C13" s="39" t="s">
        <v>95</v>
      </c>
      <c r="D13" s="40"/>
      <c r="E13" s="40"/>
      <c r="F13" s="40"/>
      <c r="G13" s="40"/>
      <c r="H13" s="40"/>
      <c r="I13" s="40"/>
      <c r="J13" s="40"/>
      <c r="K13" s="41"/>
      <c r="L13" s="39" t="s">
        <v>28</v>
      </c>
      <c r="M13" s="40"/>
      <c r="N13" s="40"/>
      <c r="O13" s="40"/>
      <c r="P13" s="40"/>
      <c r="Q13" s="41"/>
      <c r="R13" s="43" t="s">
        <v>19</v>
      </c>
      <c r="S13" s="44"/>
      <c r="T13" s="43">
        <v>11</v>
      </c>
      <c r="U13" s="44"/>
      <c r="V13" s="43">
        <f>IF(R13&lt;&gt;"",IF(R13="N",T13*2,IF(R13="DATE",8,IF(R13="TIMESTAMP",26,T13))),"")</f>
        <v>11</v>
      </c>
      <c r="W13" s="44"/>
      <c r="X13" s="43">
        <f>IF(C13&lt;&gt;"",IF(V12="",X12,V12+X12),"")</f>
        <v>4</v>
      </c>
      <c r="Y13" s="44"/>
      <c r="Z13" s="43"/>
      <c r="AA13" s="44"/>
      <c r="AB13" s="43"/>
      <c r="AC13" s="44"/>
      <c r="AD13" s="43"/>
      <c r="AE13" s="44"/>
      <c r="AF13" s="19"/>
      <c r="AG13" s="20"/>
      <c r="AH13" s="20"/>
      <c r="AI13" s="20"/>
      <c r="AJ13" s="20"/>
      <c r="AK13" s="20"/>
      <c r="AL13" s="20"/>
      <c r="AM13" s="20"/>
      <c r="AN13" s="20"/>
      <c r="AO13" s="21"/>
      <c r="AP13" s="34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6"/>
      <c r="BE13" s="11"/>
    </row>
    <row r="14" spans="1:57" s="13" customFormat="1" ht="15" customHeight="1">
      <c r="A14" s="10"/>
      <c r="B14" s="18">
        <f t="shared" ref="B14:B41" si="0">B13+1</f>
        <v>3</v>
      </c>
      <c r="C14" s="39" t="s">
        <v>96</v>
      </c>
      <c r="D14" s="40"/>
      <c r="E14" s="40"/>
      <c r="F14" s="40"/>
      <c r="G14" s="40"/>
      <c r="H14" s="40"/>
      <c r="I14" s="40"/>
      <c r="J14" s="40"/>
      <c r="K14" s="41"/>
      <c r="L14" s="39" t="s">
        <v>30</v>
      </c>
      <c r="M14" s="40"/>
      <c r="N14" s="40"/>
      <c r="O14" s="40"/>
      <c r="P14" s="40"/>
      <c r="Q14" s="41"/>
      <c r="R14" s="43" t="s">
        <v>19</v>
      </c>
      <c r="S14" s="44"/>
      <c r="T14" s="43">
        <v>3</v>
      </c>
      <c r="U14" s="44"/>
      <c r="V14" s="43">
        <f t="shared" ref="V14:V43" si="1">IF(R14&lt;&gt;"",IF(R14="N",T14*2,IF(R14="DATE",8,IF(R14="TIMESTAMP",26,T14))),"")</f>
        <v>3</v>
      </c>
      <c r="W14" s="44"/>
      <c r="X14" s="43">
        <f t="shared" ref="X14:X41" si="2">IF(C14&lt;&gt;"",IF(V13="",X13,V13+X13),"")</f>
        <v>15</v>
      </c>
      <c r="Y14" s="44"/>
      <c r="Z14" s="43"/>
      <c r="AA14" s="44"/>
      <c r="AB14" s="43"/>
      <c r="AC14" s="44"/>
      <c r="AD14" s="43"/>
      <c r="AE14" s="44"/>
      <c r="AF14" s="19"/>
      <c r="AG14" s="20"/>
      <c r="AH14" s="20"/>
      <c r="AI14" s="20"/>
      <c r="AJ14" s="20"/>
      <c r="AK14" s="20"/>
      <c r="AL14" s="20"/>
      <c r="AM14" s="20"/>
      <c r="AN14" s="20"/>
      <c r="AO14" s="21"/>
      <c r="AP14" s="34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6"/>
      <c r="BE14" s="11"/>
    </row>
    <row r="15" spans="1:57" s="13" customFormat="1" ht="15" customHeight="1">
      <c r="A15" s="10"/>
      <c r="B15" s="18">
        <f t="shared" si="0"/>
        <v>4</v>
      </c>
      <c r="C15" s="39" t="s">
        <v>97</v>
      </c>
      <c r="D15" s="40"/>
      <c r="E15" s="40"/>
      <c r="F15" s="40"/>
      <c r="G15" s="40"/>
      <c r="H15" s="40"/>
      <c r="I15" s="40"/>
      <c r="J15" s="40"/>
      <c r="K15" s="41"/>
      <c r="L15" s="39" t="s">
        <v>31</v>
      </c>
      <c r="M15" s="40"/>
      <c r="N15" s="40"/>
      <c r="O15" s="40"/>
      <c r="P15" s="40"/>
      <c r="Q15" s="41"/>
      <c r="R15" s="43" t="s">
        <v>19</v>
      </c>
      <c r="S15" s="44"/>
      <c r="T15" s="43">
        <v>20</v>
      </c>
      <c r="U15" s="44"/>
      <c r="V15" s="43">
        <f t="shared" si="1"/>
        <v>20</v>
      </c>
      <c r="W15" s="44"/>
      <c r="X15" s="43">
        <f t="shared" si="2"/>
        <v>18</v>
      </c>
      <c r="Y15" s="44"/>
      <c r="Z15" s="43"/>
      <c r="AA15" s="44"/>
      <c r="AB15" s="43"/>
      <c r="AC15" s="44"/>
      <c r="AD15" s="43"/>
      <c r="AE15" s="44"/>
      <c r="AF15" s="19">
        <v>2</v>
      </c>
      <c r="AG15" s="20"/>
      <c r="AH15" s="20"/>
      <c r="AI15" s="20">
        <v>4</v>
      </c>
      <c r="AJ15" s="20">
        <v>4</v>
      </c>
      <c r="AK15" s="20">
        <v>1</v>
      </c>
      <c r="AL15" s="20">
        <v>2</v>
      </c>
      <c r="AM15" s="20">
        <v>2</v>
      </c>
      <c r="AN15" s="20">
        <v>2</v>
      </c>
      <c r="AO15" s="21">
        <v>2</v>
      </c>
      <c r="AP15" s="34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6"/>
      <c r="BE15" s="11"/>
    </row>
    <row r="16" spans="1:57" s="13" customFormat="1" ht="15" customHeight="1">
      <c r="A16" s="10"/>
      <c r="B16" s="18">
        <f t="shared" si="0"/>
        <v>5</v>
      </c>
      <c r="C16" s="39" t="s">
        <v>98</v>
      </c>
      <c r="D16" s="40"/>
      <c r="E16" s="40"/>
      <c r="F16" s="40"/>
      <c r="G16" s="40"/>
      <c r="H16" s="40"/>
      <c r="I16" s="40"/>
      <c r="J16" s="40"/>
      <c r="K16" s="41"/>
      <c r="L16" s="39" t="s">
        <v>32</v>
      </c>
      <c r="M16" s="40"/>
      <c r="N16" s="40"/>
      <c r="O16" s="40"/>
      <c r="P16" s="40"/>
      <c r="Q16" s="41"/>
      <c r="R16" s="43" t="s">
        <v>19</v>
      </c>
      <c r="S16" s="44"/>
      <c r="T16" s="37">
        <v>2</v>
      </c>
      <c r="U16" s="38"/>
      <c r="V16" s="43">
        <f t="shared" si="1"/>
        <v>2</v>
      </c>
      <c r="W16" s="44"/>
      <c r="X16" s="43">
        <f t="shared" si="2"/>
        <v>38</v>
      </c>
      <c r="Y16" s="44"/>
      <c r="Z16" s="43"/>
      <c r="AA16" s="44"/>
      <c r="AB16" s="43"/>
      <c r="AC16" s="44"/>
      <c r="AD16" s="43"/>
      <c r="AE16" s="44"/>
      <c r="AF16" s="19">
        <v>3</v>
      </c>
      <c r="AG16" s="20"/>
      <c r="AH16" s="20"/>
      <c r="AI16" s="20">
        <v>5</v>
      </c>
      <c r="AJ16" s="20">
        <v>5</v>
      </c>
      <c r="AK16" s="20">
        <v>2</v>
      </c>
      <c r="AL16" s="20">
        <v>3</v>
      </c>
      <c r="AM16" s="20">
        <v>3</v>
      </c>
      <c r="AN16" s="20">
        <v>3</v>
      </c>
      <c r="AO16" s="21">
        <v>3</v>
      </c>
      <c r="AP16" s="34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6"/>
      <c r="BE16" s="11"/>
    </row>
    <row r="17" spans="1:58" s="13" customFormat="1" ht="15" customHeight="1">
      <c r="A17" s="10"/>
      <c r="B17" s="18">
        <f t="shared" si="0"/>
        <v>6</v>
      </c>
      <c r="C17" s="39" t="s">
        <v>99</v>
      </c>
      <c r="D17" s="40"/>
      <c r="E17" s="40"/>
      <c r="F17" s="40"/>
      <c r="G17" s="40"/>
      <c r="H17" s="40"/>
      <c r="I17" s="40"/>
      <c r="J17" s="40"/>
      <c r="K17" s="41"/>
      <c r="L17" s="39" t="s">
        <v>100</v>
      </c>
      <c r="M17" s="40"/>
      <c r="N17" s="40"/>
      <c r="O17" s="40"/>
      <c r="P17" s="40"/>
      <c r="Q17" s="41"/>
      <c r="R17" s="37" t="s">
        <v>19</v>
      </c>
      <c r="S17" s="38"/>
      <c r="T17" s="61">
        <v>2</v>
      </c>
      <c r="U17" s="62"/>
      <c r="V17" s="43">
        <f t="shared" si="1"/>
        <v>2</v>
      </c>
      <c r="W17" s="44"/>
      <c r="X17" s="43" t="e">
        <f>IF(C17&lt;&gt;"",IF(#REF!="",#REF!,#REF!+#REF!),"")</f>
        <v>#REF!</v>
      </c>
      <c r="Y17" s="44"/>
      <c r="Z17" s="43"/>
      <c r="AA17" s="44"/>
      <c r="AB17" s="43"/>
      <c r="AC17" s="44"/>
      <c r="AD17" s="43"/>
      <c r="AE17" s="44"/>
      <c r="AF17" s="19"/>
      <c r="AG17" s="20"/>
      <c r="AH17" s="20"/>
      <c r="AI17" s="20"/>
      <c r="AJ17" s="20"/>
      <c r="AK17" s="20"/>
      <c r="AL17" s="20"/>
      <c r="AM17" s="20"/>
      <c r="AN17" s="20">
        <v>5</v>
      </c>
      <c r="AO17" s="21"/>
      <c r="AP17" s="34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6"/>
      <c r="BE17" s="11"/>
    </row>
    <row r="18" spans="1:58" s="13" customFormat="1" ht="15" customHeight="1">
      <c r="A18" s="10"/>
      <c r="B18" s="18">
        <f t="shared" si="0"/>
        <v>7</v>
      </c>
      <c r="C18" s="39" t="s">
        <v>33</v>
      </c>
      <c r="D18" s="40"/>
      <c r="E18" s="40"/>
      <c r="F18" s="40"/>
      <c r="G18" s="40"/>
      <c r="H18" s="40"/>
      <c r="I18" s="40"/>
      <c r="J18" s="40"/>
      <c r="K18" s="41"/>
      <c r="L18" s="39" t="s">
        <v>34</v>
      </c>
      <c r="M18" s="40"/>
      <c r="N18" s="40"/>
      <c r="O18" s="40"/>
      <c r="P18" s="40"/>
      <c r="Q18" s="41"/>
      <c r="R18" s="37" t="s">
        <v>19</v>
      </c>
      <c r="S18" s="38"/>
      <c r="T18" s="61">
        <v>4</v>
      </c>
      <c r="U18" s="62"/>
      <c r="V18" s="43">
        <f t="shared" si="1"/>
        <v>4</v>
      </c>
      <c r="W18" s="44"/>
      <c r="X18" s="43" t="e">
        <f t="shared" si="2"/>
        <v>#REF!</v>
      </c>
      <c r="Y18" s="44"/>
      <c r="Z18" s="43"/>
      <c r="AA18" s="44"/>
      <c r="AB18" s="43"/>
      <c r="AC18" s="44"/>
      <c r="AD18" s="43"/>
      <c r="AE18" s="44"/>
      <c r="AF18" s="19"/>
      <c r="AG18" s="20"/>
      <c r="AH18" s="20"/>
      <c r="AI18" s="20"/>
      <c r="AJ18" s="20"/>
      <c r="AK18" s="20"/>
      <c r="AL18" s="20"/>
      <c r="AM18" s="20"/>
      <c r="AN18" s="20"/>
      <c r="AO18" s="21"/>
      <c r="AP18" s="34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6"/>
      <c r="BE18" s="11"/>
    </row>
    <row r="19" spans="1:58" s="13" customFormat="1" ht="15" customHeight="1">
      <c r="A19" s="10"/>
      <c r="B19" s="18">
        <f t="shared" si="0"/>
        <v>8</v>
      </c>
      <c r="C19" s="39" t="s">
        <v>101</v>
      </c>
      <c r="D19" s="40"/>
      <c r="E19" s="40"/>
      <c r="F19" s="40"/>
      <c r="G19" s="40"/>
      <c r="H19" s="40"/>
      <c r="I19" s="40"/>
      <c r="J19" s="40"/>
      <c r="K19" s="41"/>
      <c r="L19" s="39" t="s">
        <v>102</v>
      </c>
      <c r="M19" s="40"/>
      <c r="N19" s="40"/>
      <c r="O19" s="40"/>
      <c r="P19" s="40"/>
      <c r="Q19" s="41"/>
      <c r="R19" s="37" t="s">
        <v>19</v>
      </c>
      <c r="S19" s="38"/>
      <c r="T19" s="61">
        <v>1</v>
      </c>
      <c r="U19" s="62"/>
      <c r="V19" s="43">
        <f t="shared" si="1"/>
        <v>1</v>
      </c>
      <c r="W19" s="44"/>
      <c r="X19" s="43" t="e">
        <f t="shared" si="2"/>
        <v>#REF!</v>
      </c>
      <c r="Y19" s="44"/>
      <c r="Z19" s="43" t="s">
        <v>94</v>
      </c>
      <c r="AA19" s="44"/>
      <c r="AB19" s="43"/>
      <c r="AC19" s="44"/>
      <c r="AD19" s="63">
        <v>7</v>
      </c>
      <c r="AE19" s="64"/>
      <c r="AF19" s="19"/>
      <c r="AG19" s="20"/>
      <c r="AH19" s="20"/>
      <c r="AI19" s="20"/>
      <c r="AJ19" s="20"/>
      <c r="AK19" s="20"/>
      <c r="AL19" s="20"/>
      <c r="AM19" s="20"/>
      <c r="AN19" s="20"/>
      <c r="AO19" s="21"/>
      <c r="AP19" s="34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6"/>
      <c r="BE19" s="11"/>
      <c r="BF19" s="22"/>
    </row>
    <row r="20" spans="1:58" s="13" customFormat="1" ht="15" customHeight="1">
      <c r="A20" s="10"/>
      <c r="B20" s="18">
        <f t="shared" si="0"/>
        <v>9</v>
      </c>
      <c r="C20" s="39" t="s">
        <v>103</v>
      </c>
      <c r="D20" s="40"/>
      <c r="E20" s="40"/>
      <c r="F20" s="40"/>
      <c r="G20" s="40"/>
      <c r="H20" s="40"/>
      <c r="I20" s="40"/>
      <c r="J20" s="40"/>
      <c r="K20" s="41"/>
      <c r="L20" s="39" t="s">
        <v>104</v>
      </c>
      <c r="M20" s="40"/>
      <c r="N20" s="40"/>
      <c r="O20" s="40"/>
      <c r="P20" s="40"/>
      <c r="Q20" s="41"/>
      <c r="R20" s="37" t="s">
        <v>19</v>
      </c>
      <c r="S20" s="38"/>
      <c r="T20" s="61">
        <v>1</v>
      </c>
      <c r="U20" s="62"/>
      <c r="V20" s="43">
        <f t="shared" si="1"/>
        <v>1</v>
      </c>
      <c r="W20" s="44"/>
      <c r="X20" s="43" t="e">
        <f t="shared" si="2"/>
        <v>#REF!</v>
      </c>
      <c r="Y20" s="44"/>
      <c r="Z20" s="43"/>
      <c r="AA20" s="44"/>
      <c r="AB20" s="43"/>
      <c r="AC20" s="44"/>
      <c r="AD20" s="43"/>
      <c r="AE20" s="44"/>
      <c r="AF20" s="19"/>
      <c r="AG20" s="20"/>
      <c r="AH20" s="20"/>
      <c r="AI20" s="20"/>
      <c r="AJ20" s="20"/>
      <c r="AK20" s="20"/>
      <c r="AL20" s="20"/>
      <c r="AM20" s="20"/>
      <c r="AN20" s="20"/>
      <c r="AO20" s="21"/>
      <c r="AP20" s="34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6"/>
      <c r="BE20" s="11"/>
    </row>
    <row r="21" spans="1:58" s="13" customFormat="1" ht="15" customHeight="1">
      <c r="A21" s="10"/>
      <c r="B21" s="18">
        <f t="shared" si="0"/>
        <v>10</v>
      </c>
      <c r="C21" s="39" t="s">
        <v>105</v>
      </c>
      <c r="D21" s="40"/>
      <c r="E21" s="40"/>
      <c r="F21" s="40"/>
      <c r="G21" s="40"/>
      <c r="H21" s="40"/>
      <c r="I21" s="40"/>
      <c r="J21" s="40"/>
      <c r="K21" s="41"/>
      <c r="L21" s="39" t="s">
        <v>106</v>
      </c>
      <c r="M21" s="40"/>
      <c r="N21" s="40"/>
      <c r="O21" s="40"/>
      <c r="P21" s="40"/>
      <c r="Q21" s="41"/>
      <c r="R21" s="37" t="s">
        <v>19</v>
      </c>
      <c r="S21" s="38"/>
      <c r="T21" s="61">
        <v>8</v>
      </c>
      <c r="U21" s="62"/>
      <c r="V21" s="43">
        <f t="shared" si="1"/>
        <v>8</v>
      </c>
      <c r="W21" s="44"/>
      <c r="X21" s="43" t="e">
        <f t="shared" si="2"/>
        <v>#REF!</v>
      </c>
      <c r="Y21" s="44"/>
      <c r="Z21" s="43" t="s">
        <v>94</v>
      </c>
      <c r="AA21" s="44"/>
      <c r="AB21" s="43"/>
      <c r="AC21" s="44"/>
      <c r="AD21" s="63">
        <v>8</v>
      </c>
      <c r="AE21" s="64"/>
      <c r="AF21" s="19">
        <v>6</v>
      </c>
      <c r="AG21" s="20"/>
      <c r="AH21" s="20"/>
      <c r="AI21" s="20"/>
      <c r="AJ21" s="20"/>
      <c r="AK21" s="20"/>
      <c r="AL21" s="20"/>
      <c r="AM21" s="20"/>
      <c r="AN21" s="20"/>
      <c r="AO21" s="21"/>
      <c r="AP21" s="34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6"/>
      <c r="BE21" s="11"/>
      <c r="BF21" s="22"/>
    </row>
    <row r="22" spans="1:58" s="13" customFormat="1" ht="15" customHeight="1">
      <c r="A22" s="10"/>
      <c r="B22" s="18">
        <f t="shared" si="0"/>
        <v>11</v>
      </c>
      <c r="C22" s="39" t="s">
        <v>107</v>
      </c>
      <c r="D22" s="40"/>
      <c r="E22" s="40"/>
      <c r="F22" s="40"/>
      <c r="G22" s="40"/>
      <c r="H22" s="40"/>
      <c r="I22" s="40"/>
      <c r="J22" s="40"/>
      <c r="K22" s="41"/>
      <c r="L22" s="39" t="s">
        <v>108</v>
      </c>
      <c r="M22" s="40"/>
      <c r="N22" s="40"/>
      <c r="O22" s="40"/>
      <c r="P22" s="40"/>
      <c r="Q22" s="41"/>
      <c r="R22" s="37" t="s">
        <v>19</v>
      </c>
      <c r="S22" s="38"/>
      <c r="T22" s="61">
        <v>5</v>
      </c>
      <c r="U22" s="62"/>
      <c r="V22" s="43">
        <f t="shared" si="1"/>
        <v>5</v>
      </c>
      <c r="W22" s="44"/>
      <c r="X22" s="43" t="e">
        <f t="shared" si="2"/>
        <v>#REF!</v>
      </c>
      <c r="Y22" s="44"/>
      <c r="Z22" s="43"/>
      <c r="AA22" s="44"/>
      <c r="AB22" s="43"/>
      <c r="AC22" s="44"/>
      <c r="AD22" s="43"/>
      <c r="AE22" s="44"/>
      <c r="AF22" s="19">
        <v>7</v>
      </c>
      <c r="AG22" s="20"/>
      <c r="AH22" s="20"/>
      <c r="AI22" s="20">
        <v>6</v>
      </c>
      <c r="AJ22" s="20">
        <v>6</v>
      </c>
      <c r="AK22" s="20">
        <v>3</v>
      </c>
      <c r="AL22" s="20">
        <v>4</v>
      </c>
      <c r="AM22" s="20">
        <v>4</v>
      </c>
      <c r="AN22" s="20">
        <v>4</v>
      </c>
      <c r="AO22" s="21">
        <v>4</v>
      </c>
      <c r="AP22" s="34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6"/>
      <c r="BE22" s="11"/>
    </row>
    <row r="23" spans="1:58" s="13" customFormat="1" ht="15" customHeight="1">
      <c r="A23" s="10"/>
      <c r="B23" s="18">
        <f t="shared" si="0"/>
        <v>12</v>
      </c>
      <c r="C23" s="39" t="s">
        <v>109</v>
      </c>
      <c r="D23" s="40"/>
      <c r="E23" s="40"/>
      <c r="F23" s="40"/>
      <c r="G23" s="40"/>
      <c r="H23" s="40"/>
      <c r="I23" s="40"/>
      <c r="J23" s="40"/>
      <c r="K23" s="41"/>
      <c r="L23" s="39" t="s">
        <v>110</v>
      </c>
      <c r="M23" s="40"/>
      <c r="N23" s="40"/>
      <c r="O23" s="40"/>
      <c r="P23" s="40"/>
      <c r="Q23" s="41"/>
      <c r="R23" s="37" t="s">
        <v>73</v>
      </c>
      <c r="S23" s="38"/>
      <c r="T23" s="61">
        <v>30</v>
      </c>
      <c r="U23" s="62"/>
      <c r="V23" s="43">
        <f t="shared" si="1"/>
        <v>60</v>
      </c>
      <c r="W23" s="44"/>
      <c r="X23" s="43" t="e">
        <f t="shared" si="2"/>
        <v>#REF!</v>
      </c>
      <c r="Y23" s="44"/>
      <c r="Z23" s="43"/>
      <c r="AA23" s="44"/>
      <c r="AB23" s="43"/>
      <c r="AC23" s="44"/>
      <c r="AD23" s="43"/>
      <c r="AE23" s="44"/>
      <c r="AF23" s="19"/>
      <c r="AG23" s="20"/>
      <c r="AH23" s="20"/>
      <c r="AI23" s="20"/>
      <c r="AJ23" s="20"/>
      <c r="AK23" s="20"/>
      <c r="AL23" s="20"/>
      <c r="AM23" s="20"/>
      <c r="AN23" s="20"/>
      <c r="AO23" s="21"/>
      <c r="AP23" s="34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6"/>
      <c r="BE23" s="11"/>
    </row>
    <row r="24" spans="1:58" s="13" customFormat="1" ht="15" customHeight="1">
      <c r="A24" s="10"/>
      <c r="B24" s="18">
        <f t="shared" si="0"/>
        <v>13</v>
      </c>
      <c r="C24" s="39" t="s">
        <v>111</v>
      </c>
      <c r="D24" s="40"/>
      <c r="E24" s="40"/>
      <c r="F24" s="40"/>
      <c r="G24" s="40"/>
      <c r="H24" s="40"/>
      <c r="I24" s="40"/>
      <c r="J24" s="40"/>
      <c r="K24" s="41"/>
      <c r="L24" s="39" t="s">
        <v>112</v>
      </c>
      <c r="M24" s="40"/>
      <c r="N24" s="40"/>
      <c r="O24" s="40"/>
      <c r="P24" s="40"/>
      <c r="Q24" s="41"/>
      <c r="R24" s="37" t="s">
        <v>19</v>
      </c>
      <c r="S24" s="38"/>
      <c r="T24" s="61">
        <v>1</v>
      </c>
      <c r="U24" s="62"/>
      <c r="V24" s="43">
        <f t="shared" si="1"/>
        <v>1</v>
      </c>
      <c r="W24" s="44"/>
      <c r="X24" s="43" t="e">
        <f t="shared" si="2"/>
        <v>#REF!</v>
      </c>
      <c r="Y24" s="44"/>
      <c r="Z24" s="43"/>
      <c r="AA24" s="44"/>
      <c r="AB24" s="43"/>
      <c r="AC24" s="44"/>
      <c r="AD24" s="43"/>
      <c r="AE24" s="44"/>
      <c r="AF24" s="19"/>
      <c r="AG24" s="20"/>
      <c r="AH24" s="20">
        <v>2</v>
      </c>
      <c r="AI24" s="20">
        <v>2</v>
      </c>
      <c r="AJ24" s="20">
        <v>2</v>
      </c>
      <c r="AK24" s="20"/>
      <c r="AL24" s="20"/>
      <c r="AM24" s="20"/>
      <c r="AN24" s="20"/>
      <c r="AO24" s="21">
        <v>5</v>
      </c>
      <c r="AP24" s="34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6"/>
      <c r="BE24" s="11"/>
    </row>
    <row r="25" spans="1:58" s="13" customFormat="1" ht="15" customHeight="1">
      <c r="A25" s="10"/>
      <c r="B25" s="18">
        <f t="shared" si="0"/>
        <v>14</v>
      </c>
      <c r="C25" s="39" t="s">
        <v>113</v>
      </c>
      <c r="D25" s="40"/>
      <c r="E25" s="40"/>
      <c r="F25" s="40"/>
      <c r="G25" s="40"/>
      <c r="H25" s="40"/>
      <c r="I25" s="40"/>
      <c r="J25" s="40"/>
      <c r="K25" s="41"/>
      <c r="L25" s="39" t="s">
        <v>114</v>
      </c>
      <c r="M25" s="40"/>
      <c r="N25" s="40"/>
      <c r="O25" s="40"/>
      <c r="P25" s="40"/>
      <c r="Q25" s="41"/>
      <c r="R25" s="37" t="s">
        <v>19</v>
      </c>
      <c r="S25" s="38"/>
      <c r="T25" s="61">
        <v>1</v>
      </c>
      <c r="U25" s="62"/>
      <c r="V25" s="43">
        <f t="shared" si="1"/>
        <v>1</v>
      </c>
      <c r="W25" s="44"/>
      <c r="X25" s="43" t="e">
        <f t="shared" si="2"/>
        <v>#REF!</v>
      </c>
      <c r="Y25" s="44"/>
      <c r="Z25" s="43"/>
      <c r="AA25" s="44"/>
      <c r="AB25" s="43"/>
      <c r="AC25" s="44"/>
      <c r="AD25" s="43"/>
      <c r="AE25" s="44"/>
      <c r="AF25" s="19"/>
      <c r="AG25" s="20"/>
      <c r="AH25" s="20"/>
      <c r="AI25" s="20"/>
      <c r="AJ25" s="20"/>
      <c r="AK25" s="20"/>
      <c r="AL25" s="20"/>
      <c r="AM25" s="20">
        <v>6</v>
      </c>
      <c r="AN25" s="20">
        <v>6</v>
      </c>
      <c r="AO25" s="21"/>
      <c r="AP25" s="34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6"/>
      <c r="BE25" s="11"/>
    </row>
    <row r="26" spans="1:58" s="13" customFormat="1" ht="15" customHeight="1">
      <c r="A26" s="10"/>
      <c r="B26" s="18">
        <f t="shared" si="0"/>
        <v>15</v>
      </c>
      <c r="C26" s="39" t="s">
        <v>115</v>
      </c>
      <c r="D26" s="40"/>
      <c r="E26" s="40"/>
      <c r="F26" s="40"/>
      <c r="G26" s="40"/>
      <c r="H26" s="40"/>
      <c r="I26" s="40"/>
      <c r="J26" s="40"/>
      <c r="K26" s="41"/>
      <c r="L26" s="39" t="s">
        <v>116</v>
      </c>
      <c r="M26" s="40"/>
      <c r="N26" s="40"/>
      <c r="O26" s="40"/>
      <c r="P26" s="40"/>
      <c r="Q26" s="41"/>
      <c r="R26" s="37" t="s">
        <v>19</v>
      </c>
      <c r="S26" s="38"/>
      <c r="T26" s="61">
        <v>1</v>
      </c>
      <c r="U26" s="62"/>
      <c r="V26" s="43">
        <f t="shared" si="1"/>
        <v>1</v>
      </c>
      <c r="W26" s="44"/>
      <c r="X26" s="43" t="e">
        <f t="shared" si="2"/>
        <v>#REF!</v>
      </c>
      <c r="Y26" s="44"/>
      <c r="Z26" s="43"/>
      <c r="AA26" s="44"/>
      <c r="AB26" s="43"/>
      <c r="AC26" s="44"/>
      <c r="AD26" s="43"/>
      <c r="AE26" s="44"/>
      <c r="AF26" s="19"/>
      <c r="AG26" s="20"/>
      <c r="AH26" s="20"/>
      <c r="AI26" s="20"/>
      <c r="AJ26" s="20"/>
      <c r="AK26" s="20"/>
      <c r="AL26" s="20"/>
      <c r="AM26" s="20"/>
      <c r="AN26" s="20"/>
      <c r="AO26" s="21"/>
      <c r="AP26" s="34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6"/>
      <c r="BE26" s="11"/>
    </row>
    <row r="27" spans="1:58" s="13" customFormat="1" ht="15" customHeight="1">
      <c r="A27" s="10"/>
      <c r="B27" s="18">
        <f t="shared" si="0"/>
        <v>16</v>
      </c>
      <c r="C27" s="39" t="s">
        <v>117</v>
      </c>
      <c r="D27" s="40"/>
      <c r="E27" s="40"/>
      <c r="F27" s="40"/>
      <c r="G27" s="40"/>
      <c r="H27" s="40"/>
      <c r="I27" s="40"/>
      <c r="J27" s="40"/>
      <c r="K27" s="41"/>
      <c r="L27" s="39" t="s">
        <v>118</v>
      </c>
      <c r="M27" s="40"/>
      <c r="N27" s="40"/>
      <c r="O27" s="40"/>
      <c r="P27" s="40"/>
      <c r="Q27" s="41"/>
      <c r="R27" s="37" t="s">
        <v>19</v>
      </c>
      <c r="S27" s="38"/>
      <c r="T27" s="61">
        <v>1</v>
      </c>
      <c r="U27" s="62"/>
      <c r="V27" s="43">
        <f t="shared" si="1"/>
        <v>1</v>
      </c>
      <c r="W27" s="44"/>
      <c r="X27" s="43" t="e">
        <f t="shared" si="2"/>
        <v>#REF!</v>
      </c>
      <c r="Y27" s="44"/>
      <c r="Z27" s="43"/>
      <c r="AA27" s="44"/>
      <c r="AB27" s="43"/>
      <c r="AC27" s="44"/>
      <c r="AD27" s="43"/>
      <c r="AE27" s="44"/>
      <c r="AF27" s="19"/>
      <c r="AG27" s="20"/>
      <c r="AH27" s="20"/>
      <c r="AI27" s="20"/>
      <c r="AJ27" s="20"/>
      <c r="AK27" s="20"/>
      <c r="AL27" s="20"/>
      <c r="AM27" s="20"/>
      <c r="AN27" s="20"/>
      <c r="AO27" s="21"/>
      <c r="AP27" s="34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6"/>
      <c r="BE27" s="11"/>
    </row>
    <row r="28" spans="1:58" s="13" customFormat="1" ht="15" customHeight="1">
      <c r="A28" s="10"/>
      <c r="B28" s="18">
        <f t="shared" si="0"/>
        <v>17</v>
      </c>
      <c r="C28" s="39" t="s">
        <v>119</v>
      </c>
      <c r="D28" s="40"/>
      <c r="E28" s="40"/>
      <c r="F28" s="40"/>
      <c r="G28" s="40"/>
      <c r="H28" s="40"/>
      <c r="I28" s="40"/>
      <c r="J28" s="40"/>
      <c r="K28" s="41"/>
      <c r="L28" s="39" t="s">
        <v>120</v>
      </c>
      <c r="M28" s="40"/>
      <c r="N28" s="40"/>
      <c r="O28" s="40"/>
      <c r="P28" s="40"/>
      <c r="Q28" s="41"/>
      <c r="R28" s="37" t="s">
        <v>19</v>
      </c>
      <c r="S28" s="38"/>
      <c r="T28" s="61">
        <v>4</v>
      </c>
      <c r="U28" s="62"/>
      <c r="V28" s="43">
        <f t="shared" si="1"/>
        <v>4</v>
      </c>
      <c r="W28" s="44"/>
      <c r="X28" s="43" t="e">
        <f t="shared" si="2"/>
        <v>#REF!</v>
      </c>
      <c r="Y28" s="44"/>
      <c r="Z28" s="43"/>
      <c r="AA28" s="44"/>
      <c r="AB28" s="43"/>
      <c r="AC28" s="44"/>
      <c r="AD28" s="43"/>
      <c r="AE28" s="44"/>
      <c r="AF28" s="19"/>
      <c r="AG28" s="20"/>
      <c r="AH28" s="20"/>
      <c r="AI28" s="20"/>
      <c r="AJ28" s="20"/>
      <c r="AK28" s="20"/>
      <c r="AL28" s="20"/>
      <c r="AM28" s="20"/>
      <c r="AN28" s="20"/>
      <c r="AO28" s="21"/>
      <c r="AP28" s="34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6"/>
      <c r="BE28" s="11"/>
    </row>
    <row r="29" spans="1:58" s="13" customFormat="1" ht="15" customHeight="1">
      <c r="A29" s="10"/>
      <c r="B29" s="18">
        <f t="shared" si="0"/>
        <v>18</v>
      </c>
      <c r="C29" s="39" t="s">
        <v>121</v>
      </c>
      <c r="D29" s="40"/>
      <c r="E29" s="40"/>
      <c r="F29" s="40"/>
      <c r="G29" s="40"/>
      <c r="H29" s="40"/>
      <c r="I29" s="40"/>
      <c r="J29" s="40"/>
      <c r="K29" s="41"/>
      <c r="L29" s="39" t="s">
        <v>122</v>
      </c>
      <c r="M29" s="40"/>
      <c r="N29" s="40"/>
      <c r="O29" s="40"/>
      <c r="P29" s="40"/>
      <c r="Q29" s="41"/>
      <c r="R29" s="37" t="s">
        <v>19</v>
      </c>
      <c r="S29" s="38"/>
      <c r="T29" s="61">
        <v>1</v>
      </c>
      <c r="U29" s="62"/>
      <c r="V29" s="43">
        <f t="shared" si="1"/>
        <v>1</v>
      </c>
      <c r="W29" s="44"/>
      <c r="X29" s="43" t="e">
        <f t="shared" si="2"/>
        <v>#REF!</v>
      </c>
      <c r="Y29" s="44"/>
      <c r="Z29" s="43" t="s">
        <v>94</v>
      </c>
      <c r="AA29" s="44"/>
      <c r="AB29" s="43"/>
      <c r="AC29" s="44"/>
      <c r="AD29" s="63">
        <v>9</v>
      </c>
      <c r="AE29" s="64"/>
      <c r="AF29" s="19"/>
      <c r="AG29" s="20"/>
      <c r="AH29" s="20"/>
      <c r="AI29" s="20"/>
      <c r="AJ29" s="20"/>
      <c r="AK29" s="20"/>
      <c r="AL29" s="20"/>
      <c r="AM29" s="20">
        <v>5</v>
      </c>
      <c r="AN29" s="20"/>
      <c r="AO29" s="21"/>
      <c r="AP29" s="34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6"/>
      <c r="BE29" s="11"/>
      <c r="BF29" s="22"/>
    </row>
    <row r="30" spans="1:58" s="13" customFormat="1" ht="15" customHeight="1">
      <c r="A30" s="10"/>
      <c r="B30" s="18">
        <f t="shared" si="0"/>
        <v>19</v>
      </c>
      <c r="C30" s="39" t="s">
        <v>123</v>
      </c>
      <c r="D30" s="40"/>
      <c r="E30" s="40"/>
      <c r="F30" s="40"/>
      <c r="G30" s="40"/>
      <c r="H30" s="40"/>
      <c r="I30" s="40"/>
      <c r="J30" s="40"/>
      <c r="K30" s="41"/>
      <c r="L30" s="39" t="s">
        <v>124</v>
      </c>
      <c r="M30" s="40"/>
      <c r="N30" s="40"/>
      <c r="O30" s="40"/>
      <c r="P30" s="40"/>
      <c r="Q30" s="41"/>
      <c r="R30" s="37" t="s">
        <v>19</v>
      </c>
      <c r="S30" s="38"/>
      <c r="T30" s="61">
        <v>1</v>
      </c>
      <c r="U30" s="62"/>
      <c r="V30" s="43">
        <f t="shared" si="1"/>
        <v>1</v>
      </c>
      <c r="W30" s="44"/>
      <c r="X30" s="43" t="e">
        <f t="shared" si="2"/>
        <v>#REF!</v>
      </c>
      <c r="Y30" s="44"/>
      <c r="Z30" s="43" t="s">
        <v>94</v>
      </c>
      <c r="AA30" s="44"/>
      <c r="AB30" s="43"/>
      <c r="AC30" s="44"/>
      <c r="AD30" s="63">
        <v>10</v>
      </c>
      <c r="AE30" s="64"/>
      <c r="AF30" s="19"/>
      <c r="AG30" s="20"/>
      <c r="AH30" s="20"/>
      <c r="AI30" s="20"/>
      <c r="AJ30" s="20"/>
      <c r="AK30" s="20"/>
      <c r="AL30" s="20"/>
      <c r="AM30" s="20"/>
      <c r="AN30" s="20"/>
      <c r="AO30" s="21"/>
      <c r="AP30" s="34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6"/>
      <c r="BE30" s="11"/>
      <c r="BF30" s="22"/>
    </row>
    <row r="31" spans="1:58" s="13" customFormat="1" ht="15" customHeight="1">
      <c r="A31" s="10"/>
      <c r="B31" s="18">
        <f t="shared" si="0"/>
        <v>20</v>
      </c>
      <c r="C31" s="39" t="s">
        <v>125</v>
      </c>
      <c r="D31" s="40"/>
      <c r="E31" s="40"/>
      <c r="F31" s="40"/>
      <c r="G31" s="40"/>
      <c r="H31" s="40"/>
      <c r="I31" s="40"/>
      <c r="J31" s="40"/>
      <c r="K31" s="41"/>
      <c r="L31" s="39" t="s">
        <v>126</v>
      </c>
      <c r="M31" s="40"/>
      <c r="N31" s="40"/>
      <c r="O31" s="40"/>
      <c r="P31" s="40"/>
      <c r="Q31" s="41"/>
      <c r="R31" s="37" t="s">
        <v>19</v>
      </c>
      <c r="S31" s="38"/>
      <c r="T31" s="61">
        <v>4</v>
      </c>
      <c r="U31" s="62"/>
      <c r="V31" s="43">
        <f t="shared" si="1"/>
        <v>4</v>
      </c>
      <c r="W31" s="44"/>
      <c r="X31" s="43" t="e">
        <f t="shared" si="2"/>
        <v>#REF!</v>
      </c>
      <c r="Y31" s="44"/>
      <c r="Z31" s="43"/>
      <c r="AA31" s="44"/>
      <c r="AB31" s="43"/>
      <c r="AC31" s="44"/>
      <c r="AD31" s="43"/>
      <c r="AE31" s="44"/>
      <c r="AF31" s="19"/>
      <c r="AG31" s="20"/>
      <c r="AH31" s="20"/>
      <c r="AI31" s="20"/>
      <c r="AJ31" s="20"/>
      <c r="AK31" s="20"/>
      <c r="AL31" s="20"/>
      <c r="AM31" s="20"/>
      <c r="AN31" s="20"/>
      <c r="AO31" s="21"/>
      <c r="AP31" s="34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6"/>
      <c r="BE31" s="11"/>
    </row>
    <row r="32" spans="1:58" s="13" customFormat="1" ht="15" customHeight="1">
      <c r="A32" s="10"/>
      <c r="B32" s="18">
        <f t="shared" si="0"/>
        <v>21</v>
      </c>
      <c r="C32" s="39" t="s">
        <v>127</v>
      </c>
      <c r="D32" s="40"/>
      <c r="E32" s="40"/>
      <c r="F32" s="40"/>
      <c r="G32" s="40"/>
      <c r="H32" s="40"/>
      <c r="I32" s="40"/>
      <c r="J32" s="40"/>
      <c r="K32" s="41"/>
      <c r="L32" s="39" t="s">
        <v>128</v>
      </c>
      <c r="M32" s="40"/>
      <c r="N32" s="40"/>
      <c r="O32" s="40"/>
      <c r="P32" s="40"/>
      <c r="Q32" s="41"/>
      <c r="R32" s="37" t="s">
        <v>19</v>
      </c>
      <c r="S32" s="38"/>
      <c r="T32" s="61">
        <v>8</v>
      </c>
      <c r="U32" s="62"/>
      <c r="V32" s="43">
        <f t="shared" si="1"/>
        <v>8</v>
      </c>
      <c r="W32" s="44"/>
      <c r="X32" s="43" t="e">
        <f t="shared" si="2"/>
        <v>#REF!</v>
      </c>
      <c r="Y32" s="44"/>
      <c r="Z32" s="43" t="s">
        <v>94</v>
      </c>
      <c r="AA32" s="44"/>
      <c r="AB32" s="43"/>
      <c r="AC32" s="44"/>
      <c r="AD32" s="63">
        <v>11</v>
      </c>
      <c r="AE32" s="64"/>
      <c r="AF32" s="19"/>
      <c r="AG32" s="20"/>
      <c r="AH32" s="20"/>
      <c r="AI32" s="20"/>
      <c r="AJ32" s="20"/>
      <c r="AK32" s="20"/>
      <c r="AL32" s="20"/>
      <c r="AM32" s="20"/>
      <c r="AN32" s="20"/>
      <c r="AO32" s="21"/>
      <c r="AP32" s="34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6"/>
      <c r="BE32" s="11"/>
      <c r="BF32" s="22"/>
    </row>
    <row r="33" spans="1:57" s="13" customFormat="1" ht="15" customHeight="1">
      <c r="A33" s="10"/>
      <c r="B33" s="18">
        <f t="shared" si="0"/>
        <v>22</v>
      </c>
      <c r="C33" s="39" t="s">
        <v>129</v>
      </c>
      <c r="D33" s="40"/>
      <c r="E33" s="40"/>
      <c r="F33" s="40"/>
      <c r="G33" s="40"/>
      <c r="H33" s="40"/>
      <c r="I33" s="40"/>
      <c r="J33" s="40"/>
      <c r="K33" s="41"/>
      <c r="L33" s="39" t="s">
        <v>130</v>
      </c>
      <c r="M33" s="40"/>
      <c r="N33" s="40"/>
      <c r="O33" s="40"/>
      <c r="P33" s="40"/>
      <c r="Q33" s="41"/>
      <c r="R33" s="37" t="s">
        <v>19</v>
      </c>
      <c r="S33" s="38"/>
      <c r="T33" s="61">
        <v>1</v>
      </c>
      <c r="U33" s="62"/>
      <c r="V33" s="43">
        <f t="shared" si="1"/>
        <v>1</v>
      </c>
      <c r="W33" s="44"/>
      <c r="X33" s="43" t="e">
        <f t="shared" si="2"/>
        <v>#REF!</v>
      </c>
      <c r="Y33" s="44"/>
      <c r="Z33" s="43"/>
      <c r="AA33" s="44"/>
      <c r="AB33" s="43"/>
      <c r="AC33" s="44"/>
      <c r="AD33" s="43"/>
      <c r="AE33" s="44"/>
      <c r="AF33" s="19"/>
      <c r="AG33" s="20"/>
      <c r="AH33" s="20"/>
      <c r="AI33" s="20"/>
      <c r="AJ33" s="20"/>
      <c r="AK33" s="20"/>
      <c r="AL33" s="20"/>
      <c r="AM33" s="20"/>
      <c r="AN33" s="20"/>
      <c r="AO33" s="21"/>
      <c r="AP33" s="34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6"/>
      <c r="BE33" s="11"/>
    </row>
    <row r="34" spans="1:57" s="13" customFormat="1" ht="15" customHeight="1">
      <c r="A34" s="10"/>
      <c r="B34" s="18">
        <f t="shared" si="0"/>
        <v>23</v>
      </c>
      <c r="C34" s="39" t="s">
        <v>131</v>
      </c>
      <c r="D34" s="40"/>
      <c r="E34" s="40"/>
      <c r="F34" s="40"/>
      <c r="G34" s="40"/>
      <c r="H34" s="40"/>
      <c r="I34" s="40"/>
      <c r="J34" s="40"/>
      <c r="K34" s="41"/>
      <c r="L34" s="39" t="s">
        <v>132</v>
      </c>
      <c r="M34" s="40"/>
      <c r="N34" s="40"/>
      <c r="O34" s="40"/>
      <c r="P34" s="40"/>
      <c r="Q34" s="41"/>
      <c r="R34" s="37" t="s">
        <v>19</v>
      </c>
      <c r="S34" s="38"/>
      <c r="T34" s="61">
        <v>1</v>
      </c>
      <c r="U34" s="62"/>
      <c r="V34" s="43">
        <f t="shared" si="1"/>
        <v>1</v>
      </c>
      <c r="W34" s="44"/>
      <c r="X34" s="43" t="e">
        <f t="shared" si="2"/>
        <v>#REF!</v>
      </c>
      <c r="Y34" s="44"/>
      <c r="Z34" s="43"/>
      <c r="AA34" s="44"/>
      <c r="AB34" s="43"/>
      <c r="AC34" s="44"/>
      <c r="AD34" s="43"/>
      <c r="AE34" s="44"/>
      <c r="AF34" s="19"/>
      <c r="AG34" s="20"/>
      <c r="AH34" s="20"/>
      <c r="AI34" s="20"/>
      <c r="AJ34" s="20"/>
      <c r="AK34" s="20"/>
      <c r="AL34" s="20"/>
      <c r="AM34" s="20"/>
      <c r="AN34" s="20"/>
      <c r="AO34" s="21"/>
      <c r="AP34" s="34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6"/>
      <c r="BE34" s="11"/>
    </row>
    <row r="35" spans="1:57" s="13" customFormat="1" ht="15" customHeight="1">
      <c r="A35" s="10"/>
      <c r="B35" s="18">
        <f t="shared" si="0"/>
        <v>24</v>
      </c>
      <c r="C35" s="39" t="s">
        <v>133</v>
      </c>
      <c r="D35" s="40"/>
      <c r="E35" s="40"/>
      <c r="F35" s="40"/>
      <c r="G35" s="40"/>
      <c r="H35" s="40"/>
      <c r="I35" s="40"/>
      <c r="J35" s="40"/>
      <c r="K35" s="41"/>
      <c r="L35" s="39" t="s">
        <v>134</v>
      </c>
      <c r="M35" s="40"/>
      <c r="N35" s="40"/>
      <c r="O35" s="40"/>
      <c r="P35" s="40"/>
      <c r="Q35" s="41"/>
      <c r="R35" s="37" t="s">
        <v>19</v>
      </c>
      <c r="S35" s="38"/>
      <c r="T35" s="61">
        <v>2</v>
      </c>
      <c r="U35" s="62"/>
      <c r="V35" s="43">
        <f t="shared" si="1"/>
        <v>2</v>
      </c>
      <c r="W35" s="44"/>
      <c r="X35" s="43" t="e">
        <f t="shared" si="2"/>
        <v>#REF!</v>
      </c>
      <c r="Y35" s="44"/>
      <c r="Z35" s="43"/>
      <c r="AA35" s="44"/>
      <c r="AB35" s="43"/>
      <c r="AC35" s="44"/>
      <c r="AD35" s="43"/>
      <c r="AE35" s="44"/>
      <c r="AF35" s="19"/>
      <c r="AG35" s="20"/>
      <c r="AH35" s="20"/>
      <c r="AI35" s="20"/>
      <c r="AJ35" s="20"/>
      <c r="AK35" s="20"/>
      <c r="AL35" s="20"/>
      <c r="AM35" s="20"/>
      <c r="AN35" s="20"/>
      <c r="AO35" s="21"/>
      <c r="AP35" s="34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6"/>
      <c r="BE35" s="11"/>
    </row>
    <row r="36" spans="1:57" s="13" customFormat="1" ht="15" customHeight="1">
      <c r="A36" s="10"/>
      <c r="B36" s="18">
        <f t="shared" si="0"/>
        <v>25</v>
      </c>
      <c r="C36" s="39" t="s">
        <v>135</v>
      </c>
      <c r="D36" s="40"/>
      <c r="E36" s="40"/>
      <c r="F36" s="40"/>
      <c r="G36" s="40"/>
      <c r="H36" s="40"/>
      <c r="I36" s="40"/>
      <c r="J36" s="40"/>
      <c r="K36" s="41"/>
      <c r="L36" s="39" t="s">
        <v>136</v>
      </c>
      <c r="M36" s="40"/>
      <c r="N36" s="40"/>
      <c r="O36" s="40"/>
      <c r="P36" s="40"/>
      <c r="Q36" s="41"/>
      <c r="R36" s="37" t="s">
        <v>19</v>
      </c>
      <c r="S36" s="38"/>
      <c r="T36" s="61">
        <v>2</v>
      </c>
      <c r="U36" s="62"/>
      <c r="V36" s="43">
        <f t="shared" si="1"/>
        <v>2</v>
      </c>
      <c r="W36" s="44"/>
      <c r="X36" s="43" t="e">
        <f t="shared" si="2"/>
        <v>#REF!</v>
      </c>
      <c r="Y36" s="44"/>
      <c r="Z36" s="43"/>
      <c r="AA36" s="44"/>
      <c r="AB36" s="43"/>
      <c r="AC36" s="44"/>
      <c r="AD36" s="43"/>
      <c r="AE36" s="44"/>
      <c r="AF36" s="19"/>
      <c r="AG36" s="20"/>
      <c r="AH36" s="20"/>
      <c r="AI36" s="20"/>
      <c r="AJ36" s="20"/>
      <c r="AK36" s="20"/>
      <c r="AL36" s="20"/>
      <c r="AM36" s="20"/>
      <c r="AN36" s="20"/>
      <c r="AO36" s="21"/>
      <c r="AP36" s="34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6"/>
      <c r="BE36" s="11"/>
    </row>
    <row r="37" spans="1:57" s="13" customFormat="1" ht="15" customHeight="1">
      <c r="A37" s="10"/>
      <c r="B37" s="18">
        <f t="shared" si="0"/>
        <v>26</v>
      </c>
      <c r="C37" s="39" t="s">
        <v>137</v>
      </c>
      <c r="D37" s="40"/>
      <c r="E37" s="40"/>
      <c r="F37" s="40"/>
      <c r="G37" s="40"/>
      <c r="H37" s="40"/>
      <c r="I37" s="40"/>
      <c r="J37" s="40"/>
      <c r="K37" s="41"/>
      <c r="L37" s="39" t="s">
        <v>138</v>
      </c>
      <c r="M37" s="40"/>
      <c r="N37" s="40"/>
      <c r="O37" s="40"/>
      <c r="P37" s="40"/>
      <c r="Q37" s="41"/>
      <c r="R37" s="37" t="s">
        <v>19</v>
      </c>
      <c r="S37" s="38"/>
      <c r="T37" s="61">
        <v>2</v>
      </c>
      <c r="U37" s="62"/>
      <c r="V37" s="43">
        <f t="shared" si="1"/>
        <v>2</v>
      </c>
      <c r="W37" s="44"/>
      <c r="X37" s="43" t="e">
        <f t="shared" si="2"/>
        <v>#REF!</v>
      </c>
      <c r="Y37" s="44"/>
      <c r="Z37" s="43"/>
      <c r="AA37" s="44"/>
      <c r="AB37" s="43"/>
      <c r="AC37" s="44"/>
      <c r="AD37" s="43"/>
      <c r="AE37" s="44"/>
      <c r="AF37" s="19"/>
      <c r="AG37" s="20"/>
      <c r="AH37" s="20"/>
      <c r="AI37" s="20"/>
      <c r="AJ37" s="20"/>
      <c r="AK37" s="20"/>
      <c r="AL37" s="20"/>
      <c r="AM37" s="20"/>
      <c r="AN37" s="20"/>
      <c r="AO37" s="21"/>
      <c r="AP37" s="34" t="s">
        <v>139</v>
      </c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6"/>
      <c r="BE37" s="11"/>
    </row>
    <row r="38" spans="1:57" s="13" customFormat="1" ht="15" customHeight="1">
      <c r="A38" s="10"/>
      <c r="B38" s="18">
        <f t="shared" si="0"/>
        <v>27</v>
      </c>
      <c r="C38" s="39" t="s">
        <v>140</v>
      </c>
      <c r="D38" s="40"/>
      <c r="E38" s="40"/>
      <c r="F38" s="40"/>
      <c r="G38" s="40"/>
      <c r="H38" s="40"/>
      <c r="I38" s="40"/>
      <c r="J38" s="40"/>
      <c r="K38" s="41"/>
      <c r="L38" s="39" t="s">
        <v>141</v>
      </c>
      <c r="M38" s="40"/>
      <c r="N38" s="40"/>
      <c r="O38" s="40"/>
      <c r="P38" s="40"/>
      <c r="Q38" s="41"/>
      <c r="R38" s="37" t="s">
        <v>19</v>
      </c>
      <c r="S38" s="38"/>
      <c r="T38" s="61">
        <v>1</v>
      </c>
      <c r="U38" s="62"/>
      <c r="V38" s="43">
        <f t="shared" si="1"/>
        <v>1</v>
      </c>
      <c r="W38" s="44"/>
      <c r="X38" s="43" t="e">
        <f t="shared" si="2"/>
        <v>#REF!</v>
      </c>
      <c r="Y38" s="44"/>
      <c r="Z38" s="43"/>
      <c r="AA38" s="44"/>
      <c r="AB38" s="43"/>
      <c r="AC38" s="44"/>
      <c r="AD38" s="43"/>
      <c r="AE38" s="44"/>
      <c r="AF38" s="19"/>
      <c r="AG38" s="20"/>
      <c r="AH38" s="20"/>
      <c r="AI38" s="20"/>
      <c r="AJ38" s="20"/>
      <c r="AK38" s="20"/>
      <c r="AL38" s="20"/>
      <c r="AM38" s="20"/>
      <c r="AN38" s="20"/>
      <c r="AO38" s="21"/>
      <c r="AP38" s="34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6"/>
      <c r="BE38" s="11"/>
    </row>
    <row r="39" spans="1:57" s="13" customFormat="1" ht="15" customHeight="1">
      <c r="A39" s="10"/>
      <c r="B39" s="18">
        <f t="shared" si="0"/>
        <v>28</v>
      </c>
      <c r="C39" s="39" t="s">
        <v>142</v>
      </c>
      <c r="D39" s="40"/>
      <c r="E39" s="40"/>
      <c r="F39" s="40"/>
      <c r="G39" s="40"/>
      <c r="H39" s="40"/>
      <c r="I39" s="40"/>
      <c r="J39" s="40"/>
      <c r="K39" s="41"/>
      <c r="L39" s="39" t="s">
        <v>84</v>
      </c>
      <c r="M39" s="40"/>
      <c r="N39" s="40"/>
      <c r="O39" s="40"/>
      <c r="P39" s="40"/>
      <c r="Q39" s="41"/>
      <c r="R39" s="37" t="s">
        <v>19</v>
      </c>
      <c r="S39" s="38"/>
      <c r="T39" s="61">
        <v>8</v>
      </c>
      <c r="U39" s="62"/>
      <c r="V39" s="43">
        <f t="shared" si="1"/>
        <v>8</v>
      </c>
      <c r="W39" s="44"/>
      <c r="X39" s="43" t="e">
        <f t="shared" si="2"/>
        <v>#REF!</v>
      </c>
      <c r="Y39" s="44"/>
      <c r="Z39" s="43"/>
      <c r="AA39" s="44"/>
      <c r="AB39" s="43"/>
      <c r="AC39" s="44"/>
      <c r="AD39" s="43"/>
      <c r="AE39" s="44"/>
      <c r="AF39" s="19"/>
      <c r="AG39" s="20"/>
      <c r="AH39" s="20"/>
      <c r="AI39" s="20"/>
      <c r="AJ39" s="20"/>
      <c r="AK39" s="20"/>
      <c r="AL39" s="20"/>
      <c r="AM39" s="20"/>
      <c r="AN39" s="20"/>
      <c r="AO39" s="21"/>
      <c r="AP39" s="34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6"/>
      <c r="BE39" s="11"/>
    </row>
    <row r="40" spans="1:57" s="13" customFormat="1" ht="15" customHeight="1">
      <c r="A40" s="10"/>
      <c r="B40" s="18">
        <f t="shared" si="0"/>
        <v>29</v>
      </c>
      <c r="C40" s="39" t="s">
        <v>143</v>
      </c>
      <c r="D40" s="40"/>
      <c r="E40" s="40"/>
      <c r="F40" s="40"/>
      <c r="G40" s="40"/>
      <c r="H40" s="40"/>
      <c r="I40" s="40"/>
      <c r="J40" s="40"/>
      <c r="K40" s="41"/>
      <c r="L40" s="39" t="s">
        <v>86</v>
      </c>
      <c r="M40" s="40"/>
      <c r="N40" s="40"/>
      <c r="O40" s="40"/>
      <c r="P40" s="40"/>
      <c r="Q40" s="41"/>
      <c r="R40" s="37" t="s">
        <v>19</v>
      </c>
      <c r="S40" s="38"/>
      <c r="T40" s="61">
        <v>8</v>
      </c>
      <c r="U40" s="62"/>
      <c r="V40" s="43">
        <f t="shared" si="1"/>
        <v>8</v>
      </c>
      <c r="W40" s="44"/>
      <c r="X40" s="43" t="e">
        <f t="shared" si="2"/>
        <v>#REF!</v>
      </c>
      <c r="Y40" s="44"/>
      <c r="Z40" s="43"/>
      <c r="AA40" s="44"/>
      <c r="AB40" s="43"/>
      <c r="AC40" s="44"/>
      <c r="AD40" s="43"/>
      <c r="AE40" s="44"/>
      <c r="AF40" s="19"/>
      <c r="AG40" s="20"/>
      <c r="AH40" s="20"/>
      <c r="AI40" s="20"/>
      <c r="AJ40" s="20"/>
      <c r="AK40" s="20"/>
      <c r="AL40" s="20"/>
      <c r="AM40" s="20"/>
      <c r="AN40" s="20"/>
      <c r="AO40" s="21"/>
      <c r="AP40" s="34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6"/>
      <c r="BE40" s="11"/>
    </row>
    <row r="41" spans="1:57" s="13" customFormat="1" ht="15" customHeight="1">
      <c r="A41" s="10"/>
      <c r="B41" s="18">
        <f t="shared" si="0"/>
        <v>30</v>
      </c>
      <c r="C41" s="39" t="s">
        <v>144</v>
      </c>
      <c r="D41" s="40"/>
      <c r="E41" s="40"/>
      <c r="F41" s="40"/>
      <c r="G41" s="40"/>
      <c r="H41" s="40"/>
      <c r="I41" s="40"/>
      <c r="J41" s="40"/>
      <c r="K41" s="41"/>
      <c r="L41" s="39" t="s">
        <v>145</v>
      </c>
      <c r="M41" s="40"/>
      <c r="N41" s="40"/>
      <c r="O41" s="40"/>
      <c r="P41" s="40"/>
      <c r="Q41" s="41"/>
      <c r="R41" s="37" t="s">
        <v>19</v>
      </c>
      <c r="S41" s="38"/>
      <c r="T41" s="61">
        <v>8</v>
      </c>
      <c r="U41" s="62"/>
      <c r="V41" s="43">
        <f t="shared" si="1"/>
        <v>8</v>
      </c>
      <c r="W41" s="44"/>
      <c r="X41" s="43" t="e">
        <f t="shared" si="2"/>
        <v>#REF!</v>
      </c>
      <c r="Y41" s="44"/>
      <c r="Z41" s="43"/>
      <c r="AA41" s="44"/>
      <c r="AB41" s="43"/>
      <c r="AC41" s="44"/>
      <c r="AD41" s="43"/>
      <c r="AE41" s="44"/>
      <c r="AF41" s="19"/>
      <c r="AG41" s="20"/>
      <c r="AH41" s="20"/>
      <c r="AI41" s="20"/>
      <c r="AJ41" s="20"/>
      <c r="AK41" s="20"/>
      <c r="AL41" s="20"/>
      <c r="AM41" s="20"/>
      <c r="AN41" s="20"/>
      <c r="AO41" s="21"/>
      <c r="AP41" s="34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6"/>
      <c r="BE41" s="11"/>
    </row>
    <row r="42" spans="1:57" s="13" customFormat="1" ht="15" customHeight="1">
      <c r="A42" s="23"/>
      <c r="B42" s="24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6"/>
    </row>
    <row r="43" spans="1:57" s="13" customFormat="1" ht="15" customHeight="1">
      <c r="A43" s="10"/>
      <c r="B43" s="18">
        <f>B41+1</f>
        <v>31</v>
      </c>
      <c r="C43" s="39" t="s">
        <v>146</v>
      </c>
      <c r="D43" s="40"/>
      <c r="E43" s="40"/>
      <c r="F43" s="40"/>
      <c r="G43" s="40"/>
      <c r="H43" s="40"/>
      <c r="I43" s="40"/>
      <c r="J43" s="40"/>
      <c r="K43" s="41"/>
      <c r="L43" s="39" t="s">
        <v>147</v>
      </c>
      <c r="M43" s="40"/>
      <c r="N43" s="40"/>
      <c r="O43" s="40"/>
      <c r="P43" s="40"/>
      <c r="Q43" s="41"/>
      <c r="R43" s="37" t="s">
        <v>19</v>
      </c>
      <c r="S43" s="38"/>
      <c r="T43" s="61">
        <v>6</v>
      </c>
      <c r="U43" s="62"/>
      <c r="V43" s="43">
        <f t="shared" si="1"/>
        <v>6</v>
      </c>
      <c r="W43" s="44"/>
      <c r="X43" s="43" t="e">
        <f>IF(C43&lt;&gt;"",IF(V41="",X41,V41+X41),"")</f>
        <v>#REF!</v>
      </c>
      <c r="Y43" s="44"/>
      <c r="Z43" s="43"/>
      <c r="AA43" s="44"/>
      <c r="AB43" s="43"/>
      <c r="AC43" s="44"/>
      <c r="AD43" s="43"/>
      <c r="AE43" s="44"/>
      <c r="AF43" s="19"/>
      <c r="AG43" s="20"/>
      <c r="AH43" s="20"/>
      <c r="AI43" s="20"/>
      <c r="AJ43" s="20"/>
      <c r="AK43" s="20"/>
      <c r="AL43" s="20"/>
      <c r="AM43" s="20"/>
      <c r="AN43" s="20"/>
      <c r="AO43" s="21"/>
      <c r="AP43" s="34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6"/>
      <c r="BE43" s="11"/>
    </row>
    <row r="44" spans="1:57" s="13" customFormat="1" ht="15" customHeight="1">
      <c r="A44" s="10"/>
      <c r="B44" s="18">
        <f>B43+1</f>
        <v>32</v>
      </c>
      <c r="C44" s="39" t="s">
        <v>57</v>
      </c>
      <c r="D44" s="40"/>
      <c r="E44" s="40"/>
      <c r="F44" s="40"/>
      <c r="G44" s="40"/>
      <c r="H44" s="40"/>
      <c r="I44" s="40"/>
      <c r="J44" s="40"/>
      <c r="K44" s="41"/>
      <c r="L44" s="39" t="s">
        <v>58</v>
      </c>
      <c r="M44" s="40"/>
      <c r="N44" s="40"/>
      <c r="O44" s="40"/>
      <c r="P44" s="40"/>
      <c r="Q44" s="41"/>
      <c r="R44" s="37" t="s">
        <v>74</v>
      </c>
      <c r="S44" s="38"/>
      <c r="T44" s="61">
        <v>26</v>
      </c>
      <c r="U44" s="62"/>
      <c r="V44" s="43">
        <f t="shared" ref="V44:V46" si="3">IF(R44&lt;&gt;"",IF(R44="N",T44*2,IF(R44="DATE",8,IF(R44="TIMESTAMP",26,T44))),"")</f>
        <v>26</v>
      </c>
      <c r="W44" s="44"/>
      <c r="X44" s="43" t="e">
        <f>IF(C44&lt;&gt;"",IF(#REF!="",#REF!,#REF!+#REF!),"")</f>
        <v>#REF!</v>
      </c>
      <c r="Y44" s="44"/>
      <c r="Z44" s="43"/>
      <c r="AA44" s="44"/>
      <c r="AB44" s="43"/>
      <c r="AC44" s="44"/>
      <c r="AD44" s="43"/>
      <c r="AE44" s="44"/>
      <c r="AF44" s="19"/>
      <c r="AG44" s="20"/>
      <c r="AH44" s="20"/>
      <c r="AI44" s="20"/>
      <c r="AJ44" s="20"/>
      <c r="AK44" s="20"/>
      <c r="AL44" s="20"/>
      <c r="AM44" s="20"/>
      <c r="AN44" s="20"/>
      <c r="AO44" s="21"/>
      <c r="AP44" s="34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6"/>
      <c r="BE44" s="11"/>
    </row>
    <row r="45" spans="1:57" s="13" customFormat="1" ht="15" customHeight="1">
      <c r="A45" s="10"/>
      <c r="B45" s="18">
        <f t="shared" ref="B45:B48" si="4">B44+1</f>
        <v>33</v>
      </c>
      <c r="C45" s="39" t="s">
        <v>59</v>
      </c>
      <c r="D45" s="40"/>
      <c r="E45" s="40"/>
      <c r="F45" s="40"/>
      <c r="G45" s="40"/>
      <c r="H45" s="40"/>
      <c r="I45" s="40"/>
      <c r="J45" s="40"/>
      <c r="K45" s="41"/>
      <c r="L45" s="39" t="s">
        <v>60</v>
      </c>
      <c r="M45" s="40"/>
      <c r="N45" s="40"/>
      <c r="O45" s="40"/>
      <c r="P45" s="40"/>
      <c r="Q45" s="41"/>
      <c r="R45" s="37" t="s">
        <v>74</v>
      </c>
      <c r="S45" s="38"/>
      <c r="T45" s="61">
        <v>26</v>
      </c>
      <c r="U45" s="62"/>
      <c r="V45" s="43">
        <f t="shared" si="3"/>
        <v>26</v>
      </c>
      <c r="W45" s="44"/>
      <c r="X45" s="43" t="e">
        <f t="shared" ref="X45:X49" si="5">IF(C45&lt;&gt;"",IF(V44="",X44,V44+X44),"")</f>
        <v>#REF!</v>
      </c>
      <c r="Y45" s="44"/>
      <c r="Z45" s="43"/>
      <c r="AA45" s="44"/>
      <c r="AB45" s="43"/>
      <c r="AC45" s="44"/>
      <c r="AD45" s="43"/>
      <c r="AE45" s="44"/>
      <c r="AF45" s="19"/>
      <c r="AG45" s="20"/>
      <c r="AH45" s="20"/>
      <c r="AI45" s="20"/>
      <c r="AJ45" s="20"/>
      <c r="AK45" s="20"/>
      <c r="AL45" s="20"/>
      <c r="AM45" s="20"/>
      <c r="AN45" s="20"/>
      <c r="AO45" s="21"/>
      <c r="AP45" s="34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6"/>
      <c r="BE45" s="11"/>
    </row>
    <row r="46" spans="1:57" s="13" customFormat="1" ht="15" customHeight="1">
      <c r="A46" s="10"/>
      <c r="B46" s="18">
        <f t="shared" si="4"/>
        <v>34</v>
      </c>
      <c r="C46" s="39" t="s">
        <v>61</v>
      </c>
      <c r="D46" s="40"/>
      <c r="E46" s="40"/>
      <c r="F46" s="40"/>
      <c r="G46" s="40"/>
      <c r="H46" s="40"/>
      <c r="I46" s="40"/>
      <c r="J46" s="40"/>
      <c r="K46" s="41"/>
      <c r="L46" s="39" t="s">
        <v>62</v>
      </c>
      <c r="M46" s="40"/>
      <c r="N46" s="40"/>
      <c r="O46" s="40"/>
      <c r="P46" s="40"/>
      <c r="Q46" s="41"/>
      <c r="R46" s="37" t="s">
        <v>19</v>
      </c>
      <c r="S46" s="38"/>
      <c r="T46" s="61">
        <v>12</v>
      </c>
      <c r="U46" s="62"/>
      <c r="V46" s="43">
        <f t="shared" si="3"/>
        <v>12</v>
      </c>
      <c r="W46" s="44"/>
      <c r="X46" s="43" t="e">
        <f t="shared" si="5"/>
        <v>#REF!</v>
      </c>
      <c r="Y46" s="44"/>
      <c r="Z46" s="43"/>
      <c r="AA46" s="44"/>
      <c r="AB46" s="43"/>
      <c r="AC46" s="44"/>
      <c r="AD46" s="43"/>
      <c r="AE46" s="44"/>
      <c r="AF46" s="19"/>
      <c r="AG46" s="20"/>
      <c r="AH46" s="20"/>
      <c r="AI46" s="20"/>
      <c r="AJ46" s="20"/>
      <c r="AK46" s="20"/>
      <c r="AL46" s="20"/>
      <c r="AM46" s="20"/>
      <c r="AN46" s="20"/>
      <c r="AO46" s="21"/>
      <c r="AP46" s="34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6"/>
      <c r="BE46" s="11"/>
    </row>
    <row r="47" spans="1:57" s="13" customFormat="1" ht="15" customHeight="1">
      <c r="A47" s="10"/>
      <c r="B47" s="18">
        <f t="shared" si="4"/>
        <v>35</v>
      </c>
      <c r="C47" s="39" t="s">
        <v>63</v>
      </c>
      <c r="D47" s="40"/>
      <c r="E47" s="40"/>
      <c r="F47" s="40"/>
      <c r="G47" s="40"/>
      <c r="H47" s="40"/>
      <c r="I47" s="40"/>
      <c r="J47" s="40"/>
      <c r="K47" s="41"/>
      <c r="L47" s="39" t="s">
        <v>64</v>
      </c>
      <c r="M47" s="40"/>
      <c r="N47" s="40"/>
      <c r="O47" s="40"/>
      <c r="P47" s="40"/>
      <c r="Q47" s="41"/>
      <c r="R47" s="37" t="s">
        <v>19</v>
      </c>
      <c r="S47" s="38"/>
      <c r="T47" s="61">
        <v>10</v>
      </c>
      <c r="U47" s="62"/>
      <c r="V47" s="43">
        <f>IF(R47&lt;&gt;"",IF(R47="N",T47*2,IF(R47="DATE",8,IF(R47="TIMESTAMP",26,T47))),"")</f>
        <v>10</v>
      </c>
      <c r="W47" s="44"/>
      <c r="X47" s="43" t="e">
        <f t="shared" si="5"/>
        <v>#REF!</v>
      </c>
      <c r="Y47" s="44"/>
      <c r="Z47" s="43"/>
      <c r="AA47" s="44"/>
      <c r="AB47" s="43"/>
      <c r="AC47" s="44"/>
      <c r="AD47" s="43"/>
      <c r="AE47" s="44"/>
      <c r="AF47" s="19"/>
      <c r="AG47" s="20"/>
      <c r="AH47" s="20"/>
      <c r="AI47" s="20"/>
      <c r="AJ47" s="20"/>
      <c r="AK47" s="20"/>
      <c r="AL47" s="20"/>
      <c r="AM47" s="20"/>
      <c r="AN47" s="20"/>
      <c r="AO47" s="21"/>
      <c r="AP47" s="34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6"/>
      <c r="BE47" s="11"/>
    </row>
    <row r="48" spans="1:57" s="13" customFormat="1" ht="15" customHeight="1">
      <c r="A48" s="10"/>
      <c r="B48" s="18">
        <f t="shared" si="4"/>
        <v>36</v>
      </c>
      <c r="C48" s="39" t="s">
        <v>65</v>
      </c>
      <c r="D48" s="40"/>
      <c r="E48" s="40"/>
      <c r="F48" s="40"/>
      <c r="G48" s="40"/>
      <c r="H48" s="40"/>
      <c r="I48" s="40"/>
      <c r="J48" s="40"/>
      <c r="K48" s="41"/>
      <c r="L48" s="39" t="s">
        <v>66</v>
      </c>
      <c r="M48" s="40"/>
      <c r="N48" s="40"/>
      <c r="O48" s="40"/>
      <c r="P48" s="40"/>
      <c r="Q48" s="41"/>
      <c r="R48" s="37" t="s">
        <v>19</v>
      </c>
      <c r="S48" s="38"/>
      <c r="T48" s="61">
        <v>1</v>
      </c>
      <c r="U48" s="62"/>
      <c r="V48" s="43">
        <f>IF(R48&lt;&gt;"",IF(R48="N",T48*2,IF(R48="DATE",8,IF(R48="TIMESTAMP",26,T48))),"")</f>
        <v>1</v>
      </c>
      <c r="W48" s="44"/>
      <c r="X48" s="43" t="e">
        <f t="shared" si="5"/>
        <v>#REF!</v>
      </c>
      <c r="Y48" s="44"/>
      <c r="Z48" s="43"/>
      <c r="AA48" s="44"/>
      <c r="AB48" s="43"/>
      <c r="AC48" s="44"/>
      <c r="AD48" s="43"/>
      <c r="AE48" s="44"/>
      <c r="AF48" s="19"/>
      <c r="AG48" s="20"/>
      <c r="AH48" s="20"/>
      <c r="AI48" s="20"/>
      <c r="AJ48" s="20"/>
      <c r="AK48" s="20"/>
      <c r="AL48" s="20"/>
      <c r="AM48" s="20"/>
      <c r="AN48" s="20"/>
      <c r="AO48" s="21"/>
      <c r="AP48" s="34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6"/>
      <c r="BE48" s="11"/>
    </row>
    <row r="49" spans="1:57" s="13" customFormat="1" ht="15" customHeight="1">
      <c r="A49" s="10"/>
      <c r="B49" s="18"/>
      <c r="C49" s="39" t="s">
        <v>148</v>
      </c>
      <c r="D49" s="40"/>
      <c r="E49" s="40"/>
      <c r="F49" s="40"/>
      <c r="G49" s="40"/>
      <c r="H49" s="40"/>
      <c r="I49" s="40"/>
      <c r="J49" s="40"/>
      <c r="K49" s="41"/>
      <c r="L49" s="39"/>
      <c r="M49" s="40"/>
      <c r="N49" s="40"/>
      <c r="O49" s="40"/>
      <c r="P49" s="40"/>
      <c r="Q49" s="41"/>
      <c r="R49" s="42"/>
      <c r="S49" s="42"/>
      <c r="T49" s="43"/>
      <c r="U49" s="44"/>
      <c r="V49" s="43" t="str">
        <f>IF(R49&lt;&gt;"",IF(R49="N",T49*2,IF(R49="DATE",8,IF(R49="TIMESTAMP",26,T49))),"")</f>
        <v/>
      </c>
      <c r="W49" s="44"/>
      <c r="X49" s="43" t="e">
        <f t="shared" si="5"/>
        <v>#REF!</v>
      </c>
      <c r="Y49" s="44"/>
      <c r="Z49" s="43"/>
      <c r="AA49" s="44"/>
      <c r="AB49" s="43"/>
      <c r="AC49" s="44"/>
      <c r="AD49" s="43"/>
      <c r="AE49" s="44"/>
      <c r="AF49" s="19"/>
      <c r="AG49" s="20"/>
      <c r="AH49" s="20"/>
      <c r="AI49" s="20"/>
      <c r="AJ49" s="20"/>
      <c r="AK49" s="20"/>
      <c r="AL49" s="20"/>
      <c r="AM49" s="20"/>
      <c r="AN49" s="20"/>
      <c r="AO49" s="21"/>
      <c r="AP49" s="34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6"/>
      <c r="BE49" s="11"/>
    </row>
    <row r="50" spans="1:57" s="13" customFormat="1" ht="15" customHeight="1">
      <c r="A50" s="10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11"/>
    </row>
    <row r="51" spans="1:57" s="13" customFormat="1" ht="15" customHeight="1">
      <c r="A51" s="10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11"/>
    </row>
    <row r="52" spans="1:57" s="13" customFormat="1" ht="15" customHeight="1">
      <c r="A52" s="10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11"/>
    </row>
    <row r="53" spans="1:57" s="13" customFormat="1" ht="15" customHeight="1">
      <c r="A53" s="10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11"/>
    </row>
    <row r="54" spans="1:57" s="13" customFormat="1" ht="15" customHeight="1">
      <c r="A54" s="10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11"/>
    </row>
    <row r="55" spans="1:57" s="13" customFormat="1" ht="15" customHeight="1">
      <c r="A55" s="10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11"/>
    </row>
    <row r="56" spans="1:57" s="13" customFormat="1" ht="15" customHeight="1">
      <c r="A56" s="10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11"/>
    </row>
    <row r="57" spans="1:57" s="13" customFormat="1" ht="15" customHeight="1">
      <c r="A57" s="10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11"/>
    </row>
    <row r="58" spans="1:57" s="13" customFormat="1" ht="15" customHeight="1">
      <c r="A58" s="10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11"/>
    </row>
    <row r="59" spans="1:57" s="13" customFormat="1" ht="15" customHeight="1">
      <c r="A59" s="10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11"/>
    </row>
    <row r="60" spans="1:57" s="13" customFormat="1" ht="15" customHeight="1">
      <c r="A60" s="10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11"/>
    </row>
    <row r="61" spans="1:57" s="13" customFormat="1" ht="15" customHeight="1">
      <c r="A61" s="10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11"/>
    </row>
    <row r="62" spans="1:57" s="13" customFormat="1" ht="15" customHeight="1">
      <c r="A62" s="10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11"/>
    </row>
    <row r="63" spans="1:57" s="13" customFormat="1" ht="15" customHeight="1">
      <c r="A63" s="10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11"/>
    </row>
    <row r="64" spans="1:57" s="13" customFormat="1" ht="15" customHeight="1">
      <c r="A64" s="10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11"/>
    </row>
    <row r="65" spans="1:57" s="13" customFormat="1" ht="15" customHeight="1">
      <c r="A65" s="23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6"/>
    </row>
  </sheetData>
  <mergeCells count="402">
    <mergeCell ref="X10:Y11"/>
    <mergeCell ref="Z10:AA11"/>
    <mergeCell ref="AB10:AC11"/>
    <mergeCell ref="AD10:AE11"/>
    <mergeCell ref="AF10:AO10"/>
    <mergeCell ref="AP10:BD11"/>
    <mergeCell ref="B8:H8"/>
    <mergeCell ref="I8:V8"/>
    <mergeCell ref="W8:AC8"/>
    <mergeCell ref="AD8:BD8"/>
    <mergeCell ref="B10:B11"/>
    <mergeCell ref="C10:K11"/>
    <mergeCell ref="L10:Q11"/>
    <mergeCell ref="R10:S11"/>
    <mergeCell ref="T10:U11"/>
    <mergeCell ref="V10:W11"/>
    <mergeCell ref="AY3:BE4"/>
    <mergeCell ref="B7:H7"/>
    <mergeCell ref="I7:V7"/>
    <mergeCell ref="W7:AX7"/>
    <mergeCell ref="AY7:BA7"/>
    <mergeCell ref="BB7:BD7"/>
    <mergeCell ref="A1:T4"/>
    <mergeCell ref="V1:Z2"/>
    <mergeCell ref="AA1:AO2"/>
    <mergeCell ref="AQ1:AU2"/>
    <mergeCell ref="AV1:AX2"/>
    <mergeCell ref="AY1:BE2"/>
    <mergeCell ref="V3:Z4"/>
    <mergeCell ref="AA3:AO4"/>
    <mergeCell ref="AQ3:AU4"/>
    <mergeCell ref="AV3:AX4"/>
    <mergeCell ref="Z13:AA13"/>
    <mergeCell ref="AB13:AC13"/>
    <mergeCell ref="AD13:AE13"/>
    <mergeCell ref="AP13:BD13"/>
    <mergeCell ref="C14:K14"/>
    <mergeCell ref="L14:Q14"/>
    <mergeCell ref="R14:S14"/>
    <mergeCell ref="T14:U14"/>
    <mergeCell ref="V14:W14"/>
    <mergeCell ref="X14:Y14"/>
    <mergeCell ref="Z12:AA12"/>
    <mergeCell ref="AB12:AC12"/>
    <mergeCell ref="AD12:AE12"/>
    <mergeCell ref="AP12:BD12"/>
    <mergeCell ref="C13:K13"/>
    <mergeCell ref="L13:Q13"/>
    <mergeCell ref="R13:S13"/>
    <mergeCell ref="T13:U13"/>
    <mergeCell ref="V13:W13"/>
    <mergeCell ref="X13:Y13"/>
    <mergeCell ref="C12:K12"/>
    <mergeCell ref="L12:Q12"/>
    <mergeCell ref="R12:S12"/>
    <mergeCell ref="T12:U12"/>
    <mergeCell ref="V12:W12"/>
    <mergeCell ref="X12:Y12"/>
    <mergeCell ref="Z15:AA15"/>
    <mergeCell ref="AB15:AC15"/>
    <mergeCell ref="AD15:AE15"/>
    <mergeCell ref="AP15:BD15"/>
    <mergeCell ref="C16:K16"/>
    <mergeCell ref="L16:Q16"/>
    <mergeCell ref="R16:S16"/>
    <mergeCell ref="T16:U16"/>
    <mergeCell ref="V16:W16"/>
    <mergeCell ref="X16:Y16"/>
    <mergeCell ref="Z14:AA14"/>
    <mergeCell ref="AB14:AC14"/>
    <mergeCell ref="AD14:AE14"/>
    <mergeCell ref="AP14:BD14"/>
    <mergeCell ref="C15:K15"/>
    <mergeCell ref="L15:Q15"/>
    <mergeCell ref="R15:S15"/>
    <mergeCell ref="T15:U15"/>
    <mergeCell ref="V15:W15"/>
    <mergeCell ref="X15:Y15"/>
    <mergeCell ref="Z16:AA16"/>
    <mergeCell ref="AB16:AC16"/>
    <mergeCell ref="AD16:AE16"/>
    <mergeCell ref="AP16:BD16"/>
    <mergeCell ref="C17:K17"/>
    <mergeCell ref="L17:Q17"/>
    <mergeCell ref="R17:S17"/>
    <mergeCell ref="T17:U17"/>
    <mergeCell ref="V17:W17"/>
    <mergeCell ref="X17:Y17"/>
    <mergeCell ref="Z18:AA18"/>
    <mergeCell ref="AB18:AC18"/>
    <mergeCell ref="AD18:AE18"/>
    <mergeCell ref="AP18:BD18"/>
    <mergeCell ref="C19:K19"/>
    <mergeCell ref="L19:Q19"/>
    <mergeCell ref="R19:S19"/>
    <mergeCell ref="T19:U19"/>
    <mergeCell ref="V19:W19"/>
    <mergeCell ref="X19:Y19"/>
    <mergeCell ref="Z17:AA17"/>
    <mergeCell ref="AB17:AC17"/>
    <mergeCell ref="AD17:AE17"/>
    <mergeCell ref="AP17:BD17"/>
    <mergeCell ref="C18:K18"/>
    <mergeCell ref="L18:Q18"/>
    <mergeCell ref="R18:S18"/>
    <mergeCell ref="T18:U18"/>
    <mergeCell ref="V18:W18"/>
    <mergeCell ref="X18:Y18"/>
    <mergeCell ref="Z20:AA20"/>
    <mergeCell ref="AB20:AC20"/>
    <mergeCell ref="AD20:AE20"/>
    <mergeCell ref="AP20:BD20"/>
    <mergeCell ref="C21:K21"/>
    <mergeCell ref="L21:Q21"/>
    <mergeCell ref="R21:S21"/>
    <mergeCell ref="T21:U21"/>
    <mergeCell ref="V21:W21"/>
    <mergeCell ref="X21:Y21"/>
    <mergeCell ref="Z19:AA19"/>
    <mergeCell ref="AB19:AC19"/>
    <mergeCell ref="AD19:AE19"/>
    <mergeCell ref="AP19:BD19"/>
    <mergeCell ref="C20:K20"/>
    <mergeCell ref="L20:Q20"/>
    <mergeCell ref="R20:S20"/>
    <mergeCell ref="T20:U20"/>
    <mergeCell ref="V20:W20"/>
    <mergeCell ref="X20:Y20"/>
    <mergeCell ref="Z22:AA22"/>
    <mergeCell ref="AB22:AC22"/>
    <mergeCell ref="AD22:AE22"/>
    <mergeCell ref="AP22:BD22"/>
    <mergeCell ref="C23:K23"/>
    <mergeCell ref="L23:Q23"/>
    <mergeCell ref="R23:S23"/>
    <mergeCell ref="T23:U23"/>
    <mergeCell ref="V23:W23"/>
    <mergeCell ref="X23:Y23"/>
    <mergeCell ref="Z21:AA21"/>
    <mergeCell ref="AB21:AC21"/>
    <mergeCell ref="AD21:AE21"/>
    <mergeCell ref="AP21:BD21"/>
    <mergeCell ref="C22:K22"/>
    <mergeCell ref="L22:Q22"/>
    <mergeCell ref="R22:S22"/>
    <mergeCell ref="T22:U22"/>
    <mergeCell ref="V22:W22"/>
    <mergeCell ref="X22:Y22"/>
    <mergeCell ref="Z24:AA24"/>
    <mergeCell ref="AB24:AC24"/>
    <mergeCell ref="AD24:AE24"/>
    <mergeCell ref="AP24:BD24"/>
    <mergeCell ref="C25:K25"/>
    <mergeCell ref="L25:Q25"/>
    <mergeCell ref="R25:S25"/>
    <mergeCell ref="T25:U25"/>
    <mergeCell ref="V25:W25"/>
    <mergeCell ref="X25:Y25"/>
    <mergeCell ref="Z23:AA23"/>
    <mergeCell ref="AB23:AC23"/>
    <mergeCell ref="AD23:AE23"/>
    <mergeCell ref="AP23:BD23"/>
    <mergeCell ref="C24:K24"/>
    <mergeCell ref="L24:Q24"/>
    <mergeCell ref="R24:S24"/>
    <mergeCell ref="T24:U24"/>
    <mergeCell ref="V24:W24"/>
    <mergeCell ref="X24:Y24"/>
    <mergeCell ref="Z26:AA26"/>
    <mergeCell ref="AB26:AC26"/>
    <mergeCell ref="AD26:AE26"/>
    <mergeCell ref="AP26:BD26"/>
    <mergeCell ref="C27:K27"/>
    <mergeCell ref="L27:Q27"/>
    <mergeCell ref="R27:S27"/>
    <mergeCell ref="T27:U27"/>
    <mergeCell ref="V27:W27"/>
    <mergeCell ref="X27:Y27"/>
    <mergeCell ref="Z25:AA25"/>
    <mergeCell ref="AB25:AC25"/>
    <mergeCell ref="AD25:AE25"/>
    <mergeCell ref="AP25:BD25"/>
    <mergeCell ref="C26:K26"/>
    <mergeCell ref="L26:Q26"/>
    <mergeCell ref="R26:S26"/>
    <mergeCell ref="T26:U26"/>
    <mergeCell ref="V26:W26"/>
    <mergeCell ref="X26:Y26"/>
    <mergeCell ref="Z28:AA28"/>
    <mergeCell ref="AB28:AC28"/>
    <mergeCell ref="AD28:AE28"/>
    <mergeCell ref="AP28:BD28"/>
    <mergeCell ref="C29:K29"/>
    <mergeCell ref="L29:Q29"/>
    <mergeCell ref="R29:S29"/>
    <mergeCell ref="T29:U29"/>
    <mergeCell ref="V29:W29"/>
    <mergeCell ref="X29:Y29"/>
    <mergeCell ref="Z27:AA27"/>
    <mergeCell ref="AB27:AC27"/>
    <mergeCell ref="AD27:AE27"/>
    <mergeCell ref="AP27:BD27"/>
    <mergeCell ref="C28:K28"/>
    <mergeCell ref="L28:Q28"/>
    <mergeCell ref="R28:S28"/>
    <mergeCell ref="T28:U28"/>
    <mergeCell ref="V28:W28"/>
    <mergeCell ref="X28:Y28"/>
    <mergeCell ref="Z30:AA30"/>
    <mergeCell ref="AB30:AC30"/>
    <mergeCell ref="AD30:AE30"/>
    <mergeCell ref="AP30:BD30"/>
    <mergeCell ref="C31:K31"/>
    <mergeCell ref="L31:Q31"/>
    <mergeCell ref="R31:S31"/>
    <mergeCell ref="T31:U31"/>
    <mergeCell ref="V31:W31"/>
    <mergeCell ref="X31:Y31"/>
    <mergeCell ref="Z29:AA29"/>
    <mergeCell ref="AB29:AC29"/>
    <mergeCell ref="AD29:AE29"/>
    <mergeCell ref="AP29:BD29"/>
    <mergeCell ref="C30:K30"/>
    <mergeCell ref="L30:Q30"/>
    <mergeCell ref="R30:S30"/>
    <mergeCell ref="T30:U30"/>
    <mergeCell ref="V30:W30"/>
    <mergeCell ref="X30:Y30"/>
    <mergeCell ref="Z32:AA32"/>
    <mergeCell ref="AB32:AC32"/>
    <mergeCell ref="AD32:AE32"/>
    <mergeCell ref="AP32:BD32"/>
    <mergeCell ref="C33:K33"/>
    <mergeCell ref="L33:Q33"/>
    <mergeCell ref="R33:S33"/>
    <mergeCell ref="T33:U33"/>
    <mergeCell ref="V33:W33"/>
    <mergeCell ref="X33:Y33"/>
    <mergeCell ref="Z31:AA31"/>
    <mergeCell ref="AB31:AC31"/>
    <mergeCell ref="AD31:AE31"/>
    <mergeCell ref="AP31:BD31"/>
    <mergeCell ref="C32:K32"/>
    <mergeCell ref="L32:Q32"/>
    <mergeCell ref="R32:S32"/>
    <mergeCell ref="T32:U32"/>
    <mergeCell ref="V32:W32"/>
    <mergeCell ref="X32:Y32"/>
    <mergeCell ref="Z34:AA34"/>
    <mergeCell ref="AB34:AC34"/>
    <mergeCell ref="AD34:AE34"/>
    <mergeCell ref="AP34:BD34"/>
    <mergeCell ref="C35:K35"/>
    <mergeCell ref="L35:Q35"/>
    <mergeCell ref="R35:S35"/>
    <mergeCell ref="T35:U35"/>
    <mergeCell ref="V35:W35"/>
    <mergeCell ref="X35:Y35"/>
    <mergeCell ref="Z33:AA33"/>
    <mergeCell ref="AB33:AC33"/>
    <mergeCell ref="AD33:AE33"/>
    <mergeCell ref="AP33:BD33"/>
    <mergeCell ref="C34:K34"/>
    <mergeCell ref="L34:Q34"/>
    <mergeCell ref="R34:S34"/>
    <mergeCell ref="T34:U34"/>
    <mergeCell ref="V34:W34"/>
    <mergeCell ref="X34:Y34"/>
    <mergeCell ref="Z36:AA36"/>
    <mergeCell ref="AB36:AC36"/>
    <mergeCell ref="AD36:AE36"/>
    <mergeCell ref="AP36:BD36"/>
    <mergeCell ref="C37:K37"/>
    <mergeCell ref="L37:Q37"/>
    <mergeCell ref="R37:S37"/>
    <mergeCell ref="T37:U37"/>
    <mergeCell ref="V37:W37"/>
    <mergeCell ref="X37:Y37"/>
    <mergeCell ref="Z35:AA35"/>
    <mergeCell ref="AB35:AC35"/>
    <mergeCell ref="AD35:AE35"/>
    <mergeCell ref="AP35:BD35"/>
    <mergeCell ref="C36:K36"/>
    <mergeCell ref="L36:Q36"/>
    <mergeCell ref="R36:S36"/>
    <mergeCell ref="T36:U36"/>
    <mergeCell ref="V36:W36"/>
    <mergeCell ref="X36:Y36"/>
    <mergeCell ref="Z38:AA38"/>
    <mergeCell ref="AB38:AC38"/>
    <mergeCell ref="AD38:AE38"/>
    <mergeCell ref="AP38:BD38"/>
    <mergeCell ref="C39:K39"/>
    <mergeCell ref="L39:Q39"/>
    <mergeCell ref="R39:S39"/>
    <mergeCell ref="T39:U39"/>
    <mergeCell ref="V39:W39"/>
    <mergeCell ref="X39:Y39"/>
    <mergeCell ref="Z37:AA37"/>
    <mergeCell ref="AB37:AC37"/>
    <mergeCell ref="AD37:AE37"/>
    <mergeCell ref="AP37:BD37"/>
    <mergeCell ref="C38:K38"/>
    <mergeCell ref="L38:Q38"/>
    <mergeCell ref="R38:S38"/>
    <mergeCell ref="T38:U38"/>
    <mergeCell ref="V38:W38"/>
    <mergeCell ref="X38:Y38"/>
    <mergeCell ref="Z40:AA40"/>
    <mergeCell ref="AB40:AC40"/>
    <mergeCell ref="AD40:AE40"/>
    <mergeCell ref="AP40:BD40"/>
    <mergeCell ref="C41:K41"/>
    <mergeCell ref="L41:Q41"/>
    <mergeCell ref="R41:S41"/>
    <mergeCell ref="T41:U41"/>
    <mergeCell ref="V41:W41"/>
    <mergeCell ref="X41:Y41"/>
    <mergeCell ref="Z39:AA39"/>
    <mergeCell ref="AB39:AC39"/>
    <mergeCell ref="AD39:AE39"/>
    <mergeCell ref="AP39:BD39"/>
    <mergeCell ref="C40:K40"/>
    <mergeCell ref="L40:Q40"/>
    <mergeCell ref="R40:S40"/>
    <mergeCell ref="T40:U40"/>
    <mergeCell ref="V40:W40"/>
    <mergeCell ref="X40:Y40"/>
    <mergeCell ref="Z43:AA43"/>
    <mergeCell ref="AB43:AC43"/>
    <mergeCell ref="AD43:AE43"/>
    <mergeCell ref="AP43:BD43"/>
    <mergeCell ref="Z41:AA41"/>
    <mergeCell ref="AB41:AC41"/>
    <mergeCell ref="AD41:AE41"/>
    <mergeCell ref="AP41:BD41"/>
    <mergeCell ref="C43:K43"/>
    <mergeCell ref="L43:Q43"/>
    <mergeCell ref="R43:S43"/>
    <mergeCell ref="T43:U43"/>
    <mergeCell ref="V43:W43"/>
    <mergeCell ref="X43:Y43"/>
    <mergeCell ref="Z44:AA44"/>
    <mergeCell ref="AB44:AC44"/>
    <mergeCell ref="AD44:AE44"/>
    <mergeCell ref="AP44:BD44"/>
    <mergeCell ref="C45:K45"/>
    <mergeCell ref="L45:Q45"/>
    <mergeCell ref="R45:S45"/>
    <mergeCell ref="T45:U45"/>
    <mergeCell ref="V45:W45"/>
    <mergeCell ref="X45:Y45"/>
    <mergeCell ref="C44:K44"/>
    <mergeCell ref="L44:Q44"/>
    <mergeCell ref="R44:S44"/>
    <mergeCell ref="T44:U44"/>
    <mergeCell ref="V44:W44"/>
    <mergeCell ref="X44:Y44"/>
    <mergeCell ref="Z46:AA46"/>
    <mergeCell ref="AB46:AC46"/>
    <mergeCell ref="AD46:AE46"/>
    <mergeCell ref="AP46:BD46"/>
    <mergeCell ref="C47:K47"/>
    <mergeCell ref="L47:Q47"/>
    <mergeCell ref="R47:S47"/>
    <mergeCell ref="T47:U47"/>
    <mergeCell ref="V47:W47"/>
    <mergeCell ref="X47:Y47"/>
    <mergeCell ref="Z45:AA45"/>
    <mergeCell ref="AB45:AC45"/>
    <mergeCell ref="AD45:AE45"/>
    <mergeCell ref="AP45:BD45"/>
    <mergeCell ref="C46:K46"/>
    <mergeCell ref="L46:Q46"/>
    <mergeCell ref="R46:S46"/>
    <mergeCell ref="T46:U46"/>
    <mergeCell ref="V46:W46"/>
    <mergeCell ref="X46:Y46"/>
    <mergeCell ref="Z49:AA49"/>
    <mergeCell ref="AB49:AC49"/>
    <mergeCell ref="AD49:AE49"/>
    <mergeCell ref="AP49:BD49"/>
    <mergeCell ref="Z48:AA48"/>
    <mergeCell ref="AB48:AC48"/>
    <mergeCell ref="AD48:AE48"/>
    <mergeCell ref="AP48:BD48"/>
    <mergeCell ref="C49:K49"/>
    <mergeCell ref="L49:Q49"/>
    <mergeCell ref="R49:S49"/>
    <mergeCell ref="T49:U49"/>
    <mergeCell ref="V49:W49"/>
    <mergeCell ref="X49:Y49"/>
    <mergeCell ref="Z47:AA47"/>
    <mergeCell ref="AB47:AC47"/>
    <mergeCell ref="AD47:AE47"/>
    <mergeCell ref="AP47:BD47"/>
    <mergeCell ref="C48:K48"/>
    <mergeCell ref="L48:Q48"/>
    <mergeCell ref="R48:S48"/>
    <mergeCell ref="T48:U48"/>
    <mergeCell ref="V48:W48"/>
    <mergeCell ref="X48:Y48"/>
  </mergeCells>
  <phoneticPr fontId="1"/>
  <pageMargins left="0.39370078740157483" right="0.39370078740157483" top="0.47244094488188981" bottom="0.44" header="0.19685039370078741" footer="0.25"/>
  <pageSetup paperSize="9" scale="73" fitToHeight="0" orientation="landscape" r:id="rId1"/>
  <headerFooter alignWithMargins="0">
    <oddFooter>&amp;L&amp;"ＭＳ ゴシック,標準"&amp;10ＣＯＮＦＩＤＥＮＴＩＡＬ&amp;R&amp;"ＭＳ ゴシック,標準"&amp;10（&amp;P／&amp;N）</oddFooter>
  </headerFooter>
  <rowBreaks count="1" manualBreakCount="1">
    <brk id="42" max="56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4</vt:i4>
      </vt:variant>
    </vt:vector>
  </HeadingPairs>
  <TitlesOfParts>
    <vt:vector size="13" baseType="lpstr">
      <vt:lpstr>config</vt:lpstr>
      <vt:lpstr>kbn1.config</vt:lpstr>
      <vt:lpstr>kbn1.task</vt:lpstr>
      <vt:lpstr>kbn1.template</vt:lpstr>
      <vt:lpstr>kbn1.layout</vt:lpstr>
      <vt:lpstr>kbn2.config</vt:lpstr>
      <vt:lpstr>kbn2.task</vt:lpstr>
      <vt:lpstr>kbn2.template</vt:lpstr>
      <vt:lpstr>kbn2.layout</vt:lpstr>
      <vt:lpstr>kbn1.layout!Print_Area</vt:lpstr>
      <vt:lpstr>kbn2.layout!Print_Area</vt:lpstr>
      <vt:lpstr>kbn1.layout!Print_Titles</vt:lpstr>
      <vt:lpstr>kbn2.layout!Print_Titles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ncsak11598</dc:creator>
  <cp:lastModifiedBy>8419 周志偉</cp:lastModifiedBy>
  <dcterms:created xsi:type="dcterms:W3CDTF">2020-01-23T07:32:15Z</dcterms:created>
  <dcterms:modified xsi:type="dcterms:W3CDTF">2022-07-13T05:31:51Z</dcterms:modified>
</cp:coreProperties>
</file>