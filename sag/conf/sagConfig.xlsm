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jason\sag\conf\"/>
    </mc:Choice>
  </mc:AlternateContent>
  <bookViews>
    <workbookView xWindow="0" yWindow="0" windowWidth="28800" windowHeight="12210"/>
  </bookViews>
  <sheets>
    <sheet name="config" sheetId="2" r:id="rId1"/>
    <sheet name="jicc.config" sheetId="21" r:id="rId2"/>
    <sheet name="jicc.task" sheetId="11" r:id="rId3"/>
    <sheet name="jicc.template" sheetId="12" r:id="rId4"/>
    <sheet name="jicc.layout" sheetId="17" r:id="rId5"/>
    <sheet name="cic.config" sheetId="20" r:id="rId6"/>
    <sheet name="cic.task" sheetId="1" r:id="rId7"/>
    <sheet name="cic.template" sheetId="3" r:id="rId8"/>
    <sheet name="cic.layout" sheetId="16" r:id="rId9"/>
    <sheet name="jiccSrc.config" sheetId="26" r:id="rId10"/>
    <sheet name="jiccSrc.task" sheetId="27" r:id="rId11"/>
    <sheet name="jiccSrc.template" sheetId="28" r:id="rId12"/>
    <sheet name="jiccSrc.layout" sheetId="30" r:id="rId13"/>
    <sheet name="gurasLite.config" sheetId="19" r:id="rId14"/>
    <sheet name="gurasLite.task" sheetId="13" r:id="rId15"/>
    <sheet name="gurasLite.template" sheetId="14" r:id="rId16"/>
    <sheet name="gurasLite.layout" sheetId="18" r:id="rId17"/>
    <sheet name="dcard.config" sheetId="23" r:id="rId18"/>
    <sheet name="dcard.task" sheetId="24" r:id="rId19"/>
    <sheet name="dcard.template" sheetId="25" r:id="rId20"/>
    <sheet name="dcard.layout" sheetId="22" r:id="rId21"/>
    <sheet name="test.config" sheetId="35" r:id="rId22"/>
    <sheet name="test.task" sheetId="36" r:id="rId23"/>
    <sheet name="test.template" sheetId="37" r:id="rId24"/>
    <sheet name="test.layout" sheetId="31" r:id="rId25"/>
    <sheet name="test.mapping" sheetId="38" r:id="rId26"/>
  </sheets>
  <externalReferences>
    <externalReference r:id="rId27"/>
    <externalReference r:id="rId28"/>
    <externalReference r:id="rId29"/>
    <externalReference r:id="rId30"/>
  </externalReferences>
  <definedNames>
    <definedName name="_xlnm._FilterDatabase" localSheetId="12" hidden="1">jiccSrc.layout!$Q$10:$Q$127</definedName>
    <definedName name="_xlnm._FilterDatabase" localSheetId="24" hidden="1">test.layout!$A$7:$T$527</definedName>
    <definedName name="_Key1" localSheetId="25" hidden="1">#REF!</definedName>
    <definedName name="_Key1" hidden="1">#REF!</definedName>
    <definedName name="_Order1" hidden="1">255</definedName>
    <definedName name="_Regression_X" localSheetId="25" hidden="1">#REF!</definedName>
    <definedName name="_Regression_X" hidden="1">#REF!</definedName>
    <definedName name="_Sort" localSheetId="25" hidden="1">#REF!</definedName>
    <definedName name="_Sort" hidden="1">#REF!</definedName>
    <definedName name="AA" localSheetId="25" hidden="1">#REF!</definedName>
    <definedName name="AA" hidden="1">#REF!</definedName>
    <definedName name="bb" hidden="1">{"'一覧'!$A$1:$M$28"}</definedName>
    <definedName name="BBB" localSheetId="25" hidden="1">#REF!</definedName>
    <definedName name="BBB" hidden="1">#REF!</definedName>
    <definedName name="HTML_CodePage" hidden="1">932</definedName>
    <definedName name="html_cont" hidden="1">{"'調査医師リスト'!$A$2:$P$35"}</definedName>
    <definedName name="HTML_Control" hidden="1">{"'営業開発ﾚﾝﾀﾙ一覧'!$A$1:$Z$193"}</definedName>
    <definedName name="HTML_Description" hidden="1">""</definedName>
    <definedName name="HTML_Email" hidden="1">""</definedName>
    <definedName name="HTML_Header" hidden="1">"営業開発ﾚﾝﾀﾙ一覧"</definedName>
    <definedName name="HTML_LastUpdate" hidden="1">"03/12/05"</definedName>
    <definedName name="HTML_LineAfter" hidden="1">FALSE</definedName>
    <definedName name="HTML_LineBefore" hidden="1">TRUE</definedName>
    <definedName name="HTML_Name" hidden="1">"IBM089"</definedName>
    <definedName name="HTML_OBDlg2" hidden="1">TRUE</definedName>
    <definedName name="HTML_OBDlg4" hidden="1">TRUE</definedName>
    <definedName name="HTML_OS" hidden="1">0</definedName>
    <definedName name="HTML_PathFile" hidden="1">"F:\MyHTML.htm"</definedName>
    <definedName name="HTML_Title" hidden="1">""</definedName>
    <definedName name="LIST_システムの用途">'[1]分類(削除しないこと)'!$B$2:$B$34</definedName>
    <definedName name="_xlnm.Print_Area" localSheetId="8">'cic.layout'!$A$1:$BE$163</definedName>
    <definedName name="_xlnm.Print_Area" localSheetId="20">dcard.layout!$A$1:$BE$130</definedName>
    <definedName name="_xlnm.Print_Area" localSheetId="4">jicc.layout!$A$1:$BE$49</definedName>
    <definedName name="_xlnm.Print_Area" localSheetId="12">jiccSrc.layout!$A$1:$BE$240</definedName>
    <definedName name="_xlnm.Print_Area">#N/A</definedName>
    <definedName name="_xlnm.Print_Titles" localSheetId="8">'cic.layout'!$1:$11</definedName>
    <definedName name="_xlnm.Print_Titles" localSheetId="20">dcard.layout!$1:$7</definedName>
    <definedName name="_xlnm.Print_Titles" localSheetId="16">gurasLite.layout!$1:$6</definedName>
    <definedName name="_xlnm.Print_Titles" localSheetId="4">jicc.layout!$1:$11</definedName>
    <definedName name="_xlnm.Print_Titles" localSheetId="12">jiccSrc.layout!$1:$12</definedName>
    <definedName name="_xlnm.Print_Titles" localSheetId="24">test.layout!$1:$7</definedName>
    <definedName name="_xlnm.Print_Titles">'[2]概略見積（資金）'!$A$1:$IS$2</definedName>
    <definedName name="s" hidden="1">{"'一覧'!$A$1:$M$28"}</definedName>
    <definedName name="XXX" hidden="1">{"'調査医師リスト'!$A$2:$P$35"}</definedName>
    <definedName name="ｚ" hidden="1">{"'調査医師リスト'!$A$2:$P$35"}</definedName>
    <definedName name="Z_13280533_4350_11D5_A867_000629D8585B_.wvu.Cols" localSheetId="25" hidden="1">#REF!</definedName>
    <definedName name="Z_13280533_4350_11D5_A867_000629D8585B_.wvu.Cols" hidden="1">#REF!</definedName>
    <definedName name="Z_13280533_4350_11D5_A867_000629D8585B_.wvu.PrintArea" localSheetId="25" hidden="1">#REF!</definedName>
    <definedName name="Z_13280533_4350_11D5_A867_000629D8585B_.wvu.PrintArea" hidden="1">#REF!</definedName>
    <definedName name="Z_13280533_4350_11D5_A867_000629D8585B_.wvu.PrintTitles" localSheetId="25" hidden="1">#REF!</definedName>
    <definedName name="Z_13280533_4350_11D5_A867_000629D8585B_.wvu.PrintTitles" hidden="1">#REF!</definedName>
    <definedName name="Z_13280533_4350_11D5_A867_000629D8585B_.wvu.Rows" localSheetId="25" hidden="1">#REF!</definedName>
    <definedName name="Z_13280533_4350_11D5_A867_000629D8585B_.wvu.Rows" hidden="1">#REF!</definedName>
    <definedName name="Z_ECECA9E9_429F_11D5_96AC_0006291EBE14_.wvu.Cols" localSheetId="25" hidden="1">#REF!</definedName>
    <definedName name="Z_ECECA9E9_429F_11D5_96AC_0006291EBE14_.wvu.Cols" hidden="1">#REF!</definedName>
    <definedName name="Z_ECECA9E9_429F_11D5_96AC_0006291EBE14_.wvu.PrintArea" localSheetId="25" hidden="1">#REF!</definedName>
    <definedName name="Z_ECECA9E9_429F_11D5_96AC_0006291EBE14_.wvu.PrintArea" hidden="1">#REF!</definedName>
    <definedName name="Z_ECECA9E9_429F_11D5_96AC_0006291EBE14_.wvu.PrintTitles" localSheetId="25" hidden="1">#REF!</definedName>
    <definedName name="Z_ECECA9E9_429F_11D5_96AC_0006291EBE14_.wvu.PrintTitles" hidden="1">#REF!</definedName>
    <definedName name="Z_ECECA9E9_429F_11D5_96AC_0006291EBE14_.wvu.Rows" localSheetId="25" hidden="1">#REF!</definedName>
    <definedName name="Z_ECECA9E9_429F_11D5_96AC_0006291EBE14_.wvu.Rows" hidden="1">#REF!</definedName>
    <definedName name="Z_ECECAA35_429F_11D5_96AC_0006291EBE14_.wvu.Cols" localSheetId="25" hidden="1">#REF!</definedName>
    <definedName name="Z_ECECAA35_429F_11D5_96AC_0006291EBE14_.wvu.Cols" hidden="1">#REF!</definedName>
    <definedName name="Z_ECECAA35_429F_11D5_96AC_0006291EBE14_.wvu.PrintArea" localSheetId="25" hidden="1">#REF!</definedName>
    <definedName name="Z_ECECAA35_429F_11D5_96AC_0006291EBE14_.wvu.PrintArea" hidden="1">#REF!</definedName>
    <definedName name="Z_ECECAA35_429F_11D5_96AC_0006291EBE14_.wvu.PrintTitles" localSheetId="25" hidden="1">#REF!</definedName>
    <definedName name="Z_ECECAA35_429F_11D5_96AC_0006291EBE14_.wvu.PrintTitles" hidden="1">#REF!</definedName>
    <definedName name="Z_ECECAA35_429F_11D5_96AC_0006291EBE14_.wvu.Rows" localSheetId="25" hidden="1">#REF!</definedName>
    <definedName name="Z_ECECAA35_429F_11D5_96AC_0006291EBE14_.wvu.Rows" hidden="1">#REF!</definedName>
    <definedName name="ああああ" hidden="1">{"'一覧'!$A$1:$M$28"}</definedName>
    <definedName name="データタイプ">OFFSET([3]データ!$A$2,0,0,COUNTA([3]データ!$A:$A),-1)</definedName>
    <definedName name="データタイプ【階層構造】">OFFSET([3]データ!$B$2,0,0,COUNTA([3]データ!$B:$B),-1)</definedName>
    <definedName name="プラガブルフォーム">OFFSET([3]データ!$E$2,0,0,COUNTA([3]データ!$E:$E),-1)</definedName>
    <definedName name="プラガブルフォーム未使用以外">OFFSET([3]データ!$G$2,0,0,COUNTA([3]データ!$G:$G),-1)</definedName>
    <definedName name="リスク区分">'[4]リスク区分（入力規則）'!$B$2:$B$86</definedName>
    <definedName name="関連表" localSheetId="25" hidden="1">#REF!</definedName>
    <definedName name="関連表" hidden="1">#REF!</definedName>
    <definedName name="個社拡張">OFFSET([3]データ!$F$2,0,0,COUNTA([3]データ!$F:$F),-1)</definedName>
    <definedName name="授受方式">OFFSET([3]データ!$C$2,0,0,COUNTA([3]データ!$C:$C),-1)</definedName>
    <definedName name="文字コード">OFFSET([3]データ!$D$2,0,0,COUNTA([3]データ!$D:$D),-1)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27" i="31" l="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O14" i="30" l="1"/>
  <c r="AO15" i="30" s="1"/>
  <c r="AO16" i="30" s="1"/>
  <c r="AO17" i="30" s="1"/>
  <c r="AO18" i="30" s="1"/>
  <c r="AO19" i="30" s="1"/>
  <c r="AO20" i="30" s="1"/>
  <c r="AO21" i="30" s="1"/>
  <c r="AO22" i="30" s="1"/>
  <c r="AO23" i="30" s="1"/>
  <c r="AO24" i="30" s="1"/>
  <c r="AO25" i="30" s="1"/>
  <c r="AO26" i="30" s="1"/>
  <c r="AO27" i="30" s="1"/>
  <c r="AO28" i="30" s="1"/>
  <c r="AO29" i="30" s="1"/>
  <c r="AO30" i="30" s="1"/>
  <c r="AO31" i="30" s="1"/>
  <c r="AO32" i="30" s="1"/>
  <c r="AO33" i="30" s="1"/>
  <c r="AO34" i="30" s="1"/>
  <c r="AO35" i="30" s="1"/>
  <c r="AO36" i="30" s="1"/>
  <c r="AO37" i="30" s="1"/>
  <c r="AO38" i="30" s="1"/>
  <c r="AO39" i="30" s="1"/>
  <c r="AO40" i="30" s="1"/>
  <c r="AO41" i="30" s="1"/>
  <c r="AO42" i="30" s="1"/>
  <c r="AO43" i="30" s="1"/>
  <c r="AO44" i="30" s="1"/>
  <c r="AO45" i="30" s="1"/>
  <c r="AO46" i="30" s="1"/>
  <c r="AO47" i="30" s="1"/>
  <c r="AO48" i="30" s="1"/>
  <c r="AO49" i="30" s="1"/>
  <c r="AO50" i="30" s="1"/>
  <c r="AO51" i="30" s="1"/>
  <c r="AO52" i="30" s="1"/>
  <c r="AO53" i="30" s="1"/>
  <c r="AO54" i="30" s="1"/>
  <c r="AO55" i="30" s="1"/>
  <c r="AO56" i="30" s="1"/>
  <c r="AO57" i="30" s="1"/>
  <c r="AO59" i="30" s="1"/>
  <c r="AO60" i="30" s="1"/>
  <c r="AO61" i="30" s="1"/>
  <c r="AO62" i="30" s="1"/>
  <c r="AO63" i="30" s="1"/>
  <c r="AO64" i="30" s="1"/>
  <c r="AO65" i="30" s="1"/>
  <c r="AO66" i="30" s="1"/>
  <c r="AO67" i="30" s="1"/>
  <c r="AO68" i="30" s="1"/>
  <c r="AO69" i="30" s="1"/>
  <c r="AO70" i="30" s="1"/>
  <c r="AO71" i="30" s="1"/>
  <c r="AO72" i="30" s="1"/>
  <c r="AO73" i="30" s="1"/>
  <c r="AO74" i="30" s="1"/>
  <c r="AO75" i="30" s="1"/>
  <c r="AO76" i="30" s="1"/>
  <c r="AO77" i="30" s="1"/>
  <c r="AO78" i="30" s="1"/>
  <c r="AO79" i="30" s="1"/>
  <c r="AO80" i="30" s="1"/>
  <c r="AO81" i="30" s="1"/>
  <c r="AO82" i="30" s="1"/>
  <c r="AO83" i="30" s="1"/>
  <c r="AO84" i="30" s="1"/>
  <c r="AO85" i="30" s="1"/>
  <c r="AO86" i="30" s="1"/>
  <c r="AO87" i="30" s="1"/>
  <c r="AO88" i="30" s="1"/>
  <c r="AO89" i="30" s="1"/>
  <c r="AO90" i="30" s="1"/>
  <c r="AO91" i="30" s="1"/>
  <c r="AO92" i="30" s="1"/>
  <c r="AO93" i="30" s="1"/>
  <c r="AO94" i="30" s="1"/>
  <c r="AO95" i="30" s="1"/>
  <c r="AO96" i="30" s="1"/>
  <c r="AO97" i="30" s="1"/>
  <c r="AO98" i="30" s="1"/>
  <c r="AO99" i="30" s="1"/>
  <c r="AO100" i="30" s="1"/>
  <c r="AO101" i="30" s="1"/>
  <c r="AO103" i="30" s="1"/>
  <c r="AO104" i="30" s="1"/>
  <c r="AO105" i="30" s="1"/>
  <c r="AO106" i="30" s="1"/>
  <c r="AO107" i="30" s="1"/>
  <c r="AO108" i="30" s="1"/>
  <c r="AO109" i="30" s="1"/>
  <c r="AO110" i="30" s="1"/>
  <c r="AO111" i="30" s="1"/>
  <c r="AO112" i="30" s="1"/>
  <c r="AO113" i="30" s="1"/>
  <c r="AO114" i="30" s="1"/>
  <c r="AO115" i="30" s="1"/>
  <c r="AO116" i="30" s="1"/>
  <c r="AO117" i="30" s="1"/>
  <c r="AO118" i="30" s="1"/>
  <c r="AO119" i="30" s="1"/>
  <c r="AO120" i="30" s="1"/>
  <c r="AO121" i="30" s="1"/>
  <c r="AO122" i="30" s="1"/>
  <c r="AO123" i="30" s="1"/>
  <c r="AO124" i="30" s="1"/>
  <c r="AO125" i="30" s="1"/>
  <c r="AO126" i="30" s="1"/>
  <c r="AO127" i="30" s="1"/>
  <c r="AO128" i="30" s="1"/>
  <c r="AO129" i="30" s="1"/>
  <c r="AO130" i="30" s="1"/>
  <c r="AO131" i="30" s="1"/>
  <c r="AO132" i="30" s="1"/>
  <c r="AO133" i="30" s="1"/>
  <c r="AO134" i="30" s="1"/>
  <c r="AO135" i="30" s="1"/>
  <c r="AO136" i="30" s="1"/>
  <c r="AO137" i="30" s="1"/>
  <c r="AO138" i="30" s="1"/>
  <c r="AO139" i="30" s="1"/>
  <c r="AO140" i="30" s="1"/>
  <c r="AO141" i="30" s="1"/>
  <c r="AO142" i="30" s="1"/>
  <c r="AO143" i="30" s="1"/>
  <c r="AO144" i="30" s="1"/>
  <c r="AO145" i="30" s="1"/>
  <c r="AO146" i="30" s="1"/>
  <c r="AO147" i="30" s="1"/>
  <c r="AO149" i="30" s="1"/>
  <c r="AO150" i="30" s="1"/>
  <c r="AO151" i="30" s="1"/>
  <c r="AO152" i="30" s="1"/>
  <c r="AO153" i="30" s="1"/>
  <c r="AO154" i="30" s="1"/>
  <c r="AO155" i="30" s="1"/>
  <c r="AO156" i="30" s="1"/>
  <c r="AO157" i="30" s="1"/>
  <c r="AO158" i="30" s="1"/>
  <c r="AO159" i="30" s="1"/>
  <c r="AO160" i="30" s="1"/>
  <c r="AO161" i="30" s="1"/>
  <c r="AO162" i="30" s="1"/>
  <c r="AO163" i="30" s="1"/>
  <c r="AO164" i="30" s="1"/>
  <c r="AO165" i="30" s="1"/>
  <c r="AO166" i="30" s="1"/>
  <c r="AO167" i="30" s="1"/>
  <c r="AO168" i="30" s="1"/>
  <c r="AO169" i="30" s="1"/>
  <c r="AO170" i="30" s="1"/>
  <c r="AO171" i="30" s="1"/>
  <c r="AO172" i="30" s="1"/>
  <c r="AO173" i="30" s="1"/>
  <c r="AO174" i="30" s="1"/>
  <c r="AO175" i="30" s="1"/>
  <c r="AO176" i="30" s="1"/>
  <c r="AO177" i="30" s="1"/>
  <c r="AO178" i="30" s="1"/>
  <c r="AO179" i="30" s="1"/>
  <c r="AO180" i="30" s="1"/>
  <c r="AO181" i="30" s="1"/>
  <c r="AO182" i="30" s="1"/>
  <c r="AO183" i="30" s="1"/>
  <c r="AO184" i="30" s="1"/>
  <c r="AO185" i="30" s="1"/>
  <c r="AO186" i="30" s="1"/>
  <c r="AO187" i="30" s="1"/>
  <c r="AO188" i="30" s="1"/>
  <c r="AO189" i="30" s="1"/>
  <c r="AO190" i="30" s="1"/>
  <c r="AO191" i="30" s="1"/>
  <c r="AO192" i="30" s="1"/>
  <c r="AO193" i="30" s="1"/>
  <c r="AO195" i="30" s="1"/>
  <c r="AO196" i="30" s="1"/>
  <c r="AO197" i="30" s="1"/>
  <c r="AO198" i="30" s="1"/>
  <c r="AO199" i="30" s="1"/>
  <c r="AO200" i="30" s="1"/>
  <c r="AO201" i="30" s="1"/>
  <c r="AO202" i="30" s="1"/>
  <c r="AO203" i="30" s="1"/>
  <c r="AO204" i="30" s="1"/>
  <c r="AO205" i="30" s="1"/>
  <c r="AO206" i="30" s="1"/>
  <c r="AO207" i="30" s="1"/>
  <c r="AO208" i="30" s="1"/>
  <c r="AO209" i="30" s="1"/>
  <c r="AO210" i="30" s="1"/>
  <c r="AO211" i="30" s="1"/>
  <c r="AO212" i="30" s="1"/>
  <c r="AO213" i="30" s="1"/>
  <c r="AO214" i="30" s="1"/>
  <c r="AO215" i="30" s="1"/>
  <c r="AO216" i="30" s="1"/>
  <c r="AO217" i="30" s="1"/>
  <c r="AO218" i="30" s="1"/>
  <c r="AO219" i="30" s="1"/>
  <c r="B14" i="30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V41" i="17" l="1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X15" i="17" s="1"/>
  <c r="X16" i="17" s="1"/>
  <c r="V13" i="17"/>
  <c r="B13" i="17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X12" i="17"/>
  <c r="V12" i="17"/>
  <c r="X13" i="17" s="1"/>
  <c r="X14" i="17" s="1"/>
  <c r="V147" i="16"/>
  <c r="V146" i="16"/>
  <c r="V145" i="16"/>
  <c r="V144" i="16"/>
  <c r="V143" i="16"/>
  <c r="V142" i="16"/>
  <c r="V141" i="16"/>
  <c r="V140" i="16"/>
  <c r="V139" i="16"/>
  <c r="V138" i="16"/>
  <c r="V137" i="16"/>
  <c r="V136" i="16"/>
  <c r="V135" i="16"/>
  <c r="V134" i="16"/>
  <c r="V133" i="16"/>
  <c r="V132" i="16"/>
  <c r="V131" i="16"/>
  <c r="V130" i="16"/>
  <c r="V129" i="16"/>
  <c r="V128" i="16"/>
  <c r="V127" i="16"/>
  <c r="V126" i="16"/>
  <c r="V124" i="16"/>
  <c r="V123" i="16"/>
  <c r="V122" i="16"/>
  <c r="V121" i="16"/>
  <c r="V120" i="16"/>
  <c r="V119" i="16"/>
  <c r="V118" i="16"/>
  <c r="V117" i="16"/>
  <c r="V116" i="16"/>
  <c r="V115" i="16"/>
  <c r="V114" i="16"/>
  <c r="V113" i="16"/>
  <c r="V112" i="16"/>
  <c r="V111" i="16"/>
  <c r="V110" i="16"/>
  <c r="V109" i="16"/>
  <c r="V108" i="16"/>
  <c r="V107" i="16"/>
  <c r="V106" i="16"/>
  <c r="V105" i="16"/>
  <c r="V104" i="16"/>
  <c r="V103" i="16"/>
  <c r="V102" i="16"/>
  <c r="V101" i="16"/>
  <c r="V100" i="16"/>
  <c r="V99" i="16"/>
  <c r="V98" i="16"/>
  <c r="V97" i="16"/>
  <c r="V96" i="16"/>
  <c r="V95" i="16"/>
  <c r="V94" i="16"/>
  <c r="V93" i="16"/>
  <c r="V92" i="16"/>
  <c r="V91" i="16"/>
  <c r="V90" i="16"/>
  <c r="V89" i="16"/>
  <c r="V88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B13" i="16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X12" i="16"/>
  <c r="V12" i="16"/>
  <c r="X13" i="16" s="1"/>
  <c r="X17" i="17" l="1"/>
  <c r="X18" i="17" s="1"/>
  <c r="X19" i="17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BB7" i="17" s="1"/>
  <c r="X14" i="16"/>
  <c r="X15" i="16" s="1"/>
  <c r="X16" i="16" s="1"/>
  <c r="X17" i="16" s="1"/>
  <c r="X18" i="16" s="1"/>
  <c r="X19" i="16" s="1"/>
  <c r="X20" i="16" s="1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2" i="16" s="1"/>
  <c r="X43" i="16" s="1"/>
  <c r="X44" i="16" s="1"/>
  <c r="X45" i="16" s="1"/>
  <c r="X46" i="16" s="1"/>
  <c r="X47" i="16" s="1"/>
  <c r="X48" i="16" s="1"/>
  <c r="X50" i="16" s="1"/>
  <c r="X51" i="16" s="1"/>
  <c r="X52" i="16" s="1"/>
  <c r="X53" i="16" s="1"/>
  <c r="X54" i="16" s="1"/>
  <c r="X55" i="16" s="1"/>
  <c r="X56" i="16" s="1"/>
  <c r="X57" i="16" s="1"/>
  <c r="X58" i="16" s="1"/>
  <c r="X59" i="16" s="1"/>
  <c r="X60" i="16" s="1"/>
  <c r="X61" i="16" s="1"/>
  <c r="X62" i="16" s="1"/>
  <c r="X63" i="16" s="1"/>
  <c r="X64" i="16" s="1"/>
  <c r="X65" i="16" s="1"/>
  <c r="X66" i="16" s="1"/>
  <c r="X67" i="16" s="1"/>
  <c r="X68" i="16" s="1"/>
  <c r="X69" i="16" s="1"/>
  <c r="X70" i="16" s="1"/>
  <c r="X71" i="16" s="1"/>
  <c r="X72" i="16" s="1"/>
  <c r="X73" i="16" s="1"/>
  <c r="X74" i="16" s="1"/>
  <c r="X75" i="16" s="1"/>
  <c r="X76" i="16" s="1"/>
  <c r="X77" i="16" s="1"/>
  <c r="X78" i="16" s="1"/>
  <c r="X79" i="16" s="1"/>
  <c r="X80" i="16" s="1"/>
  <c r="X81" i="16" s="1"/>
  <c r="X82" i="16" s="1"/>
  <c r="X83" i="16" s="1"/>
  <c r="X84" i="16" s="1"/>
  <c r="X85" i="16" s="1"/>
  <c r="X86" i="16" s="1"/>
  <c r="X88" i="16" s="1"/>
  <c r="X89" i="16" s="1"/>
  <c r="X90" i="16" s="1"/>
  <c r="X91" i="16" s="1"/>
  <c r="X92" i="16" s="1"/>
  <c r="X93" i="16" s="1"/>
  <c r="X94" i="16" s="1"/>
  <c r="X95" i="16" s="1"/>
  <c r="X96" i="16" s="1"/>
  <c r="X97" i="16" s="1"/>
  <c r="X98" i="16" s="1"/>
  <c r="X99" i="16" s="1"/>
  <c r="X100" i="16" s="1"/>
  <c r="X101" i="16" s="1"/>
  <c r="X102" i="16" s="1"/>
  <c r="X103" i="16" s="1"/>
  <c r="X104" i="16" s="1"/>
  <c r="X105" i="16" s="1"/>
  <c r="X106" i="16" s="1"/>
  <c r="X107" i="16" s="1"/>
  <c r="X108" i="16" s="1"/>
  <c r="X109" i="16" s="1"/>
  <c r="X110" i="16" s="1"/>
  <c r="X111" i="16" s="1"/>
  <c r="X112" i="16" s="1"/>
  <c r="X113" i="16" s="1"/>
  <c r="X114" i="16" s="1"/>
  <c r="X115" i="16" s="1"/>
  <c r="X116" i="16" s="1"/>
  <c r="X117" i="16" s="1"/>
  <c r="X118" i="16" s="1"/>
  <c r="X119" i="16" s="1"/>
  <c r="X120" i="16" s="1"/>
  <c r="X121" i="16" s="1"/>
  <c r="X122" i="16" s="1"/>
  <c r="X123" i="16" s="1"/>
  <c r="X124" i="16" s="1"/>
  <c r="X126" i="16" s="1"/>
  <c r="X127" i="16" s="1"/>
  <c r="X128" i="16" s="1"/>
  <c r="X129" i="16" s="1"/>
  <c r="X130" i="16" s="1"/>
  <c r="X131" i="16" s="1"/>
  <c r="X132" i="16" s="1"/>
  <c r="X133" i="16" s="1"/>
  <c r="X134" i="16" s="1"/>
  <c r="X135" i="16" s="1"/>
  <c r="X136" i="16" s="1"/>
  <c r="X137" i="16" s="1"/>
  <c r="X138" i="16" s="1"/>
  <c r="X139" i="16" s="1"/>
  <c r="X140" i="16" s="1"/>
  <c r="X141" i="16" s="1"/>
  <c r="X142" i="16" s="1"/>
  <c r="X143" i="16" s="1"/>
  <c r="X144" i="16" s="1"/>
  <c r="X145" i="16" s="1"/>
  <c r="X146" i="16" s="1"/>
  <c r="X147" i="16" s="1"/>
  <c r="BB7" i="16" s="1"/>
</calcChain>
</file>

<file path=xl/comments1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loop:colType
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sz val="9"/>
            <color indexed="81"/>
            <rFont val="MS P ゴシック"/>
            <family val="3"/>
            <charset val="128"/>
          </rPr>
          <t>loop:colType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</text>
    </comment>
  </commentList>
</comments>
</file>

<file path=xl/comments3.xml><?xml version="1.0" encoding="utf-8"?>
<comments xmlns="http://schemas.openxmlformats.org/spreadsheetml/2006/main">
  <authors>
    <author>ncsak11598</author>
  </authors>
  <commentList>
    <comment ref="Q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U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</text>
    </comment>
    <comment ref="B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Q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loop:colOp</t>
        </r>
      </text>
    </comment>
    <comment ref="AV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BO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W1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loop:colLength
</t>
        </r>
      </text>
    </comment>
  </commentList>
</comments>
</file>

<file path=xl/comments4.xml><?xml version="1.0" encoding="utf-8"?>
<comments xmlns="http://schemas.openxmlformats.org/spreadsheetml/2006/main">
  <authors>
    <author>ncsak11598</author>
  </authors>
  <commentList>
    <comment ref="U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F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loop:colType</t>
        </r>
      </text>
    </comment>
    <comment ref="G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loop:colComment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funcName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F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O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ncsak11598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F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</text>
    </comment>
    <comment ref="A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loop:testCaseId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loop:item1</t>
        </r>
      </text>
    </comment>
    <comment ref="E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loop:value1</t>
        </r>
      </text>
    </comment>
    <comment ref="F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loop:item2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G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loop:value2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H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loop:item3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loop:value3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loop:item4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loop:value4</t>
        </r>
      </text>
    </comment>
    <comment ref="L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loop:item5</t>
        </r>
      </text>
    </comment>
    <comment ref="M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N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loop:item6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O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loop:value6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P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loop:testType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Q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loop:msgId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R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loop:msgText</t>
        </r>
      </text>
    </comment>
  </commentList>
</comments>
</file>

<file path=xl/sharedStrings.xml><?xml version="1.0" encoding="utf-8"?>
<sst xmlns="http://schemas.openxmlformats.org/spreadsheetml/2006/main" count="10806" uniqueCount="1975">
  <si>
    <t>レイアウトファイル</t>
    <phoneticPr fontId="1"/>
  </si>
  <si>
    <t>パッケージ</t>
    <phoneticPr fontId="1"/>
  </si>
  <si>
    <t>クラス名</t>
    <rPh sb="3" eb="4">
      <t>メイ</t>
    </rPh>
    <phoneticPr fontId="1"/>
  </si>
  <si>
    <t>変数名</t>
    <rPh sb="0" eb="3">
      <t>ヘンスウメイ</t>
    </rPh>
    <phoneticPr fontId="1"/>
  </si>
  <si>
    <t>変数値</t>
    <rPh sb="0" eb="2">
      <t>ヘンスウ</t>
    </rPh>
    <rPh sb="2" eb="3">
      <t>チ</t>
    </rPh>
    <phoneticPr fontId="1"/>
  </si>
  <si>
    <t>テンプレートファイル</t>
    <phoneticPr fontId="1"/>
  </si>
  <si>
    <t>有効性関数</t>
    <rPh sb="0" eb="3">
      <t>ユウコウセイ</t>
    </rPh>
    <rPh sb="3" eb="5">
      <t>カンスウ</t>
    </rPh>
    <phoneticPr fontId="1"/>
  </si>
  <si>
    <t>工程名称</t>
    <rPh sb="0" eb="2">
      <t>コウテイ</t>
    </rPh>
    <rPh sb="2" eb="4">
      <t>メイショウ</t>
    </rPh>
    <phoneticPr fontId="3"/>
  </si>
  <si>
    <t>初版作成</t>
    <rPh sb="0" eb="2">
      <t>ショハン</t>
    </rPh>
    <rPh sb="2" eb="4">
      <t>サクセイ</t>
    </rPh>
    <phoneticPr fontId="3"/>
  </si>
  <si>
    <t>フォーム№</t>
    <phoneticPr fontId="3"/>
  </si>
  <si>
    <t>改　訂</t>
    <rPh sb="0" eb="1">
      <t>アラタ</t>
    </rPh>
    <rPh sb="2" eb="3">
      <t>テイ</t>
    </rPh>
    <phoneticPr fontId="3"/>
  </si>
  <si>
    <t>補足・特記事項</t>
    <rPh sb="0" eb="2">
      <t>ホソク</t>
    </rPh>
    <rPh sb="3" eb="5">
      <t>トッキ</t>
    </rPh>
    <rPh sb="5" eb="7">
      <t>ジコウ</t>
    </rPh>
    <phoneticPr fontId="3"/>
  </si>
  <si>
    <t>レコード長</t>
    <rPh sb="4" eb="5">
      <t>チョウ</t>
    </rPh>
    <phoneticPr fontId="3"/>
  </si>
  <si>
    <t>項目名称</t>
    <rPh sb="0" eb="2">
      <t>コウモク</t>
    </rPh>
    <rPh sb="2" eb="4">
      <t>メイショウ</t>
    </rPh>
    <phoneticPr fontId="3"/>
  </si>
  <si>
    <t>項目ＩＤ</t>
    <rPh sb="0" eb="2">
      <t>コウモク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</si>
  <si>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</si>
  <si>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</si>
  <si>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Byte</t>
    <phoneticPr fontId="3"/>
  </si>
  <si>
    <t>位置</t>
    <rPh sb="0" eb="2">
      <t>イチ</t>
    </rPh>
    <phoneticPr fontId="3"/>
  </si>
  <si>
    <t>X</t>
  </si>
  <si>
    <t>生年月日</t>
  </si>
  <si>
    <t>性別</t>
  </si>
  <si>
    <t>重複加盟区分</t>
  </si>
  <si>
    <t>本人保証人区分</t>
  </si>
  <si>
    <t>契約管理区分</t>
  </si>
  <si>
    <t>支払回数</t>
  </si>
  <si>
    <t>契約終了予定日</t>
  </si>
  <si>
    <t>報告日</t>
  </si>
  <si>
    <t>残高重複有無</t>
  </si>
  <si>
    <t>情報発生年月日</t>
  </si>
  <si>
    <t>経過コメント</t>
  </si>
  <si>
    <t>補足コメント</t>
  </si>
  <si>
    <t>支払停止申立有無</t>
  </si>
  <si>
    <t>モニターコメント</t>
  </si>
  <si>
    <t>加盟店コード</t>
  </si>
  <si>
    <t>説明</t>
    <rPh sb="0" eb="2">
      <t>セツメイ</t>
    </rPh>
    <phoneticPr fontId="1"/>
  </si>
  <si>
    <t>レイアウトシートの標識文字列</t>
    <rPh sb="9" eb="11">
      <t>ヒョウシキ</t>
    </rPh>
    <rPh sb="11" eb="14">
      <t>モジレツ</t>
    </rPh>
    <phoneticPr fontId="1"/>
  </si>
  <si>
    <t>funcRecordValid</t>
    <phoneticPr fontId="1"/>
  </si>
  <si>
    <t>レイアウト定義のループ行有効性チェック関数（戻り値＝falseの場合、無視する）</t>
    <rPh sb="5" eb="7">
      <t>テイギ</t>
    </rPh>
    <rPh sb="11" eb="12">
      <t>ギョウ</t>
    </rPh>
    <rPh sb="12" eb="15">
      <t>ユウコウセイ</t>
    </rPh>
    <rPh sb="19" eb="21">
      <t>カンスウ</t>
    </rPh>
    <rPh sb="22" eb="23">
      <t>モド</t>
    </rPh>
    <rPh sb="24" eb="25">
      <t>チ</t>
    </rPh>
    <rPh sb="32" eb="34">
      <t>バアイ</t>
    </rPh>
    <rPh sb="35" eb="37">
      <t>ムシ</t>
    </rPh>
    <phoneticPr fontId="1"/>
  </si>
  <si>
    <t>targetText</t>
    <phoneticPr fontId="1"/>
  </si>
  <si>
    <t>テーブル名称</t>
    <rPh sb="4" eb="6">
      <t>メイショウ</t>
    </rPh>
    <phoneticPr fontId="3"/>
  </si>
  <si>
    <t>初期値</t>
    <rPh sb="0" eb="3">
      <t>ショキチ</t>
    </rPh>
    <phoneticPr fontId="3"/>
  </si>
  <si>
    <t>HO_KB</t>
  </si>
  <si>
    <t>KAI_NO</t>
  </si>
  <si>
    <t>空白</t>
    <rPh sb="0" eb="2">
      <t>クウハク</t>
    </rPh>
    <phoneticPr fontId="3"/>
  </si>
  <si>
    <t>KAIE_NO</t>
  </si>
  <si>
    <t>KOZA_NO</t>
  </si>
  <si>
    <t>BNSI_NO</t>
  </si>
  <si>
    <t>DATASBT_KB</t>
  </si>
  <si>
    <t>カナ氏名</t>
  </si>
  <si>
    <t>変更前カナ氏名</t>
  </si>
  <si>
    <t>漢字氏名</t>
  </si>
  <si>
    <t>アルファベット氏名</t>
  </si>
  <si>
    <t>SEX_KB</t>
  </si>
  <si>
    <t>BRTH_YMD</t>
  </si>
  <si>
    <t>変更前生年月日</t>
  </si>
  <si>
    <t>CUSTADDR_NMK</t>
  </si>
  <si>
    <t>カナ勤務先名</t>
  </si>
  <si>
    <t>配偶者生年月日</t>
  </si>
  <si>
    <t>KIYKKNR_KB</t>
  </si>
  <si>
    <t>管理店番</t>
  </si>
  <si>
    <t>KNRITN_NO</t>
  </si>
  <si>
    <t>貸付日</t>
  </si>
  <si>
    <t>KASIBI_YMD</t>
  </si>
  <si>
    <t>契約日</t>
  </si>
  <si>
    <t>商品コード１</t>
  </si>
  <si>
    <t>SYHN_CD1</t>
  </si>
  <si>
    <t>数量・回数・期間１</t>
  </si>
  <si>
    <t>SYHN_KN1</t>
  </si>
  <si>
    <t>商品コード２</t>
  </si>
  <si>
    <t>SYHN_CD2</t>
  </si>
  <si>
    <t>数量・回数・期間２</t>
  </si>
  <si>
    <t>SYHN_KN2</t>
  </si>
  <si>
    <t>商品コード３</t>
  </si>
  <si>
    <t>SYHN_CD3</t>
  </si>
  <si>
    <t>数量・回数・期間３</t>
  </si>
  <si>
    <t>SYHN_KN3</t>
  </si>
  <si>
    <t>担保保証人有無</t>
  </si>
  <si>
    <t>TNPOHOSY_KB</t>
  </si>
  <si>
    <t>CYFKENTRKISY_KB</t>
  </si>
  <si>
    <t>本人配偶者区分</t>
  </si>
  <si>
    <t>HNHIG_KB</t>
  </si>
  <si>
    <t>SHRI_KN</t>
  </si>
  <si>
    <t>KIYKEPLN_YMD</t>
  </si>
  <si>
    <t>HOKBI_YMD</t>
  </si>
  <si>
    <t>確定時刻</t>
  </si>
  <si>
    <t>KKT_HMS</t>
  </si>
  <si>
    <t>SHRCHIEN_KB</t>
  </si>
  <si>
    <t>CHIEN_YMD</t>
  </si>
  <si>
    <t>遅延解消日</t>
  </si>
  <si>
    <t>CNKSYO_YMD</t>
  </si>
  <si>
    <t>ZANCYFK_KB</t>
  </si>
  <si>
    <t>法定途上サービスコメント</t>
  </si>
  <si>
    <t>TJSVCCMNT_KB</t>
  </si>
  <si>
    <t>遅延有無</t>
  </si>
  <si>
    <t>CHIEN_KB</t>
  </si>
  <si>
    <t>入金区分</t>
  </si>
  <si>
    <t>NKIN_KB</t>
  </si>
  <si>
    <t>情報種別</t>
  </si>
  <si>
    <t>JHSB_CD</t>
  </si>
  <si>
    <t>JHHS_YMD</t>
  </si>
  <si>
    <t>KKCMNT_CD</t>
  </si>
  <si>
    <t>KKCMNTHS_YMD</t>
  </si>
  <si>
    <t>HOSKCMNT_CD</t>
  </si>
  <si>
    <t>延滞解消日</t>
  </si>
  <si>
    <t>ETKSYOBI_YMD</t>
  </si>
  <si>
    <t>SHRPENTY_KB</t>
  </si>
  <si>
    <t>MNITCMNT_CD</t>
  </si>
  <si>
    <t>ENTRKISY_CD</t>
  </si>
  <si>
    <t>異動コード</t>
  </si>
  <si>
    <t>ID_CD</t>
  </si>
  <si>
    <t>異動発生日</t>
  </si>
  <si>
    <t>IDHS_YMD</t>
  </si>
  <si>
    <t>参考コード１</t>
  </si>
  <si>
    <t>参考発生日１</t>
  </si>
  <si>
    <t>参考コード２</t>
  </si>
  <si>
    <t>参考発生日２</t>
  </si>
  <si>
    <t>参考コード３</t>
  </si>
  <si>
    <t>参考発生日３</t>
  </si>
  <si>
    <t>参考コード４</t>
  </si>
  <si>
    <t>参考発生日４</t>
  </si>
  <si>
    <t>参考コード５</t>
  </si>
  <si>
    <t>参考発生日５</t>
  </si>
  <si>
    <t>参考コード６</t>
  </si>
  <si>
    <t>参考発生日６</t>
  </si>
  <si>
    <t>参考コード７</t>
  </si>
  <si>
    <t>参考発生日７</t>
  </si>
  <si>
    <t>参考コード８</t>
  </si>
  <si>
    <t>参考発生日８</t>
  </si>
  <si>
    <t>参考コード９</t>
  </si>
  <si>
    <t>参考発生日９</t>
  </si>
  <si>
    <t>作成日時</t>
  </si>
  <si>
    <t>MK_YMDHMS</t>
  </si>
  <si>
    <t>更新日時</t>
  </si>
  <si>
    <t>UPDT_YMDHMS</t>
  </si>
  <si>
    <t>トランザクションコード</t>
  </si>
  <si>
    <t>TRN_ID</t>
  </si>
  <si>
    <t>担当者コード</t>
  </si>
  <si>
    <t>SYIN_CD</t>
  </si>
  <si>
    <t>削除フラグ</t>
  </si>
  <si>
    <t>DLT_KB</t>
  </si>
  <si>
    <t>commentSuffix</t>
    <phoneticPr fontId="1"/>
  </si>
  <si>
    <t>テンプレートのコメント接頭語</t>
    <rPh sb="11" eb="14">
      <t>セットウゴ</t>
    </rPh>
    <phoneticPr fontId="1"/>
  </si>
  <si>
    <t>**</t>
    <phoneticPr fontId="1"/>
  </si>
  <si>
    <t>テーブルＩＤ</t>
    <phoneticPr fontId="3"/>
  </si>
  <si>
    <t>テーブルＩＤ</t>
    <phoneticPr fontId="1"/>
  </si>
  <si>
    <t>${'loop:colKey'|isMultiDefined}</t>
    <phoneticPr fontId="1"/>
  </si>
  <si>
    <t>${tableId|javaClassName}</t>
    <phoneticPr fontId="1"/>
  </si>
  <si>
    <t>${tableId|javaClassName}Id</t>
    <phoneticPr fontId="1"/>
  </si>
  <si>
    <t>備考</t>
    <rPh sb="0" eb="2">
      <t>ビコウ</t>
    </rPh>
    <phoneticPr fontId="3"/>
  </si>
  <si>
    <t>N</t>
  </si>
  <si>
    <t>TIMESTAMP</t>
  </si>
  <si>
    <t>出力フォルダ</t>
    <rPh sb="0" eb="2">
      <t>シュツリョク</t>
    </rPh>
    <phoneticPr fontId="1"/>
  </si>
  <si>
    <t>kbn</t>
    <phoneticPr fontId="1"/>
  </si>
  <si>
    <t>処理区分</t>
    <rPh sb="0" eb="2">
      <t>ショリ</t>
    </rPh>
    <rPh sb="2" eb="4">
      <t>クブン</t>
    </rPh>
    <phoneticPr fontId="1"/>
  </si>
  <si>
    <t>${tableId|javaClassName}Repository</t>
    <phoneticPr fontId="1"/>
  </si>
  <si>
    <t>№</t>
    <phoneticPr fontId="3"/>
  </si>
  <si>
    <t>KEY</t>
    <phoneticPr fontId="3"/>
  </si>
  <si>
    <t>会社識別</t>
  </si>
  <si>
    <t>KISYSK_CD</t>
  </si>
  <si>
    <t>2017/5/30 桂　会社区分桁拡張対応</t>
    <rPh sb="10" eb="11">
      <t>カツラ</t>
    </rPh>
    <rPh sb="12" eb="14">
      <t>カイシャ</t>
    </rPh>
    <rPh sb="14" eb="16">
      <t>クブン</t>
    </rPh>
    <rPh sb="16" eb="17">
      <t>ケタ</t>
    </rPh>
    <rPh sb="17" eb="19">
      <t>カクチョウ</t>
    </rPh>
    <rPh sb="19" eb="21">
      <t>タイオウ</t>
    </rPh>
    <phoneticPr fontId="3"/>
  </si>
  <si>
    <t>POST_NO</t>
  </si>
  <si>
    <t>最新更新日付</t>
  </si>
  <si>
    <t>UPDT_YMD</t>
  </si>
  <si>
    <t>最新更新時刻</t>
  </si>
  <si>
    <t>UPDT_HMS</t>
  </si>
  <si>
    <t>C:\workspace\jason\sourceAutoGen\conf\EntityTemplate.txt</t>
    <phoneticPr fontId="1"/>
  </si>
  <si>
    <t>C:\workspace\jason\sourceAutoGen\conf\EntityIdTemplate.txt</t>
  </si>
  <si>
    <t>C:\workspace\jason\sourceAutoGen\conf\RepositoryTemplate.txt</t>
  </si>
  <si>
    <t>バッチ登録（CIC）
テーブルレイアウト定義書</t>
    <rPh sb="3" eb="5">
      <t>トウロク</t>
    </rPh>
    <rPh sb="20" eb="22">
      <t>テイギ</t>
    </rPh>
    <rPh sb="22" eb="23">
      <t>ショ</t>
    </rPh>
    <phoneticPr fontId="3"/>
  </si>
  <si>
    <t>外部設計</t>
    <phoneticPr fontId="3"/>
  </si>
  <si>
    <t>１．０</t>
    <phoneticPr fontId="3"/>
  </si>
  <si>
    <t>ＣＩＣ/共通/エラー系</t>
    <phoneticPr fontId="3"/>
  </si>
  <si>
    <t>テーブルＩＤ</t>
    <phoneticPr fontId="3"/>
  </si>
  <si>
    <t>TERROUT_CIC</t>
    <phoneticPr fontId="3"/>
  </si>
  <si>
    <t>ＣＩＣ外部エラー累積</t>
    <phoneticPr fontId="3"/>
  </si>
  <si>
    <t>NOT
NULL</t>
    <phoneticPr fontId="3"/>
  </si>
  <si>
    <t>KEY</t>
    <phoneticPr fontId="3"/>
  </si>
  <si>
    <t>INDEX</t>
    <phoneticPr fontId="3"/>
  </si>
  <si>
    <t>法人区分</t>
    <rPh sb="0" eb="2">
      <t>ホウジン</t>
    </rPh>
    <rPh sb="2" eb="4">
      <t>クブン</t>
    </rPh>
    <phoneticPr fontId="11"/>
  </si>
  <si>
    <t>○</t>
  </si>
  <si>
    <t>法人区分・口座番号拡張対応</t>
  </si>
  <si>
    <t>会員番号</t>
    <rPh sb="0" eb="2">
      <t>カイイン</t>
    </rPh>
    <rPh sb="2" eb="4">
      <t>バンゴウ</t>
    </rPh>
    <phoneticPr fontId="11"/>
  </si>
  <si>
    <t>会員枝番</t>
    <rPh sb="0" eb="2">
      <t>カイイン</t>
    </rPh>
    <rPh sb="2" eb="3">
      <t>エダ</t>
    </rPh>
    <rPh sb="3" eb="4">
      <t>バン</t>
    </rPh>
    <phoneticPr fontId="11"/>
  </si>
  <si>
    <t>口座番号</t>
    <rPh sb="0" eb="2">
      <t>コウザ</t>
    </rPh>
    <rPh sb="2" eb="4">
      <t>バンゴウ</t>
    </rPh>
    <phoneticPr fontId="11"/>
  </si>
  <si>
    <t>弁済者番号</t>
    <rPh sb="0" eb="3">
      <t>ベンサイシャ</t>
    </rPh>
    <rPh sb="3" eb="5">
      <t>バンゴウ</t>
    </rPh>
    <phoneticPr fontId="11"/>
  </si>
  <si>
    <t>HOK_YMD</t>
  </si>
  <si>
    <t>報告回次</t>
    <rPh sb="0" eb="2">
      <t>ホウコク</t>
    </rPh>
    <rPh sb="2" eb="4">
      <t>カイジ</t>
    </rPh>
    <phoneticPr fontId="11"/>
  </si>
  <si>
    <t>HOKKAI_KN</t>
  </si>
  <si>
    <t>2019/02/27　設計書最新化対応</t>
    <rPh sb="11" eb="14">
      <t>セッケイショ</t>
    </rPh>
    <rPh sb="14" eb="16">
      <t>サイシン</t>
    </rPh>
    <rPh sb="16" eb="17">
      <t>カ</t>
    </rPh>
    <rPh sb="17" eb="19">
      <t>タイオウ</t>
    </rPh>
    <phoneticPr fontId="2"/>
  </si>
  <si>
    <t>データ種別</t>
    <rPh sb="3" eb="5">
      <t>シュベツ</t>
    </rPh>
    <phoneticPr fontId="11"/>
  </si>
  <si>
    <t>ファイル通番</t>
  </si>
  <si>
    <t>FILE_NO</t>
  </si>
  <si>
    <t>報告連番</t>
  </si>
  <si>
    <t>HOKRN_NO</t>
  </si>
  <si>
    <t>LE信用情報機関区分</t>
  </si>
  <si>
    <t>KKN_KB</t>
  </si>
  <si>
    <t>エラー判定処理区分</t>
    <rPh sb="3" eb="5">
      <t>ハンテイ</t>
    </rPh>
    <rPh sb="5" eb="7">
      <t>ショリ</t>
    </rPh>
    <rPh sb="7" eb="9">
      <t>クブン</t>
    </rPh>
    <phoneticPr fontId="11"/>
  </si>
  <si>
    <t>ERRHNT_KB</t>
  </si>
  <si>
    <t>報告区分</t>
    <rPh sb="0" eb="2">
      <t>ホウコク</t>
    </rPh>
    <rPh sb="2" eb="4">
      <t>クブン</t>
    </rPh>
    <phoneticPr fontId="11"/>
  </si>
  <si>
    <t>HOK_KB</t>
  </si>
  <si>
    <t>エラー・ワーニング区分</t>
    <rPh sb="9" eb="11">
      <t>クブン</t>
    </rPh>
    <phoneticPr fontId="11"/>
  </si>
  <si>
    <t>ERRWRN_KB</t>
  </si>
  <si>
    <t>返却先区分</t>
    <rPh sb="0" eb="2">
      <t>ヘンキャク</t>
    </rPh>
    <rPh sb="2" eb="3">
      <t>サキ</t>
    </rPh>
    <rPh sb="3" eb="5">
      <t>クブン</t>
    </rPh>
    <phoneticPr fontId="11"/>
  </si>
  <si>
    <t>HNKYSK_KB</t>
  </si>
  <si>
    <t>内部エラーコード</t>
    <rPh sb="0" eb="2">
      <t>ナイブ</t>
    </rPh>
    <phoneticPr fontId="11"/>
  </si>
  <si>
    <t>INERR_CD</t>
  </si>
  <si>
    <t>連携エラーコード</t>
    <rPh sb="0" eb="2">
      <t>レンケイ</t>
    </rPh>
    <phoneticPr fontId="11"/>
  </si>
  <si>
    <t>RNKERR_CD</t>
  </si>
  <si>
    <t>エラーメッセージ</t>
  </si>
  <si>
    <t>ERR_MSG</t>
  </si>
  <si>
    <t>処理結果区分</t>
    <rPh sb="0" eb="2">
      <t>ショリ</t>
    </rPh>
    <rPh sb="2" eb="4">
      <t>ケッカ</t>
    </rPh>
    <rPh sb="4" eb="6">
      <t>クブン</t>
    </rPh>
    <phoneticPr fontId="11"/>
  </si>
  <si>
    <t>SYRIKEK_KB</t>
  </si>
  <si>
    <t>エラー解消済フラグ</t>
    <rPh sb="3" eb="5">
      <t>カイショウ</t>
    </rPh>
    <rPh sb="5" eb="6">
      <t>スミ</t>
    </rPh>
    <phoneticPr fontId="11"/>
  </si>
  <si>
    <t>ERRKSYO_FLG</t>
  </si>
  <si>
    <t>データ区分</t>
    <rPh sb="3" eb="5">
      <t>クブン</t>
    </rPh>
    <phoneticPr fontId="10"/>
  </si>
  <si>
    <t>DATA_KB</t>
  </si>
  <si>
    <t>レコード区分</t>
    <rPh sb="4" eb="6">
      <t>クブン</t>
    </rPh>
    <phoneticPr fontId="10"/>
  </si>
  <si>
    <t>REC_KB</t>
  </si>
  <si>
    <t>会員コード</t>
    <rPh sb="0" eb="2">
      <t>カイイン</t>
    </rPh>
    <phoneticPr fontId="10"/>
  </si>
  <si>
    <t>KAI_CD</t>
  </si>
  <si>
    <t>フォーマット区分</t>
    <rPh sb="6" eb="8">
      <t>クブン</t>
    </rPh>
    <phoneticPr fontId="10"/>
  </si>
  <si>
    <t>FMT_KB</t>
  </si>
  <si>
    <t>メンテ区分</t>
  </si>
  <si>
    <t>MNT_KB</t>
  </si>
  <si>
    <t>変更前会員コード</t>
    <rPh sb="0" eb="2">
      <t>ヘンコウ</t>
    </rPh>
    <rPh sb="2" eb="3">
      <t>マエ</t>
    </rPh>
    <phoneticPr fontId="11"/>
  </si>
  <si>
    <t>HenkomaeKAI_CD</t>
  </si>
  <si>
    <t>論理レコードSEQ</t>
    <rPh sb="0" eb="2">
      <t>ロンリ</t>
    </rPh>
    <phoneticPr fontId="10"/>
  </si>
  <si>
    <t>LRSEQ_NO</t>
  </si>
  <si>
    <t>更新区分</t>
    <rPh sb="0" eb="2">
      <t>コウシン</t>
    </rPh>
    <rPh sb="2" eb="4">
      <t>クブン</t>
    </rPh>
    <phoneticPr fontId="11"/>
  </si>
  <si>
    <t>UPDT_KB</t>
  </si>
  <si>
    <t>更新前後区分</t>
    <rPh sb="0" eb="2">
      <t>コウシン</t>
    </rPh>
    <rPh sb="2" eb="4">
      <t>ゼンゴ</t>
    </rPh>
    <rPh sb="4" eb="6">
      <t>クブン</t>
    </rPh>
    <phoneticPr fontId="11"/>
  </si>
  <si>
    <t>UPDTBA_KB</t>
  </si>
  <si>
    <t>更新結果コード</t>
    <rPh sb="0" eb="2">
      <t>コウシン</t>
    </rPh>
    <rPh sb="2" eb="4">
      <t>ケッカ</t>
    </rPh>
    <phoneticPr fontId="11"/>
  </si>
  <si>
    <t>UPDTKEK_CD</t>
  </si>
  <si>
    <t>項目エラーコード</t>
    <rPh sb="0" eb="2">
      <t>コウモク</t>
    </rPh>
    <phoneticPr fontId="11"/>
  </si>
  <si>
    <t>KMERR_CD</t>
  </si>
  <si>
    <t>詳細コード</t>
  </si>
  <si>
    <t>ITEMERR_DTL_CD</t>
  </si>
  <si>
    <t>アプラス追加</t>
    <rPh sb="4" eb="6">
      <t>ツイカ</t>
    </rPh>
    <phoneticPr fontId="2"/>
  </si>
  <si>
    <t>登録キーマッチングコード</t>
    <rPh sb="0" eb="2">
      <t>トウロク</t>
    </rPh>
    <phoneticPr fontId="11"/>
  </si>
  <si>
    <t>KEYMATCH_CD</t>
  </si>
  <si>
    <t>更新日</t>
    <rPh sb="0" eb="2">
      <t>コウシン</t>
    </rPh>
    <phoneticPr fontId="11"/>
  </si>
  <si>
    <t>更新時刻</t>
    <rPh sb="0" eb="2">
      <t>コウシン</t>
    </rPh>
    <rPh sb="2" eb="4">
      <t>ジコク</t>
    </rPh>
    <phoneticPr fontId="11"/>
  </si>
  <si>
    <t>情報提供日</t>
    <rPh sb="0" eb="2">
      <t>ジョウホウ</t>
    </rPh>
    <rPh sb="2" eb="4">
      <t>テイキョウ</t>
    </rPh>
    <phoneticPr fontId="11"/>
  </si>
  <si>
    <t>JHTK_YMD</t>
  </si>
  <si>
    <t>情報提供時刻</t>
    <rPh sb="0" eb="2">
      <t>ジョウホウ</t>
    </rPh>
    <rPh sb="2" eb="4">
      <t>テイキョウ</t>
    </rPh>
    <rPh sb="4" eb="6">
      <t>ジコク</t>
    </rPh>
    <phoneticPr fontId="11"/>
  </si>
  <si>
    <t>JHTK_HMS</t>
  </si>
  <si>
    <t>CUSTCIC_NMK</t>
  </si>
  <si>
    <t>HenkomaeCUSTCIC_NMK</t>
  </si>
  <si>
    <t>CUSTCIC_NMJ</t>
  </si>
  <si>
    <t>CUSTCIC_NMA</t>
  </si>
  <si>
    <t>HenkomaeBRTH_YMD</t>
  </si>
  <si>
    <t>郵便番号</t>
  </si>
  <si>
    <t>カナ住所</t>
  </si>
  <si>
    <t>漢字住所</t>
  </si>
  <si>
    <t>CUSTADDRCIC_NMJ</t>
  </si>
  <si>
    <t>本人電話番号1</t>
  </si>
  <si>
    <t>HTEL_NO1</t>
  </si>
  <si>
    <t>本人電話番号2</t>
  </si>
  <si>
    <t>JTEL_NO2</t>
  </si>
  <si>
    <t>変更前本人電話番号1</t>
  </si>
  <si>
    <t>HenkomaeHTEL_NO1</t>
  </si>
  <si>
    <t>変更前本人電話番号2</t>
  </si>
  <si>
    <t>HenkomaeJTEL_NO2</t>
  </si>
  <si>
    <t>KINMCIC_NMK</t>
  </si>
  <si>
    <t>勤務先電話番号</t>
  </si>
  <si>
    <t>KINMTEL_NO</t>
  </si>
  <si>
    <t>公的資料区分</t>
  </si>
  <si>
    <t>PBLORG_KB</t>
  </si>
  <si>
    <t>公的資料番号</t>
  </si>
  <si>
    <t>PBLORG_NO</t>
  </si>
  <si>
    <t>公的資料確認日</t>
  </si>
  <si>
    <t>PBLORGKKN_YMD</t>
  </si>
  <si>
    <t>公的資料(漢字)区分</t>
  </si>
  <si>
    <t>PBLORGNMJ_KB</t>
  </si>
  <si>
    <t>公的資料(漢字)番号</t>
  </si>
  <si>
    <t>PBLORGNMJ_NO</t>
  </si>
  <si>
    <t>公的資料(漢字)確認日</t>
  </si>
  <si>
    <t>PBLNMJKKN_YMD</t>
  </si>
  <si>
    <t>契約番号</t>
  </si>
  <si>
    <t>KIYKCIC_NO</t>
  </si>
  <si>
    <t>変更前契約番号</t>
  </si>
  <si>
    <t>HenkomaeKIYKCIC_NO</t>
  </si>
  <si>
    <t>HonninHOSY_KB</t>
  </si>
  <si>
    <t>KIYK_YMD</t>
  </si>
  <si>
    <t>契約額（CFⅡ）</t>
  </si>
  <si>
    <t>CF2_KIYK_GK</t>
  </si>
  <si>
    <t>極度額（CFⅡ）</t>
  </si>
  <si>
    <t>CF2_KYKD_GK</t>
  </si>
  <si>
    <t>キャッシング極度額（CFⅡ）</t>
  </si>
  <si>
    <t>CASHCF2_KYKD_GK</t>
  </si>
  <si>
    <t>残債額（CFⅡ）</t>
  </si>
  <si>
    <t>ZANCF2_GK</t>
  </si>
  <si>
    <t>キャッシング残債額（CFⅡ）</t>
  </si>
  <si>
    <t>CASHZANCF2_GK</t>
  </si>
  <si>
    <t>割賦残債額（CFⅡ）</t>
  </si>
  <si>
    <t>KappuZANCF2_GK</t>
  </si>
  <si>
    <t>年間請求予定額（CFⅡ）</t>
  </si>
  <si>
    <t>NKNSKPLNCF2_GK</t>
  </si>
  <si>
    <t>支払遅延有無</t>
    <rPh sb="0" eb="2">
      <t>シハラ</t>
    </rPh>
    <rPh sb="2" eb="4">
      <t>チエン</t>
    </rPh>
    <rPh sb="4" eb="6">
      <t>ウム</t>
    </rPh>
    <phoneticPr fontId="10"/>
  </si>
  <si>
    <t>遅延発生年月日</t>
  </si>
  <si>
    <t>終了コメント（FF）</t>
  </si>
  <si>
    <t>FF_SYRCMNT_CD</t>
  </si>
  <si>
    <t>請求額（CFⅡ）</t>
  </si>
  <si>
    <t>CF2_SKYU_GK</t>
  </si>
  <si>
    <t>入金額（CFⅡ）</t>
  </si>
  <si>
    <t>NKINCF2_GK</t>
  </si>
  <si>
    <t>経過コメント発生年月日</t>
  </si>
  <si>
    <t>金額（CFⅡ）</t>
  </si>
  <si>
    <t>CF2_KNGK_GK</t>
  </si>
  <si>
    <t>保証履行額（CFⅡ）</t>
  </si>
  <si>
    <t>HOSYRKCF2_GK</t>
  </si>
  <si>
    <t>契約額（FF）</t>
  </si>
  <si>
    <t>FF_KIYK_GK</t>
  </si>
  <si>
    <t>極度額（FF）</t>
  </si>
  <si>
    <t>FF_KYKD_GK</t>
  </si>
  <si>
    <t>キャッシング極度額（FF）</t>
  </si>
  <si>
    <t>CASHFF_KYKD_GK</t>
  </si>
  <si>
    <t>終了コメント（CFⅡ）</t>
  </si>
  <si>
    <t>CF2_SYRCMNT_CD</t>
  </si>
  <si>
    <t>確定日</t>
  </si>
  <si>
    <t>KKT_YMD</t>
  </si>
  <si>
    <t>貸付額（FF）</t>
  </si>
  <si>
    <t>KASIFF_GK</t>
  </si>
  <si>
    <t>出金額（FF）</t>
  </si>
  <si>
    <t>SKINFF_GK</t>
  </si>
  <si>
    <t>残高（FF）</t>
  </si>
  <si>
    <t>FF_ZAN_GK</t>
  </si>
  <si>
    <t>キャッシング残高（FF）</t>
  </si>
  <si>
    <t>CASHFF_ZAN_GK</t>
  </si>
  <si>
    <t>前月残高（FF）</t>
  </si>
  <si>
    <t>FF_ZZAN_GK</t>
  </si>
  <si>
    <t>キャッシング前月残高（FF）</t>
  </si>
  <si>
    <t>CASHFF_ZZAN_GK</t>
  </si>
  <si>
    <t>利用累計額（FF）</t>
  </si>
  <si>
    <t>FF_RY_GK</t>
  </si>
  <si>
    <t>キャッシング利用累計額（FF）</t>
  </si>
  <si>
    <t>CASHFF_RY_GK</t>
  </si>
  <si>
    <t>支払累計額（FF）</t>
  </si>
  <si>
    <t>FF_SHR_GK</t>
  </si>
  <si>
    <t>キャッシング支払累計額（FF）</t>
  </si>
  <si>
    <t>CASHFF_SHR_GK</t>
  </si>
  <si>
    <t>最新支払日</t>
  </si>
  <si>
    <t>SHRI_YMD</t>
  </si>
  <si>
    <t>支払予定日</t>
  </si>
  <si>
    <t>SHRPLN_YMD</t>
  </si>
  <si>
    <t>配偶者カナ氏名</t>
  </si>
  <si>
    <t>HaigusyaCUSTCIC_NMK</t>
  </si>
  <si>
    <t>配偶者漢字氏名</t>
  </si>
  <si>
    <t>HaigusyaCUSTCIC_NMJ</t>
  </si>
  <si>
    <t>HaigusyaBRTH_YMD</t>
  </si>
  <si>
    <t>(LENGTH)</t>
    <phoneticPr fontId="3"/>
  </si>
  <si>
    <t>バッチ登録（JICC）
テーブルレイアウト定義書</t>
    <rPh sb="3" eb="5">
      <t>トウロク</t>
    </rPh>
    <rPh sb="21" eb="23">
      <t>テイギ</t>
    </rPh>
    <rPh sb="23" eb="24">
      <t>ショ</t>
    </rPh>
    <phoneticPr fontId="3"/>
  </si>
  <si>
    <t>基本設計</t>
    <phoneticPr fontId="3"/>
  </si>
  <si>
    <t>TCLINFO_CUST</t>
    <phoneticPr fontId="3"/>
  </si>
  <si>
    <t>債権付帯情報マスタ（個人）</t>
    <phoneticPr fontId="3"/>
  </si>
  <si>
    <t>NOT
NULL</t>
    <phoneticPr fontId="3"/>
  </si>
  <si>
    <t>顧客番号</t>
  </si>
  <si>
    <t>ACCOUNT_NO</t>
  </si>
  <si>
    <t>異動解消日</t>
  </si>
  <si>
    <t>IDOKS_YMD</t>
  </si>
  <si>
    <t>SK1_CD</t>
  </si>
  <si>
    <t>SKHS1_YMD</t>
  </si>
  <si>
    <t>SK2_CD</t>
  </si>
  <si>
    <t>SKHS2_YMD</t>
  </si>
  <si>
    <t>SK3_CD</t>
  </si>
  <si>
    <t>SKHS3_YMD</t>
  </si>
  <si>
    <t>SK4_CD</t>
  </si>
  <si>
    <t>SKHS4_YMD</t>
  </si>
  <si>
    <t>SK5_CD</t>
  </si>
  <si>
    <t>SKHS5_YMD</t>
  </si>
  <si>
    <t>SK6_CD</t>
  </si>
  <si>
    <t>SKHS6_YMD</t>
  </si>
  <si>
    <t>SK7_CD</t>
  </si>
  <si>
    <t>SKHS7_YMD</t>
  </si>
  <si>
    <t>SK8_CD</t>
  </si>
  <si>
    <t>SKHS8_YMD</t>
  </si>
  <si>
    <t>SK9_CD</t>
  </si>
  <si>
    <t>SKHS9_YMD</t>
  </si>
  <si>
    <t>参考コード１０</t>
  </si>
  <si>
    <t>SK10_CD</t>
  </si>
  <si>
    <t>参考発生日１０</t>
  </si>
  <si>
    <t>SKHS10_YMD</t>
  </si>
  <si>
    <t>債権付帯サービスコード</t>
  </si>
  <si>
    <t>SVC_CD</t>
  </si>
  <si>
    <t>債権付帯サービス確認日</t>
  </si>
  <si>
    <t>SVCHS_YMD</t>
  </si>
  <si>
    <t>DATE</t>
  </si>
  <si>
    <t>2019/02/28　設計書最新化対応</t>
    <rPh sb="11" eb="19">
      <t>セッケイショサイシンカタイオウ</t>
    </rPh>
    <phoneticPr fontId="3"/>
  </si>
  <si>
    <t>TIME</t>
  </si>
  <si>
    <t>C:\workspace\jason\sourceAutoGen\conf\EntityTemplate.txt</t>
    <phoneticPr fontId="1"/>
  </si>
  <si>
    <t>jp.ncsa.app.ccms.api.entity.cic</t>
    <phoneticPr fontId="1"/>
  </si>
  <si>
    <t>jp.ncsa.app.ccms.api.repository.cic</t>
    <phoneticPr fontId="1"/>
  </si>
  <si>
    <t>C:\workspace\dcard\ccmsdapi\src\main\java\jp\ncsa\app\ccms\api\entity\cic</t>
    <phoneticPr fontId="1"/>
  </si>
  <si>
    <t>C:\workspace\dcard\ccmsdapi\src\main\java\jp\ncsa\app\ccms\api\repository\cic</t>
    <phoneticPr fontId="1"/>
  </si>
  <si>
    <t>jp.ncsa.app.ccms.api.entity.jicc</t>
    <phoneticPr fontId="1"/>
  </si>
  <si>
    <t>C:\workspace\dcard\ccmsdapi\src\main\java\jp\ncsa\app\ccms\api\entity\jicc</t>
    <phoneticPr fontId="1"/>
  </si>
  <si>
    <t>C:\workspace\dcard\ccmsdapi\src\main\java\jp\ncsa\app\ccms\api\repository\jicc</t>
    <phoneticPr fontId="1"/>
  </si>
  <si>
    <t>C:\workspace\jason\sourceAutoGen\conf\HbmXmlTemplate.txt</t>
    <phoneticPr fontId="1"/>
  </si>
  <si>
    <t>MST_PASSWORD</t>
    <phoneticPr fontId="3"/>
  </si>
  <si>
    <t>パスワードポリシーマスタ</t>
    <phoneticPr fontId="3"/>
  </si>
  <si>
    <t>列名</t>
  </si>
  <si>
    <t>列ID</t>
  </si>
  <si>
    <t>属性</t>
    <phoneticPr fontId="3"/>
  </si>
  <si>
    <t>桁数</t>
    <phoneticPr fontId="3"/>
  </si>
  <si>
    <t>空白値</t>
  </si>
  <si>
    <t>索引</t>
  </si>
  <si>
    <t>概 要 説 明</t>
  </si>
  <si>
    <t>備 考</t>
  </si>
  <si>
    <t>PK</t>
    <phoneticPr fontId="3"/>
  </si>
  <si>
    <t>№</t>
  </si>
  <si>
    <t>ID</t>
    <phoneticPr fontId="3"/>
  </si>
  <si>
    <t>列</t>
    <phoneticPr fontId="1"/>
  </si>
  <si>
    <t>jp.ncsa.biz.guras.common.business.pojo</t>
    <phoneticPr fontId="1"/>
  </si>
  <si>
    <t>C:\workspace\guras.passwd\NeoGurasBiz\src\main\resources\jp\ncsa\biz\guras\common\business\pojo</t>
    <phoneticPr fontId="1"/>
  </si>
  <si>
    <t>C:\Doc\GurasLite\01_設計書_Guras\2．データベース設計\03_テーブル定義書\テーブル定義書_追加(パスワードポリシー関連) - コピー.xls</t>
  </si>
  <si>
    <t>C:\workspace\guras.passwd\NeoGurasBiz\src\main\java\jp\ncsa\biz\guras\common\business\pojo</t>
    <phoneticPr fontId="1"/>
  </si>
  <si>
    <t>C:\workspace\jason\sourceAutoGen\conf\OldEntityTemplate.txt</t>
    <phoneticPr fontId="1"/>
  </si>
  <si>
    <t>C:\workspace\jason\sourceAutoGen\conf\OldEntityIdTemplate.txt</t>
    <phoneticPr fontId="1"/>
  </si>
  <si>
    <t>${tableId|javaClassName}Id</t>
    <phoneticPr fontId="1"/>
  </si>
  <si>
    <t>C:\Doc\Dカード\010_基本設計書\001_パッケージ標準\200_基本設計書\CIC\02_テーブルレイアウト（ＣＩＣ内部エラー累積）.xls</t>
  </si>
  <si>
    <t>C:\Doc\Dカード\010_基本設計書\001_パッケージ標準\200_基本設計書\CIC\03_テーブルレイアウト（ＣＩＣ外部エラー累積）.xls</t>
  </si>
  <si>
    <t>C:\Doc\Dカード\010_基本設計書\001_パッケージ標準\200_基本設計書\CIC\04_テーブルレイアウト（エラーコード管理）.xls</t>
  </si>
  <si>
    <t>C:\Doc\Dカード\010_基本設計書\001_パッケージ標準\200_基本設計書\CIC\05_テーブルレイアウト（会員コード）.xls</t>
  </si>
  <si>
    <t>C:\Doc\Dカード\010_基本設計書\001_パッケージ標準\200_基本設計書\CIC\06_テーブルレイアウト（締め日）.xls</t>
  </si>
  <si>
    <t>C:\Doc\Dカード\010_基本設計書\001_パッケージ標準\200_基本設計書\CIC\08_テーブルレイアウト（報告連番）.xls</t>
  </si>
  <si>
    <t>C:\Doc\Dカード\010_基本設計書\001_パッケージ標準\200_基本設計書\CIC\09_テーブルレイアウト（ＣＩＣ外部エラー制御）.xls</t>
  </si>
  <si>
    <t>C:\Doc\Dカード\010_基本設計書\001_パッケージ標準\200_基本設計書\CIC\10_テーブルレイアウト（ＣＩＣ自動再報告制御）.xls</t>
  </si>
  <si>
    <t>C:\Doc\Dカード\010_基本設計書\001_パッケージ標準\200_基本設計書\CIC\11_テーブルレイアウト（ＣＩＣ送受信管理）.xls</t>
  </si>
  <si>
    <t>C:\Doc\Dカード\010_基本設計書\001_パッケージ標準\200_基本設計書\CIC\12_テーブルレイアウト（ＣＩＣ規約チェック項目管理）.xls</t>
  </si>
  <si>
    <t>C:\Doc\Dカード\010_基本設計書\001_パッケージ標準\200_基本設計書\CIC\13_テーブルレイアウト（連携情報データチェック項目管理テーブル）.xls</t>
  </si>
  <si>
    <t>C:\Doc\Dカード\010_基本設計書\001_パッケージ標準\200_基本設計書\CIC\14_テーブルレイアウト（西暦和暦変換テーブル）.xls</t>
  </si>
  <si>
    <t>C:\Doc\Dカード\010_基本設計書\001_パッケージ標準\200_基本設計書\CIC\15_テーブルレイアウト（契約番号変更履歴）.xls</t>
  </si>
  <si>
    <t>C:\Doc\Dカード\010_基本設計書\001_パッケージ標準\200_基本設計書\CIC\16_テーブルレイアウト（業務処理日）.xls</t>
  </si>
  <si>
    <t>C:\Doc\Dカード\010_基本設計書\001_パッケージ標準\200_基本設計書\CIC\17_テーブルレイアウト（債権管理マスタ_ＦＦ）.xls</t>
  </si>
  <si>
    <t>C:\Doc\Dカード\010_基本設計書\001_パッケージ標準\200_基本設計書\CIC\18_テーブルレイアウト（報告マスタ_ＦＦ）.xls</t>
  </si>
  <si>
    <t>C:\Doc\Dカード\010_基本設計書\001_パッケージ標準\200_基本設計書\CIC\19_テーブルレイアウト（報告前一時_ＦＦ）.xls</t>
  </si>
  <si>
    <t>C:\Doc\Dカード\010_基本設計書\001_パッケージ標準\200_基本設計書\CIC\20_テーブルレイアウト（取引記録_ＦＦ）.xls</t>
  </si>
  <si>
    <t>C:\Doc\Dカード\010_基本設計書\001_パッケージ標準\200_基本設計書\CIC\21_テーブルレイアウト（取引記録一時_ＦＦ）.xls</t>
  </si>
  <si>
    <t>C:\Doc\Dカード\010_基本設計書\001_パッケージ標準\200_基本設計書\CIC\22_テーブルレイアウト（ＣＩＣ結果件数_ＦＦ）.xls</t>
  </si>
  <si>
    <t>C:\Doc\Dカード\010_基本設計書\001_パッケージ標準\200_基本設計書\CIC\23_テーブルレイアウト（ＣＩＣ結果データ_ＦＦ）.xls</t>
  </si>
  <si>
    <t>C:\Doc\Dカード\010_基本設計書\001_パッケージ標準\200_基本設計書\CIC\24_テーブルレイアウト（債権管理マスタ_ＦＦ履歴）.xls</t>
  </si>
  <si>
    <t>C:\Doc\Dカード\010_基本設計書\001_パッケージ標準\200_基本設計書\CIC\25_テーブルレイアウト（報告マスタ_ＦＦ履歴）.xls</t>
  </si>
  <si>
    <t>C:\Doc\Dカード\010_基本設計書\001_パッケージ標準\200_基本設計書\CIC\26_テーブルレイアウト（報告前一時_ＦＦ履歴）.xls</t>
  </si>
  <si>
    <t>C:\Doc\Dカード\010_基本設計書\001_パッケージ標準\200_基本設計書\CIC\27_テーブルレイアウト（ＣＩＣ結果データ_ＦＦ履歴）.xls</t>
  </si>
  <si>
    <t>C:\Doc\Dカード\010_基本設計書\001_パッケージ標準\200_基本設計書\CIC\28_テーブルレイアウト（取引記録_ＦＦ履歴）.xls</t>
  </si>
  <si>
    <t>C:\Doc\Dカード\010_基本設計書\001_パッケージ標準\200_基本設計書\CIC\29_テーブルレイアウト（取引記録一時_ＦＦ履歴）.xls</t>
  </si>
  <si>
    <t>C:\Doc\Dカード\010_基本設計書\001_パッケージ標準\200_基本設計書\CIC\30_テーブルレイアウト（業務処理日（月次））.xls</t>
  </si>
  <si>
    <t>C:\Doc\Dカード\010_基本設計書\001_パッケージ標準\200_基本設計書\CIC\31_テーブルレイアウト（債権管理マスタ_ＣＦⅡ）.xls</t>
  </si>
  <si>
    <t>C:\Doc\Dカード\010_基本設計書\001_パッケージ標準\200_基本設計書\CIC\32_テーブルレイアウト（報告マスタ_ＣＦⅡ）.xls</t>
  </si>
  <si>
    <t>C:\Doc\Dカード\010_基本設計書\001_パッケージ標準\200_基本設計書\CIC\33_テーブルレイアウト（報告前一時_ＣＦⅡ）.xls</t>
  </si>
  <si>
    <t>C:\Doc\Dカード\010_基本設計書\001_パッケージ標準\200_基本設計書\CIC\34_テーブルレイアウト（取引記録_ＣＦⅡ）.xls</t>
  </si>
  <si>
    <t>C:\Doc\Dカード\010_基本設計書\001_パッケージ標準\200_基本設計書\CIC\35_テーブルレイアウト（取引記録一時_ＣＦⅡ）.xls</t>
  </si>
  <si>
    <t>C:\Doc\Dカード\010_基本設計書\001_パッケージ標準\200_基本設計書\CIC\36_テーブルレイアウト（報告対象_ＣＦⅡ）.xls</t>
  </si>
  <si>
    <t>C:\Doc\Dカード\010_基本設計書\001_パッケージ標準\200_基本設計書\CIC\37_テーブルレイアウト（報告対象_ＣＦⅡ履歴）.xls</t>
  </si>
  <si>
    <t>C:\Doc\Dカード\010_基本設計書\001_パッケージ標準\200_基本設計書\CIC\38_テーブルレイアウト（ＣＩＣ結果件数_ＣＦⅡ）.xls</t>
  </si>
  <si>
    <t>C:\Doc\Dカード\010_基本設計書\001_パッケージ標準\200_基本設計書\CIC\39_テーブルレイアウト（ＣＩＣ結果データ_ＣＦⅡ）.xls</t>
  </si>
  <si>
    <t>C:\Doc\Dカード\010_基本設計書\001_パッケージ標準\200_基本設計書\CIC\40_テーブルレイアウト（債権管理マスタ_ＣＦⅡ履歴）.xls</t>
  </si>
  <si>
    <t>C:\Doc\Dカード\010_基本設計書\001_パッケージ標準\200_基本設計書\CIC\41_テーブルレイアウト（報告マスタ_ＣＦⅡ履歴）.xls</t>
  </si>
  <si>
    <t>C:\Doc\Dカード\010_基本設計書\001_パッケージ標準\200_基本設計書\CIC\42_テーブルレイアウト（報告前一時_ＣＦⅡ履歴）.xls</t>
  </si>
  <si>
    <t>C:\Doc\Dカード\010_基本設計書\001_パッケージ標準\200_基本設計書\CIC\43_テーブルレイアウト（ＣＩＣ結果データ_ＣＦⅡ履歴）.xls</t>
  </si>
  <si>
    <t>C:\Doc\Dカード\010_基本設計書\001_パッケージ標準\200_基本設計書\CIC\44_テーブルレイアウト（取引記録_ＣＦⅡ履歴）.xls</t>
  </si>
  <si>
    <t>C:\Doc\Dカード\010_基本設計書\001_パッケージ標準\200_基本設計書\CIC\45_テーブルレイアウト（取引記録一時_ＣＦⅡ履歴）.xls</t>
  </si>
  <si>
    <t>dbKbn</t>
    <phoneticPr fontId="1"/>
  </si>
  <si>
    <t>primary</t>
    <phoneticPr fontId="1"/>
  </si>
  <si>
    <t>DB区分</t>
    <rPh sb="2" eb="4">
      <t>クブン</t>
    </rPh>
    <phoneticPr fontId="1"/>
  </si>
  <si>
    <t>secondary</t>
    <phoneticPr fontId="1"/>
  </si>
  <si>
    <t>C:\Doc\Dカード\010_基本設計書\001_パッケージ標準\200_基本設計書\共通\26_テーブルレイアウト\03_テーブルレイアウト（外信報告マスタ_CIC_FF）.xls</t>
  </si>
  <si>
    <t>C:\Doc\Dカード\010_基本設計書\001_パッケージ標準\200_基本設計書\共通\26_テーブルレイアウト\04_テーブルレイアウト（外信報告マスタ_CIC_FF_履歴）.xls</t>
  </si>
  <si>
    <t>C:\Doc\Dカード\010_基本設計書\001_パッケージ標準\200_基本設計書\共通\26_テーブルレイアウト\05_テーブルレイアウト（外信報告マスタ_CIC_CFⅡ）.xls</t>
  </si>
  <si>
    <t>C:\Doc\Dカード\010_基本設計書\001_パッケージ標準\200_基本設計書\共通\26_テーブルレイアウト\06_テーブルレイアウト（外信報告マスタ_CIC_CFⅡ_履歴）.xls</t>
  </si>
  <si>
    <t>versionMark</t>
    <phoneticPr fontId="1"/>
  </si>
  <si>
    <t>バージョンアノテーション</t>
    <phoneticPr fontId="1"/>
  </si>
  <si>
    <t>versionField</t>
    <phoneticPr fontId="1"/>
  </si>
  <si>
    <t>UPDT_YMDHMS</t>
    <phoneticPr fontId="1"/>
  </si>
  <si>
    <t>バージョンカラム</t>
    <phoneticPr fontId="1"/>
  </si>
  <si>
    <t>UPDT_YMD,UPDT_HMS</t>
    <phoneticPr fontId="1"/>
  </si>
  <si>
    <t>Version</t>
    <phoneticPr fontId="1"/>
  </si>
  <si>
    <t>MultiVersion</t>
    <phoneticPr fontId="1"/>
  </si>
  <si>
    <t>C:\Doc\Dカード\010_基本設計書\002_カスタマイズ\001_カスタマイズ(API)\060_テーブルレイアウト\01_テーブルレイアウト（API参照更新履歴テーブル_CIC_FF）.xls</t>
  </si>
  <si>
    <t>プログラム設計書
API通信（JICC日次登録マスタ更新依頼）</t>
    <rPh sb="26" eb="28">
      <t>コウシン</t>
    </rPh>
    <rPh sb="28" eb="30">
      <t>イライ</t>
    </rPh>
    <phoneticPr fontId="3"/>
  </si>
  <si>
    <t>詳細設計</t>
    <rPh sb="0" eb="2">
      <t>ショウサイ</t>
    </rPh>
    <rPh sb="2" eb="4">
      <t>セッケイ</t>
    </rPh>
    <phoneticPr fontId="3"/>
  </si>
  <si>
    <t>フォーム№</t>
    <phoneticPr fontId="3"/>
  </si>
  <si>
    <t>機能名</t>
    <rPh sb="0" eb="3">
      <t>キノウメイ</t>
    </rPh>
    <phoneticPr fontId="3"/>
  </si>
  <si>
    <t>JICC日次登録マスタ更新依頼</t>
    <rPh sb="4" eb="6">
      <t>ニチジ</t>
    </rPh>
    <rPh sb="6" eb="8">
      <t>トウロク</t>
    </rPh>
    <rPh sb="11" eb="13">
      <t>コウシン</t>
    </rPh>
    <phoneticPr fontId="3"/>
  </si>
  <si>
    <t>URL</t>
    <phoneticPr fontId="3"/>
  </si>
  <si>
    <t>http://[ContextRoot]:[port]/api/jiccdaily</t>
    <phoneticPr fontId="3"/>
  </si>
  <si>
    <t>リクエストメソッド</t>
    <phoneticPr fontId="3"/>
  </si>
  <si>
    <t>POST</t>
    <phoneticPr fontId="3"/>
  </si>
  <si>
    <t>【 レスポンスオブジェクト 】</t>
    <phoneticPr fontId="3"/>
  </si>
  <si>
    <t>JSON文字列</t>
    <rPh sb="4" eb="7">
      <t>モジレツ</t>
    </rPh>
    <phoneticPr fontId="3"/>
  </si>
  <si>
    <t>（エンコードなし）</t>
    <phoneticPr fontId="3"/>
  </si>
  <si>
    <t>【 JSON文字列の名称 】</t>
    <rPh sb="6" eb="9">
      <t>モジレツ</t>
    </rPh>
    <rPh sb="10" eb="12">
      <t>メイショウ</t>
    </rPh>
    <phoneticPr fontId="3"/>
  </si>
  <si>
    <t>（表１）</t>
    <rPh sb="1" eb="2">
      <t>ヒョウ</t>
    </rPh>
    <phoneticPr fontId="3"/>
  </si>
  <si>
    <t>名称</t>
    <rPh sb="0" eb="2">
      <t>メイショウ</t>
    </rPh>
    <phoneticPr fontId="3"/>
  </si>
  <si>
    <t>特記事項</t>
    <rPh sb="0" eb="2">
      <t>トッキ</t>
    </rPh>
    <rPh sb="2" eb="4">
      <t>ジコウ</t>
    </rPh>
    <phoneticPr fontId="3"/>
  </si>
  <si>
    <t>アクセス種別区分</t>
    <phoneticPr fontId="5"/>
  </si>
  <si>
    <t>accessShubetuKbn</t>
    <phoneticPr fontId="3"/>
  </si>
  <si>
    <t>"93"（固定文字）</t>
    <rPh sb="5" eb="7">
      <t>コテイ</t>
    </rPh>
    <rPh sb="7" eb="9">
      <t>モジ</t>
    </rPh>
    <phoneticPr fontId="3"/>
  </si>
  <si>
    <t>処理年月日</t>
    <rPh sb="0" eb="2">
      <t>ショリ</t>
    </rPh>
    <rPh sb="2" eb="5">
      <t>ネンガッピ</t>
    </rPh>
    <phoneticPr fontId="5"/>
  </si>
  <si>
    <t>processDate</t>
  </si>
  <si>
    <t>yyyyMMdd</t>
    <phoneticPr fontId="3"/>
  </si>
  <si>
    <t>処理時刻</t>
    <rPh sb="0" eb="2">
      <t>ショリ</t>
    </rPh>
    <rPh sb="2" eb="4">
      <t>ジコク</t>
    </rPh>
    <phoneticPr fontId="5"/>
  </si>
  <si>
    <t>processTime</t>
  </si>
  <si>
    <t>HHmmss</t>
    <phoneticPr fontId="3"/>
  </si>
  <si>
    <t>処理連番</t>
    <phoneticPr fontId="5"/>
  </si>
  <si>
    <t>processSeq</t>
  </si>
  <si>
    <t>7桁 先頭ゼロ埋め</t>
    <rPh sb="1" eb="2">
      <t>ケタ</t>
    </rPh>
    <rPh sb="3" eb="5">
      <t>セントウ</t>
    </rPh>
    <rPh sb="7" eb="8">
      <t>ウ</t>
    </rPh>
    <phoneticPr fontId="3"/>
  </si>
  <si>
    <t>結果コード</t>
    <rPh sb="0" eb="2">
      <t>ケッカ</t>
    </rPh>
    <phoneticPr fontId="5"/>
  </si>
  <si>
    <t>resultCd</t>
  </si>
  <si>
    <t>6桁の処理結果コード</t>
    <rPh sb="1" eb="2">
      <t>ケタ</t>
    </rPh>
    <rPh sb="3" eb="5">
      <t>ショリ</t>
    </rPh>
    <rPh sb="5" eb="7">
      <t>ケッカ</t>
    </rPh>
    <phoneticPr fontId="3"/>
  </si>
  <si>
    <t>メッセージID</t>
  </si>
  <si>
    <t>messageId</t>
  </si>
  <si>
    <t>メッセージ内容</t>
    <rPh sb="5" eb="7">
      <t>ナイヨウ</t>
    </rPh>
    <phoneticPr fontId="5"/>
  </si>
  <si>
    <t>messageNy</t>
  </si>
  <si>
    <t>会社区分</t>
  </si>
  <si>
    <t>kisy_kb</t>
    <phoneticPr fontId="3"/>
  </si>
  <si>
    <t>保証者番号</t>
  </si>
  <si>
    <t>hosyo_no</t>
    <phoneticPr fontId="3"/>
  </si>
  <si>
    <t>Ccms検索用登録識別番号</t>
    <rPh sb="4" eb="7">
      <t>ケンサクヨウ</t>
    </rPh>
    <rPh sb="7" eb="9">
      <t>トウロク</t>
    </rPh>
    <rPh sb="9" eb="11">
      <t>シキベツ</t>
    </rPh>
    <rPh sb="11" eb="13">
      <t>バンゴウ</t>
    </rPh>
    <phoneticPr fontId="10"/>
  </si>
  <si>
    <t>search_entrsiki_no</t>
    <phoneticPr fontId="3"/>
  </si>
  <si>
    <t>端末ID</t>
    <rPh sb="0" eb="2">
      <t>タンマツ</t>
    </rPh>
    <phoneticPr fontId="10"/>
  </si>
  <si>
    <t>terminal_id</t>
  </si>
  <si>
    <t>ユーザID</t>
  </si>
  <si>
    <t>user_id</t>
  </si>
  <si>
    <t>処理区分</t>
    <rPh sb="0" eb="2">
      <t>ショリ</t>
    </rPh>
    <rPh sb="2" eb="4">
      <t>クブン</t>
    </rPh>
    <phoneticPr fontId="3"/>
  </si>
  <si>
    <t>syori_kb</t>
  </si>
  <si>
    <t>"1":チェックのみ、"2"：チェック＆マスタ更新</t>
    <phoneticPr fontId="3"/>
  </si>
  <si>
    <t>登録削除区分</t>
    <rPh sb="0" eb="2">
      <t>トウロク</t>
    </rPh>
    <rPh sb="2" eb="4">
      <t>サクジョ</t>
    </rPh>
    <rPh sb="4" eb="6">
      <t>クブン</t>
    </rPh>
    <phoneticPr fontId="3"/>
  </si>
  <si>
    <t>ins_upd_kb</t>
  </si>
  <si>
    <t>"０"：登録／更新、"１"：削除</t>
    <phoneticPr fontId="3"/>
  </si>
  <si>
    <t>JICC顧客コード</t>
  </si>
  <si>
    <t>cust_cd</t>
  </si>
  <si>
    <t>取消理由区分</t>
    <rPh sb="0" eb="2">
      <t>トリケシ</t>
    </rPh>
    <rPh sb="2" eb="4">
      <t>リユウ</t>
    </rPh>
    <rPh sb="4" eb="6">
      <t>クブン</t>
    </rPh>
    <phoneticPr fontId="10"/>
  </si>
  <si>
    <t>toriry_kb</t>
  </si>
  <si>
    <t>brth_ymd</t>
  </si>
  <si>
    <t>cust_nmk</t>
  </si>
  <si>
    <t>cust_nmj</t>
  </si>
  <si>
    <t>漢字氏名確認日</t>
  </si>
  <si>
    <t>cust_nmj_ymd</t>
  </si>
  <si>
    <t>cust_nma</t>
  </si>
  <si>
    <t>アルファベット氏名確認日</t>
  </si>
  <si>
    <t>cust_nma_ymd</t>
  </si>
  <si>
    <t>性別（FD）</t>
  </si>
  <si>
    <t>sex_kb</t>
  </si>
  <si>
    <t>性別確認日</t>
  </si>
  <si>
    <t>sex_kb_ymd</t>
  </si>
  <si>
    <t>自宅郵便番号</t>
  </si>
  <si>
    <t>post_no</t>
  </si>
  <si>
    <t>自宅カナ住所</t>
  </si>
  <si>
    <t>custaddr_nmk</t>
  </si>
  <si>
    <t>自宅漢字住所</t>
    <rPh sb="2" eb="4">
      <t>カンジ</t>
    </rPh>
    <phoneticPr fontId="10"/>
  </si>
  <si>
    <t>custaddr_nmj</t>
  </si>
  <si>
    <t>住所確認日</t>
  </si>
  <si>
    <t>custaddr_ymd</t>
  </si>
  <si>
    <t>自宅電話番号</t>
  </si>
  <si>
    <t>telno</t>
  </si>
  <si>
    <t>ハイフン込みで14桁</t>
    <rPh sb="9" eb="10">
      <t>ケタ</t>
    </rPh>
    <phoneticPr fontId="3"/>
  </si>
  <si>
    <t>自宅電話番号確認日</t>
  </si>
  <si>
    <t>tel_ymd</t>
  </si>
  <si>
    <t>連絡先電話番号</t>
  </si>
  <si>
    <t>rentelno</t>
  </si>
  <si>
    <t>連絡先電話番号確認日</t>
  </si>
  <si>
    <t>rentel_ymd</t>
  </si>
  <si>
    <t>kinm_nmk</t>
  </si>
  <si>
    <t>漢字勤務先名</t>
  </si>
  <si>
    <t>kinm_nmj</t>
  </si>
  <si>
    <t>kinmtelno</t>
  </si>
  <si>
    <t>勤務先確認日</t>
  </si>
  <si>
    <t>kinmtel_ymd</t>
  </si>
  <si>
    <t>運転免許証番号</t>
  </si>
  <si>
    <t>drive_no</t>
  </si>
  <si>
    <t>運転免許証確認日</t>
  </si>
  <si>
    <t>drive_no_ymd</t>
  </si>
  <si>
    <t>パスポート番号</t>
  </si>
  <si>
    <t>passport_no</t>
  </si>
  <si>
    <t>パスポート確認日</t>
  </si>
  <si>
    <t>passport_no_ymd</t>
  </si>
  <si>
    <t>健康保険証記号番号</t>
  </si>
  <si>
    <t>hoken_no</t>
  </si>
  <si>
    <t>健康保険証確認日</t>
  </si>
  <si>
    <t>hoken_no_ymd</t>
  </si>
  <si>
    <t>外国人登録証明書番号</t>
  </si>
  <si>
    <t>toroku_no</t>
  </si>
  <si>
    <t>外国人登録証明書確認日</t>
  </si>
  <si>
    <t>toroku_no_ymd</t>
  </si>
  <si>
    <t>その他公的資料記号番号</t>
    <rPh sb="3" eb="5">
      <t>コウテキ</t>
    </rPh>
    <rPh sb="5" eb="7">
      <t>シリョウ</t>
    </rPh>
    <phoneticPr fontId="10"/>
  </si>
  <si>
    <t>other_no</t>
  </si>
  <si>
    <t>その他公的資料確認日</t>
    <rPh sb="3" eb="5">
      <t>コウテキ</t>
    </rPh>
    <rPh sb="5" eb="7">
      <t>シリョウ</t>
    </rPh>
    <rPh sb="7" eb="9">
      <t>カクニン</t>
    </rPh>
    <rPh sb="9" eb="10">
      <t>ビ</t>
    </rPh>
    <phoneticPr fontId="10"/>
  </si>
  <si>
    <t>other_no_ymd</t>
  </si>
  <si>
    <t>取引形態区分</t>
  </si>
  <si>
    <t>trhiktai_kb</t>
  </si>
  <si>
    <t>包括個別区分</t>
  </si>
  <si>
    <t>hktkbt_kb</t>
  </si>
  <si>
    <t>登録識別番号</t>
  </si>
  <si>
    <t>entrsiki_no</t>
  </si>
  <si>
    <t>同意区分（FD）</t>
  </si>
  <si>
    <t>doui_kb</t>
  </si>
  <si>
    <t>配偶者引受有無区分</t>
  </si>
  <si>
    <t>hg_hiki_kb</t>
  </si>
  <si>
    <t>保証人・連帯債務識別区分</t>
  </si>
  <si>
    <t>hosyo_kb</t>
  </si>
  <si>
    <t>法令金額区分</t>
  </si>
  <si>
    <t>hourei_kb</t>
  </si>
  <si>
    <t>契約日</t>
    <rPh sb="0" eb="3">
      <t>ケイヤクビ</t>
    </rPh>
    <phoneticPr fontId="10"/>
  </si>
  <si>
    <t>keiyaku_ymd</t>
  </si>
  <si>
    <t>貸付額</t>
  </si>
  <si>
    <t>kasi_gk</t>
  </si>
  <si>
    <t>値設定なしの場合、"0"</t>
    <rPh sb="0" eb="1">
      <t>アタイ</t>
    </rPh>
    <rPh sb="1" eb="3">
      <t>セッテイ</t>
    </rPh>
    <rPh sb="6" eb="8">
      <t>バアイ</t>
    </rPh>
    <phoneticPr fontId="3"/>
  </si>
  <si>
    <t>保証額</t>
  </si>
  <si>
    <t>hosyo_gk</t>
  </si>
  <si>
    <t>出金日／利用日</t>
  </si>
  <si>
    <t>skin_ymd</t>
  </si>
  <si>
    <t>出金額</t>
  </si>
  <si>
    <t>skin_gk</t>
  </si>
  <si>
    <t>入金日</t>
  </si>
  <si>
    <t>nkin_ymd</t>
  </si>
  <si>
    <t>残高（JICC）</t>
  </si>
  <si>
    <t>zan_gk</t>
  </si>
  <si>
    <t>入金予定日</t>
  </si>
  <si>
    <t>nkinpln_ymd</t>
  </si>
  <si>
    <t>残高確認日</t>
  </si>
  <si>
    <t>zan_check_ymd</t>
  </si>
  <si>
    <t>完済日</t>
  </si>
  <si>
    <t>knsi_ymd</t>
  </si>
  <si>
    <t>譲渡日</t>
    <rPh sb="0" eb="2">
      <t>ジョウト</t>
    </rPh>
    <rPh sb="2" eb="3">
      <t>ビ</t>
    </rPh>
    <phoneticPr fontId="3"/>
  </si>
  <si>
    <t>joto_ymd</t>
  </si>
  <si>
    <t>貸金遅延区分（JICC）</t>
    <rPh sb="0" eb="2">
      <t>カシキン</t>
    </rPh>
    <rPh sb="2" eb="4">
      <t>チエン</t>
    </rPh>
    <rPh sb="4" eb="6">
      <t>クブン</t>
    </rPh>
    <phoneticPr fontId="10"/>
  </si>
  <si>
    <t>id_cd</t>
  </si>
  <si>
    <t>貸金遅延発生日（JICC）</t>
    <rPh sb="0" eb="2">
      <t>カシキン</t>
    </rPh>
    <rPh sb="2" eb="4">
      <t>チエン</t>
    </rPh>
    <rPh sb="4" eb="6">
      <t>ハッセイ</t>
    </rPh>
    <rPh sb="6" eb="7">
      <t>ビ</t>
    </rPh>
    <phoneticPr fontId="10"/>
  </si>
  <si>
    <t>idhs_ymd</t>
  </si>
  <si>
    <t>貸金遅延解消日（JICC）</t>
  </si>
  <si>
    <t>idoks_ymd</t>
  </si>
  <si>
    <t>債権回収確認日</t>
    <rPh sb="4" eb="6">
      <t>カクニン</t>
    </rPh>
    <rPh sb="6" eb="7">
      <t>ビ</t>
    </rPh>
    <phoneticPr fontId="3"/>
  </si>
  <si>
    <t>saikenkaisyu_ymd</t>
  </si>
  <si>
    <t>債務整理確認日</t>
  </si>
  <si>
    <t>saimuseiri_ymd</t>
  </si>
  <si>
    <t>破産申立確認日</t>
  </si>
  <si>
    <t>hasan_ymd</t>
  </si>
  <si>
    <t>特定調停確認日</t>
  </si>
  <si>
    <t>tkteshotei_ymd</t>
  </si>
  <si>
    <t>民事再生確認日</t>
  </si>
  <si>
    <t>mijisaise_ymd</t>
  </si>
  <si>
    <t>保証履行確認日</t>
  </si>
  <si>
    <t>hsyoriko_ymd</t>
  </si>
  <si>
    <t>保証契約弁済確認日</t>
  </si>
  <si>
    <t>hosyobensai_ymd</t>
  </si>
  <si>
    <t>連帯保証人弁済確認日</t>
  </si>
  <si>
    <t>rentaibensai_ymd</t>
  </si>
  <si>
    <t>カード強制解約確認日</t>
  </si>
  <si>
    <t>kyosekaiyaku_ymd</t>
  </si>
  <si>
    <t>支払抗弁中確認日</t>
  </si>
  <si>
    <t>shkouben_ymd</t>
  </si>
  <si>
    <t>名義注意確認日</t>
  </si>
  <si>
    <t>meigichui_ymd</t>
  </si>
  <si>
    <t>本人否認確認日</t>
  </si>
  <si>
    <t>hinin_ymd</t>
  </si>
  <si>
    <t>死亡確認日</t>
  </si>
  <si>
    <t>sibo_ymd</t>
  </si>
  <si>
    <t>※ 設定仕様は、【別紙】IF設定仕様(API_IF) の シート「JICC日次-更新-依頼」の通りとする。</t>
    <rPh sb="2" eb="4">
      <t>セッテイ</t>
    </rPh>
    <rPh sb="4" eb="6">
      <t>シヨウ</t>
    </rPh>
    <rPh sb="40" eb="42">
      <t>コウシン</t>
    </rPh>
    <rPh sb="43" eb="45">
      <t>イライ</t>
    </rPh>
    <rPh sb="47" eb="48">
      <t>トオ</t>
    </rPh>
    <phoneticPr fontId="3"/>
  </si>
  <si>
    <t>%7B%22accessShubetuKbn%22%3A%2293%22%2C%22processDate%22%3A%2220200205%22%2C%22processTime%22%3A%22101520%22%2C%22processSeq%22%3A%220000001%22%2C%22resultCd%22%3A%22%22%2C%22messageId%22%3A%22%22%2C%22messageNy%22%3A%22%22%2C%22ho_kb%22%3A%22010%22%2C%22bnsi_no%22%3A%2200%22%2C%22search_kiykcic_no%22%3A%221000000001%22%2C%22terminal_id%22%3A%22127.0.0.1%22%3A%22user_id%22%3A%2212345678%22%7D</t>
    <phoneticPr fontId="3"/>
  </si>
  <si>
    <t>C:\Temp</t>
    <phoneticPr fontId="1"/>
  </si>
  <si>
    <t>C:\Temp</t>
    <phoneticPr fontId="1"/>
  </si>
  <si>
    <t>項目編集条件表
JICC（日次）登録</t>
    <rPh sb="13" eb="15">
      <t>ニチジ</t>
    </rPh>
    <rPh sb="16" eb="18">
      <t>トウロク</t>
    </rPh>
    <phoneticPr fontId="3"/>
  </si>
  <si>
    <t>基本設計</t>
    <rPh sb="0" eb="2">
      <t>キホン</t>
    </rPh>
    <rPh sb="2" eb="4">
      <t>セッケイ</t>
    </rPh>
    <phoneticPr fontId="3"/>
  </si>
  <si>
    <t>モジュールID</t>
    <phoneticPr fontId="3"/>
  </si>
  <si>
    <t>モジュール名称</t>
    <rPh sb="5" eb="7">
      <t>メイショウ</t>
    </rPh>
    <phoneticPr fontId="3"/>
  </si>
  <si>
    <t>Ccmsマスタ更新_JICC_FD
（外信報告マスタ_JICC_FD登録）</t>
    <rPh sb="7" eb="9">
      <t>コウシン</t>
    </rPh>
    <rPh sb="19" eb="21">
      <t>ガイシン</t>
    </rPh>
    <rPh sb="21" eb="23">
      <t>ホウコク</t>
    </rPh>
    <rPh sb="34" eb="36">
      <t>トウロク</t>
    </rPh>
    <phoneticPr fontId="3"/>
  </si>
  <si>
    <t>№</t>
    <phoneticPr fontId="3"/>
  </si>
  <si>
    <t>入 力 項 目 内 容</t>
  </si>
  <si>
    <t>編 集 条 件</t>
    <phoneticPr fontId="3"/>
  </si>
  <si>
    <t>出 力 項 目 内 容</t>
  </si>
  <si>
    <t>入 力 媒 体 名</t>
  </si>
  <si>
    <t>項 目 名 称</t>
  </si>
  <si>
    <t>出 力 媒 体 名</t>
  </si>
  <si>
    <t>更新依頼データ（JICC（日次））</t>
    <rPh sb="0" eb="2">
      <t>コウシン</t>
    </rPh>
    <rPh sb="2" eb="4">
      <t>イライ</t>
    </rPh>
    <rPh sb="13" eb="15">
      <t>ニチジ</t>
    </rPh>
    <phoneticPr fontId="3"/>
  </si>
  <si>
    <t>単純移送</t>
    <rPh sb="0" eb="2">
      <t>タンジュン</t>
    </rPh>
    <rPh sb="2" eb="4">
      <t>イソウ</t>
    </rPh>
    <phoneticPr fontId="5"/>
  </si>
  <si>
    <t>外信報告マスタ_JICC_FD</t>
    <rPh sb="0" eb="4">
      <t>ガイシンホウコク</t>
    </rPh>
    <phoneticPr fontId="3"/>
  </si>
  <si>
    <t>会社区分</t>
    <rPh sb="0" eb="2">
      <t>カイシャ</t>
    </rPh>
    <rPh sb="2" eb="4">
      <t>クブン</t>
    </rPh>
    <phoneticPr fontId="2"/>
  </si>
  <si>
    <t>KISY_KB</t>
  </si>
  <si>
    <t>Ccms検索用登録識別番号</t>
    <rPh sb="4" eb="7">
      <t>ケンサクヨウ</t>
    </rPh>
    <rPh sb="7" eb="9">
      <t>トウロク</t>
    </rPh>
    <rPh sb="9" eb="11">
      <t>シキベツ</t>
    </rPh>
    <rPh sb="11" eb="13">
      <t>バンゴウ</t>
    </rPh>
    <phoneticPr fontId="5"/>
  </si>
  <si>
    <t>初期登録識別番号</t>
  </si>
  <si>
    <t>初期登録識別番号</t>
    <rPh sb="0" eb="2">
      <t>ショキ</t>
    </rPh>
    <rPh sb="2" eb="4">
      <t>トウロク</t>
    </rPh>
    <rPh sb="4" eb="6">
      <t>シキベツ</t>
    </rPh>
    <rPh sb="6" eb="8">
      <t>バンゴウ</t>
    </rPh>
    <phoneticPr fontId="7"/>
  </si>
  <si>
    <t>SYOKI_TRIAT_NO</t>
  </si>
  <si>
    <t>保証者番号</t>
    <rPh sb="0" eb="3">
      <t>ホショウシャ</t>
    </rPh>
    <rPh sb="3" eb="5">
      <t>バンゴウ</t>
    </rPh>
    <phoneticPr fontId="2"/>
  </si>
  <si>
    <t>HOSYO_NO</t>
  </si>
  <si>
    <t>-</t>
    <phoneticPr fontId="3"/>
  </si>
  <si>
    <t>システム日付</t>
    <rPh sb="4" eb="6">
      <t>ヒヅケ</t>
    </rPh>
    <phoneticPr fontId="3"/>
  </si>
  <si>
    <t>業務処理日</t>
  </si>
  <si>
    <t>業務処理日</t>
    <rPh sb="0" eb="2">
      <t>ギョウム</t>
    </rPh>
    <rPh sb="2" eb="4">
      <t>ショリ</t>
    </rPh>
    <rPh sb="4" eb="5">
      <t>ビ</t>
    </rPh>
    <phoneticPr fontId="5"/>
  </si>
  <si>
    <t>GYO_YMD</t>
  </si>
  <si>
    <t>固定値　0</t>
    <rPh sb="0" eb="3">
      <t>コテイチ</t>
    </rPh>
    <phoneticPr fontId="3"/>
  </si>
  <si>
    <t>報告回次</t>
  </si>
  <si>
    <t>報告回次</t>
    <rPh sb="0" eb="2">
      <t>ホウコク</t>
    </rPh>
    <rPh sb="2" eb="4">
      <t>カイジ</t>
    </rPh>
    <phoneticPr fontId="2"/>
  </si>
  <si>
    <t>HOK_CYC</t>
    <phoneticPr fontId="2"/>
  </si>
  <si>
    <t>固定値　"1"[日次]</t>
    <rPh sb="0" eb="3">
      <t>コテイチ</t>
    </rPh>
    <rPh sb="8" eb="10">
      <t>ニチジ</t>
    </rPh>
    <phoneticPr fontId="3"/>
  </si>
  <si>
    <t>データ区分</t>
  </si>
  <si>
    <t>データ区分</t>
    <rPh sb="3" eb="5">
      <t>クブン</t>
    </rPh>
    <phoneticPr fontId="5"/>
  </si>
  <si>
    <t>DT_KB</t>
  </si>
  <si>
    <t>固定値　"1"[個人]</t>
    <rPh sb="0" eb="3">
      <t>コテイチ</t>
    </rPh>
    <rPh sb="8" eb="10">
      <t>コジン</t>
    </rPh>
    <phoneticPr fontId="3"/>
  </si>
  <si>
    <t>個人法人区分</t>
  </si>
  <si>
    <t>個人法人区分</t>
    <rPh sb="0" eb="2">
      <t>コジン</t>
    </rPh>
    <rPh sb="2" eb="4">
      <t>ホウジン</t>
    </rPh>
    <rPh sb="4" eb="6">
      <t>クブン</t>
    </rPh>
    <phoneticPr fontId="5"/>
  </si>
  <si>
    <t>HOKK_KB</t>
  </si>
  <si>
    <t>固定値　"1"[本人]</t>
    <rPh sb="0" eb="3">
      <t>コテイチ</t>
    </rPh>
    <rPh sb="8" eb="10">
      <t>ホンニン</t>
    </rPh>
    <phoneticPr fontId="3"/>
  </si>
  <si>
    <t>本人保証人区分</t>
    <rPh sb="0" eb="2">
      <t>ホンニン</t>
    </rPh>
    <rPh sb="2" eb="5">
      <t>ホショウニン</t>
    </rPh>
    <rPh sb="5" eb="7">
      <t>クブン</t>
    </rPh>
    <phoneticPr fontId="5"/>
  </si>
  <si>
    <t>HHN_KB</t>
  </si>
  <si>
    <t>本人配偶者区分</t>
    <rPh sb="0" eb="2">
      <t>ホンニン</t>
    </rPh>
    <rPh sb="2" eb="5">
      <t>ハイグウシャ</t>
    </rPh>
    <rPh sb="5" eb="7">
      <t>クブン</t>
    </rPh>
    <phoneticPr fontId="5"/>
  </si>
  <si>
    <t>HHG_KB</t>
  </si>
  <si>
    <t>固定値　"00000001"</t>
    <rPh sb="0" eb="3">
      <t>コテイチ</t>
    </rPh>
    <phoneticPr fontId="3"/>
  </si>
  <si>
    <t>連番</t>
  </si>
  <si>
    <t>連番</t>
    <rPh sb="0" eb="2">
      <t>レンバン</t>
    </rPh>
    <phoneticPr fontId="5"/>
  </si>
  <si>
    <t>REN</t>
  </si>
  <si>
    <t>-</t>
    <phoneticPr fontId="3"/>
  </si>
  <si>
    <t>固定値　"0"</t>
    <rPh sb="0" eb="3">
      <t>コテイチ</t>
    </rPh>
    <phoneticPr fontId="3"/>
  </si>
  <si>
    <t>報告先機関区分（CIC）</t>
  </si>
  <si>
    <t>報告先機関区分（CIC）</t>
    <rPh sb="3" eb="5">
      <t>キカン</t>
    </rPh>
    <rPh sb="5" eb="7">
      <t>クブン</t>
    </rPh>
    <phoneticPr fontId="25"/>
  </si>
  <si>
    <t>HOKOKU_KIKAN_KBC</t>
  </si>
  <si>
    <t>固定値　"1"</t>
    <rPh sb="0" eb="3">
      <t>コテイチ</t>
    </rPh>
    <phoneticPr fontId="3"/>
  </si>
  <si>
    <t>報告先機関区分（JICC）</t>
  </si>
  <si>
    <t>報告先機関区分（JICC）</t>
    <rPh sb="3" eb="5">
      <t>キカン</t>
    </rPh>
    <rPh sb="5" eb="7">
      <t>クブン</t>
    </rPh>
    <phoneticPr fontId="25"/>
  </si>
  <si>
    <t>HOKOKU_KIKAN_KBJ</t>
  </si>
  <si>
    <t>報告先機関区分（KSC）</t>
  </si>
  <si>
    <t>報告先機関区分（KSC）</t>
    <rPh sb="3" eb="5">
      <t>キカン</t>
    </rPh>
    <rPh sb="5" eb="7">
      <t>クブン</t>
    </rPh>
    <phoneticPr fontId="25"/>
  </si>
  <si>
    <t>HOKOKU_KIKAN_KBK</t>
  </si>
  <si>
    <t>CIC強制出力区分</t>
  </si>
  <si>
    <t>CIC強制出力区分</t>
    <rPh sb="3" eb="5">
      <t>キョウセイ</t>
    </rPh>
    <rPh sb="5" eb="7">
      <t>シュツリョク</t>
    </rPh>
    <rPh sb="7" eb="9">
      <t>クブン</t>
    </rPh>
    <phoneticPr fontId="25"/>
  </si>
  <si>
    <t>KYOSEI_SYUTSU_KBC</t>
  </si>
  <si>
    <t>JICC強制出力区分</t>
  </si>
  <si>
    <t>JICC強制出力区分</t>
    <rPh sb="4" eb="6">
      <t>キョウセイ</t>
    </rPh>
    <rPh sb="6" eb="8">
      <t>シュツリョク</t>
    </rPh>
    <rPh sb="8" eb="10">
      <t>クブン</t>
    </rPh>
    <phoneticPr fontId="25"/>
  </si>
  <si>
    <t>KYOSEI_SYUTSU_KBJ</t>
  </si>
  <si>
    <t>KSC強制出力区分</t>
  </si>
  <si>
    <t>KSC強制出力区分</t>
    <rPh sb="3" eb="5">
      <t>キョウセイ</t>
    </rPh>
    <rPh sb="5" eb="7">
      <t>シュツリョク</t>
    </rPh>
    <rPh sb="7" eb="9">
      <t>クブン</t>
    </rPh>
    <phoneticPr fontId="25"/>
  </si>
  <si>
    <t>KYOSEI_SYUTSU_KBK</t>
  </si>
  <si>
    <t>CIC報告抑止区分</t>
  </si>
  <si>
    <t>CIC報告抑止区分</t>
    <rPh sb="7" eb="9">
      <t>クブン</t>
    </rPh>
    <phoneticPr fontId="25"/>
  </si>
  <si>
    <t>HOKOKU_YOKUSHI_KBC</t>
  </si>
  <si>
    <t>JICC報告抑止区分</t>
  </si>
  <si>
    <t>JICC報告抑止区分</t>
    <rPh sb="8" eb="10">
      <t>クブン</t>
    </rPh>
    <phoneticPr fontId="25"/>
  </si>
  <si>
    <t>HOKOKU_YOKUSHI_KBJ</t>
  </si>
  <si>
    <t>KSC報告抑止区分</t>
  </si>
  <si>
    <t>KSC報告抑止区分</t>
    <rPh sb="7" eb="9">
      <t>クブン</t>
    </rPh>
    <phoneticPr fontId="25"/>
  </si>
  <si>
    <t>HOKOKU_YOKUSHI_KBK</t>
  </si>
  <si>
    <t>CIC取消区分</t>
  </si>
  <si>
    <t>CIC取消区分</t>
    <rPh sb="3" eb="5">
      <t>トリケシ</t>
    </rPh>
    <rPh sb="5" eb="7">
      <t>クブン</t>
    </rPh>
    <phoneticPr fontId="25"/>
  </si>
  <si>
    <t>TORI_KBC</t>
  </si>
  <si>
    <t>JICC取消区分</t>
  </si>
  <si>
    <t>JICC取消区分</t>
    <rPh sb="4" eb="6">
      <t>トリケシ</t>
    </rPh>
    <rPh sb="6" eb="8">
      <t>クブン</t>
    </rPh>
    <phoneticPr fontId="25"/>
  </si>
  <si>
    <t>TORI_KBJ</t>
  </si>
  <si>
    <t>KSC取消区分</t>
  </si>
  <si>
    <t>KSC取消区分</t>
    <rPh sb="3" eb="5">
      <t>トリケシ</t>
    </rPh>
    <rPh sb="5" eb="7">
      <t>クブン</t>
    </rPh>
    <phoneticPr fontId="25"/>
  </si>
  <si>
    <t>TORI_KBK</t>
  </si>
  <si>
    <t>固定値　ALL半角スペース</t>
    <rPh sb="0" eb="3">
      <t>コテイチ</t>
    </rPh>
    <rPh sb="7" eb="9">
      <t>ハンカク</t>
    </rPh>
    <phoneticPr fontId="3"/>
  </si>
  <si>
    <t>氏名変更理由区分</t>
  </si>
  <si>
    <t>氏名変更理由区分</t>
    <rPh sb="0" eb="2">
      <t>シメイ</t>
    </rPh>
    <rPh sb="2" eb="4">
      <t>ヘンコウ</t>
    </rPh>
    <rPh sb="4" eb="6">
      <t>リユウ</t>
    </rPh>
    <rPh sb="6" eb="8">
      <t>クブン</t>
    </rPh>
    <phoneticPr fontId="10"/>
  </si>
  <si>
    <t>NACHRE_KB</t>
  </si>
  <si>
    <t>電話番号変更理由区分</t>
  </si>
  <si>
    <t>電話番号変更理由区分</t>
    <rPh sb="0" eb="2">
      <t>デンワ</t>
    </rPh>
    <rPh sb="2" eb="4">
      <t>バンゴウ</t>
    </rPh>
    <rPh sb="4" eb="6">
      <t>ヘンコウ</t>
    </rPh>
    <rPh sb="6" eb="8">
      <t>リユウ</t>
    </rPh>
    <rPh sb="8" eb="10">
      <t>クブン</t>
    </rPh>
    <phoneticPr fontId="2"/>
  </si>
  <si>
    <t>TECHRE_KB</t>
  </si>
  <si>
    <t>カナ氏名</t>
    <rPh sb="2" eb="4">
      <t>シメイ</t>
    </rPh>
    <phoneticPr fontId="10"/>
  </si>
  <si>
    <t>CUST_NMK</t>
  </si>
  <si>
    <t>CUST_NMJ</t>
  </si>
  <si>
    <t>CUST_NMA</t>
  </si>
  <si>
    <t>性別</t>
    <rPh sb="0" eb="2">
      <t>セイベツ</t>
    </rPh>
    <phoneticPr fontId="10"/>
  </si>
  <si>
    <t>性別（FD）</t>
    <rPh sb="0" eb="2">
      <t>セイベツ</t>
    </rPh>
    <phoneticPr fontId="10"/>
  </si>
  <si>
    <t>SEX_FD_KB</t>
  </si>
  <si>
    <t>生年月日</t>
    <rPh sb="0" eb="2">
      <t>セイネン</t>
    </rPh>
    <rPh sb="2" eb="4">
      <t>ガッピ</t>
    </rPh>
    <phoneticPr fontId="10"/>
  </si>
  <si>
    <t>自宅漢字住所</t>
    <rPh sb="2" eb="4">
      <t>カンジ</t>
    </rPh>
    <phoneticPr fontId="5"/>
  </si>
  <si>
    <t>自宅漢字住所</t>
  </si>
  <si>
    <t>CUSTADDR_NMJ</t>
  </si>
  <si>
    <t>自宅電話番号</t>
    <rPh sb="0" eb="2">
      <t>ジタク</t>
    </rPh>
    <rPh sb="2" eb="4">
      <t>デンワ</t>
    </rPh>
    <rPh sb="4" eb="6">
      <t>バンゴウ</t>
    </rPh>
    <phoneticPr fontId="10"/>
  </si>
  <si>
    <t>TEL_NO</t>
  </si>
  <si>
    <t>連絡先電話番号</t>
    <rPh sb="0" eb="2">
      <t>レンラク</t>
    </rPh>
    <rPh sb="2" eb="3">
      <t>サキ</t>
    </rPh>
    <rPh sb="3" eb="5">
      <t>デンワ</t>
    </rPh>
    <rPh sb="5" eb="7">
      <t>バンゴウ</t>
    </rPh>
    <phoneticPr fontId="10"/>
  </si>
  <si>
    <t>RENTEL_NO</t>
  </si>
  <si>
    <t>KINM_NMK</t>
  </si>
  <si>
    <t>漢字勤務先名</t>
    <rPh sb="0" eb="2">
      <t>カンジ</t>
    </rPh>
    <phoneticPr fontId="10"/>
  </si>
  <si>
    <t>KINM_NMJ</t>
  </si>
  <si>
    <t>勤務先電話番号</t>
    <rPh sb="3" eb="5">
      <t>デンワ</t>
    </rPh>
    <rPh sb="5" eb="7">
      <t>バンゴウ</t>
    </rPh>
    <phoneticPr fontId="10"/>
  </si>
  <si>
    <t>運転免許証番号</t>
    <rPh sb="0" eb="2">
      <t>ウンテン</t>
    </rPh>
    <rPh sb="2" eb="4">
      <t>メンキョ</t>
    </rPh>
    <rPh sb="4" eb="5">
      <t>ショウ</t>
    </rPh>
    <phoneticPr fontId="10"/>
  </si>
  <si>
    <t>DRIVE_NO</t>
  </si>
  <si>
    <t>運転免許証確認日</t>
    <rPh sb="0" eb="2">
      <t>ウンテン</t>
    </rPh>
    <rPh sb="2" eb="4">
      <t>メンキョ</t>
    </rPh>
    <rPh sb="4" eb="5">
      <t>ショウ</t>
    </rPh>
    <rPh sb="5" eb="7">
      <t>カクニン</t>
    </rPh>
    <rPh sb="7" eb="8">
      <t>ヒ</t>
    </rPh>
    <phoneticPr fontId="10"/>
  </si>
  <si>
    <t>DRIVE_NO_YMD</t>
  </si>
  <si>
    <t>PASSPORT_NO</t>
  </si>
  <si>
    <t>パスポート確認日</t>
    <rPh sb="5" eb="7">
      <t>カクニン</t>
    </rPh>
    <rPh sb="7" eb="8">
      <t>ヒ</t>
    </rPh>
    <phoneticPr fontId="10"/>
  </si>
  <si>
    <t>PASSPORT_YMD</t>
  </si>
  <si>
    <t>外国人登録証明書番号</t>
    <rPh sb="0" eb="2">
      <t>ガイコク</t>
    </rPh>
    <rPh sb="2" eb="3">
      <t>ジン</t>
    </rPh>
    <rPh sb="3" eb="5">
      <t>トウロク</t>
    </rPh>
    <rPh sb="5" eb="8">
      <t>ショウメイショ</t>
    </rPh>
    <rPh sb="8" eb="10">
      <t>バンゴウ</t>
    </rPh>
    <phoneticPr fontId="10"/>
  </si>
  <si>
    <t>TOROKU_NO</t>
  </si>
  <si>
    <t>外国人登録証明書確認日</t>
    <rPh sb="0" eb="2">
      <t>ガイコク</t>
    </rPh>
    <rPh sb="2" eb="3">
      <t>ジン</t>
    </rPh>
    <rPh sb="3" eb="5">
      <t>トウロク</t>
    </rPh>
    <rPh sb="5" eb="8">
      <t>ショウメイショ</t>
    </rPh>
    <rPh sb="8" eb="10">
      <t>カクニン</t>
    </rPh>
    <rPh sb="10" eb="11">
      <t>ヒ</t>
    </rPh>
    <phoneticPr fontId="10"/>
  </si>
  <si>
    <t>TOROKU_YMD</t>
  </si>
  <si>
    <t>健康保険証記号番号</t>
    <rPh sb="0" eb="2">
      <t>ケンコウ</t>
    </rPh>
    <rPh sb="2" eb="4">
      <t>ホケン</t>
    </rPh>
    <rPh sb="4" eb="5">
      <t>ショウ</t>
    </rPh>
    <rPh sb="5" eb="7">
      <t>キゴウ</t>
    </rPh>
    <rPh sb="7" eb="9">
      <t>バンゴウ</t>
    </rPh>
    <phoneticPr fontId="10"/>
  </si>
  <si>
    <t>HOKEN_NO</t>
  </si>
  <si>
    <t>健康保険証確認日</t>
    <rPh sb="0" eb="2">
      <t>ケンコウ</t>
    </rPh>
    <rPh sb="2" eb="5">
      <t>ホケンショウ</t>
    </rPh>
    <rPh sb="5" eb="7">
      <t>カクニン</t>
    </rPh>
    <rPh sb="7" eb="8">
      <t>ヒ</t>
    </rPh>
    <phoneticPr fontId="10"/>
  </si>
  <si>
    <t>HOKEN_YMD</t>
  </si>
  <si>
    <t>その他公的資料記号番号</t>
    <rPh sb="3" eb="5">
      <t>コウテキ</t>
    </rPh>
    <rPh sb="5" eb="7">
      <t>シリョウ</t>
    </rPh>
    <phoneticPr fontId="5"/>
  </si>
  <si>
    <t>その他公的資料記号番号</t>
  </si>
  <si>
    <t>その他公的資料記号番号</t>
    <rPh sb="2" eb="3">
      <t>タ</t>
    </rPh>
    <rPh sb="3" eb="5">
      <t>コウテキ</t>
    </rPh>
    <rPh sb="5" eb="7">
      <t>シリョウ</t>
    </rPh>
    <rPh sb="7" eb="9">
      <t>キゴウ</t>
    </rPh>
    <rPh sb="9" eb="11">
      <t>バンゴウ</t>
    </rPh>
    <phoneticPr fontId="10"/>
  </si>
  <si>
    <t>OTHER_NO</t>
  </si>
  <si>
    <t>その他公的資料確認日</t>
    <rPh sb="3" eb="5">
      <t>コウテキ</t>
    </rPh>
    <rPh sb="5" eb="7">
      <t>シリョウ</t>
    </rPh>
    <rPh sb="7" eb="9">
      <t>カクニン</t>
    </rPh>
    <rPh sb="9" eb="10">
      <t>ビ</t>
    </rPh>
    <phoneticPr fontId="5"/>
  </si>
  <si>
    <t>その他公的資料確認日</t>
  </si>
  <si>
    <t>その他公的資料確認日</t>
    <rPh sb="2" eb="3">
      <t>タ</t>
    </rPh>
    <rPh sb="3" eb="5">
      <t>コウテキ</t>
    </rPh>
    <rPh sb="5" eb="7">
      <t>シリョウ</t>
    </rPh>
    <rPh sb="7" eb="9">
      <t>カクニン</t>
    </rPh>
    <rPh sb="9" eb="10">
      <t>ヒ</t>
    </rPh>
    <phoneticPr fontId="10"/>
  </si>
  <si>
    <t>OTHER_NO_YMD</t>
  </si>
  <si>
    <t>漢字氏名確認日</t>
    <rPh sb="4" eb="6">
      <t>カクニン</t>
    </rPh>
    <rPh sb="6" eb="7">
      <t>ビ</t>
    </rPh>
    <phoneticPr fontId="2"/>
  </si>
  <si>
    <t>CUST_NMJ_YMD</t>
  </si>
  <si>
    <t>CUST_NMA_YMD</t>
  </si>
  <si>
    <t>性別確認日</t>
    <rPh sb="0" eb="2">
      <t>セイベツ</t>
    </rPh>
    <phoneticPr fontId="2"/>
  </si>
  <si>
    <t>SEX_KB_YMD</t>
  </si>
  <si>
    <t>CUSTADDR_YMD</t>
  </si>
  <si>
    <t>TEL_YMD</t>
  </si>
  <si>
    <t>RENTEL_YMD</t>
  </si>
  <si>
    <t>KINMTEL_YMD</t>
  </si>
  <si>
    <t>CUST_CDJ</t>
  </si>
  <si>
    <t>JICC新氏名先顧客コード</t>
  </si>
  <si>
    <t>NEWCUST_CDJ</t>
  </si>
  <si>
    <t>店番号</t>
  </si>
  <si>
    <t>店番号</t>
    <rPh sb="0" eb="1">
      <t>ミセ</t>
    </rPh>
    <rPh sb="1" eb="3">
      <t>バンゴウ</t>
    </rPh>
    <phoneticPr fontId="5"/>
  </si>
  <si>
    <t>TNPO_CD</t>
  </si>
  <si>
    <t>本人属性変更年月日</t>
  </si>
  <si>
    <t>本人属性変更年月日</t>
    <rPh sb="0" eb="2">
      <t>ホンニン</t>
    </rPh>
    <rPh sb="2" eb="4">
      <t>ゾクセイ</t>
    </rPh>
    <rPh sb="4" eb="6">
      <t>ヘンコウ</t>
    </rPh>
    <rPh sb="6" eb="9">
      <t>ネンガッピ</t>
    </rPh>
    <phoneticPr fontId="5"/>
  </si>
  <si>
    <t>PROF_YMD</t>
  </si>
  <si>
    <t>契約番号</t>
    <rPh sb="0" eb="2">
      <t>ケイヤク</t>
    </rPh>
    <rPh sb="2" eb="4">
      <t>バンゴウ</t>
    </rPh>
    <phoneticPr fontId="25"/>
  </si>
  <si>
    <t>KEIYAKU_NO</t>
  </si>
  <si>
    <t>登録識別番号</t>
    <rPh sb="0" eb="2">
      <t>トウロク</t>
    </rPh>
    <rPh sb="2" eb="4">
      <t>シキベツ</t>
    </rPh>
    <rPh sb="4" eb="6">
      <t>バンゴウ</t>
    </rPh>
    <phoneticPr fontId="25"/>
  </si>
  <si>
    <t>ENTRSIKI_NO</t>
  </si>
  <si>
    <t>-</t>
    <phoneticPr fontId="3"/>
  </si>
  <si>
    <t>取扱番号</t>
  </si>
  <si>
    <t>取扱番号</t>
    <rPh sb="0" eb="2">
      <t>トリアツカイ</t>
    </rPh>
    <rPh sb="2" eb="4">
      <t>バンゴウ</t>
    </rPh>
    <phoneticPr fontId="7"/>
  </si>
  <si>
    <t>TRIAT_NO</t>
  </si>
  <si>
    <t>変更前契約番号</t>
    <rPh sb="0" eb="2">
      <t>ヘンコウ</t>
    </rPh>
    <rPh sb="2" eb="3">
      <t>マエ</t>
    </rPh>
    <rPh sb="3" eb="5">
      <t>ケイヤク</t>
    </rPh>
    <rPh sb="5" eb="7">
      <t>バンゴウ</t>
    </rPh>
    <phoneticPr fontId="25"/>
  </si>
  <si>
    <t>MAE_KEIYAKU_NO</t>
  </si>
  <si>
    <t>変更前登録識別番号</t>
  </si>
  <si>
    <t>変更前登録識別番号</t>
    <rPh sb="0" eb="2">
      <t>ヘンコウ</t>
    </rPh>
    <rPh sb="2" eb="3">
      <t>マエ</t>
    </rPh>
    <rPh sb="3" eb="5">
      <t>トウロク</t>
    </rPh>
    <rPh sb="5" eb="7">
      <t>シキベツ</t>
    </rPh>
    <rPh sb="7" eb="9">
      <t>バンゴウ</t>
    </rPh>
    <phoneticPr fontId="25"/>
  </si>
  <si>
    <t>MAE_ENTRSIKI_NO</t>
  </si>
  <si>
    <t>変更前取扱番号</t>
  </si>
  <si>
    <t>変更前取扱番号</t>
    <rPh sb="0" eb="2">
      <t>ヘンコウ</t>
    </rPh>
    <rPh sb="2" eb="3">
      <t>マエ</t>
    </rPh>
    <rPh sb="3" eb="5">
      <t>トリアツカ</t>
    </rPh>
    <rPh sb="5" eb="7">
      <t>バンゴウ</t>
    </rPh>
    <phoneticPr fontId="5"/>
  </si>
  <si>
    <t>MAE_TRIAT_NO</t>
  </si>
  <si>
    <t>クレジット枝番号</t>
  </si>
  <si>
    <t>クレジット枝番号</t>
    <rPh sb="5" eb="6">
      <t>エダ</t>
    </rPh>
    <rPh sb="6" eb="8">
      <t>バンゴウ</t>
    </rPh>
    <phoneticPr fontId="7"/>
  </si>
  <si>
    <t>CREDIT_NO</t>
  </si>
  <si>
    <t>変更前クレジット枝番号</t>
  </si>
  <si>
    <t>変更前クレジット枝番号</t>
    <rPh sb="0" eb="2">
      <t>ヘンコウ</t>
    </rPh>
    <rPh sb="2" eb="3">
      <t>マエ</t>
    </rPh>
    <rPh sb="8" eb="9">
      <t>エダ</t>
    </rPh>
    <rPh sb="9" eb="11">
      <t>バンゴウ</t>
    </rPh>
    <phoneticPr fontId="7"/>
  </si>
  <si>
    <t>MAE_CREDIT_NO</t>
  </si>
  <si>
    <t>自社割賦区分</t>
  </si>
  <si>
    <t>自社割賦区分</t>
    <rPh sb="2" eb="4">
      <t>カップ</t>
    </rPh>
    <phoneticPr fontId="25"/>
  </si>
  <si>
    <t>KAPPU_KB</t>
  </si>
  <si>
    <t>割賦・非割賦区分</t>
  </si>
  <si>
    <t>割賦・非割賦区分</t>
    <rPh sb="0" eb="2">
      <t>カップ</t>
    </rPh>
    <rPh sb="3" eb="4">
      <t>ヒ</t>
    </rPh>
    <rPh sb="4" eb="6">
      <t>カップ</t>
    </rPh>
    <phoneticPr fontId="25"/>
  </si>
  <si>
    <t>KAPPU_HIKAPPU_KB</t>
  </si>
  <si>
    <t>締めコード</t>
  </si>
  <si>
    <t>締めコード</t>
    <rPh sb="0" eb="1">
      <t>シ</t>
    </rPh>
    <phoneticPr fontId="25"/>
  </si>
  <si>
    <t>SIME_CD</t>
  </si>
  <si>
    <t>契約額（元金のみ）</t>
  </si>
  <si>
    <t>契約額（元金のみ）</t>
    <rPh sb="0" eb="2">
      <t>ケイヤク</t>
    </rPh>
    <rPh sb="2" eb="3">
      <t>ガク</t>
    </rPh>
    <phoneticPr fontId="7"/>
  </si>
  <si>
    <t>KEIYAKU_GK</t>
  </si>
  <si>
    <t>キャッシング極度額</t>
  </si>
  <si>
    <t>キャッシング極度額</t>
    <rPh sb="6" eb="8">
      <t>キョクド</t>
    </rPh>
    <rPh sb="8" eb="9">
      <t>ガク</t>
    </rPh>
    <phoneticPr fontId="7"/>
  </si>
  <si>
    <t>C_KYOKUDO_GK</t>
  </si>
  <si>
    <t>包括個別区分
契約日</t>
    <rPh sb="0" eb="2">
      <t>ホウカツ</t>
    </rPh>
    <rPh sb="2" eb="4">
      <t>コベツ</t>
    </rPh>
    <rPh sb="4" eb="6">
      <t>クブン</t>
    </rPh>
    <rPh sb="7" eb="10">
      <t>ケイヤクビ</t>
    </rPh>
    <phoneticPr fontId="5"/>
  </si>
  <si>
    <t>・包括個別区分が「H」の場合、ALL半角スペースを設定
・包括個別区分が「K」の場合、契約日を単純移送</t>
    <rPh sb="1" eb="3">
      <t>ホウカツ</t>
    </rPh>
    <rPh sb="3" eb="5">
      <t>コベツ</t>
    </rPh>
    <rPh sb="5" eb="7">
      <t>クブン</t>
    </rPh>
    <rPh sb="12" eb="14">
      <t>バアイ</t>
    </rPh>
    <rPh sb="18" eb="20">
      <t>ハンカク</t>
    </rPh>
    <rPh sb="25" eb="27">
      <t>セッテイ</t>
    </rPh>
    <rPh sb="43" eb="46">
      <t>ケイヤクビ</t>
    </rPh>
    <rPh sb="47" eb="49">
      <t>タンジュン</t>
    </rPh>
    <rPh sb="49" eb="51">
      <t>イソウ</t>
    </rPh>
    <phoneticPr fontId="3"/>
  </si>
  <si>
    <t>貸付日</t>
    <rPh sb="0" eb="2">
      <t>カシツケ</t>
    </rPh>
    <rPh sb="2" eb="3">
      <t>ビ</t>
    </rPh>
    <phoneticPr fontId="7"/>
  </si>
  <si>
    <t>KASI_YMD</t>
  </si>
  <si>
    <t>貸付額</t>
    <rPh sb="0" eb="2">
      <t>カシツケ</t>
    </rPh>
    <rPh sb="2" eb="3">
      <t>ガク</t>
    </rPh>
    <phoneticPr fontId="7"/>
  </si>
  <si>
    <t>KASI_GK</t>
  </si>
  <si>
    <t>・包括個別区分が「H」の場合、契約日を単純移送
・包括個別区分が「K」の場合、ALL半角スペースを設定</t>
    <rPh sb="1" eb="3">
      <t>ホウカツ</t>
    </rPh>
    <rPh sb="3" eb="5">
      <t>コベツ</t>
    </rPh>
    <rPh sb="5" eb="7">
      <t>クブン</t>
    </rPh>
    <rPh sb="12" eb="14">
      <t>バアイ</t>
    </rPh>
    <phoneticPr fontId="3"/>
  </si>
  <si>
    <t>契約日</t>
    <rPh sb="0" eb="2">
      <t>ケイヤク</t>
    </rPh>
    <rPh sb="2" eb="3">
      <t>ヒ</t>
    </rPh>
    <phoneticPr fontId="7"/>
  </si>
  <si>
    <t>KEIYAKU_YMD</t>
  </si>
  <si>
    <t>SKIN_YMD</t>
  </si>
  <si>
    <t>出金額</t>
    <rPh sb="0" eb="2">
      <t>シュッキン</t>
    </rPh>
    <rPh sb="2" eb="3">
      <t>ガク</t>
    </rPh>
    <phoneticPr fontId="7"/>
  </si>
  <si>
    <t>SKIN_GK</t>
  </si>
  <si>
    <t>入金日</t>
    <rPh sb="0" eb="2">
      <t>ニュウキン</t>
    </rPh>
    <rPh sb="2" eb="3">
      <t>ヒ</t>
    </rPh>
    <phoneticPr fontId="7"/>
  </si>
  <si>
    <t>NKIN_YMD</t>
  </si>
  <si>
    <t>NKINOLN_YMD</t>
  </si>
  <si>
    <t>割賦残債額</t>
  </si>
  <si>
    <t>割賦残債額</t>
    <rPh sb="0" eb="2">
      <t>カップ</t>
    </rPh>
    <rPh sb="2" eb="4">
      <t>ザンサイ</t>
    </rPh>
    <rPh sb="4" eb="5">
      <t>ガク</t>
    </rPh>
    <phoneticPr fontId="7"/>
  </si>
  <si>
    <t>K_ZANSAI_GK</t>
  </si>
  <si>
    <t>キャッシング残債額</t>
  </si>
  <si>
    <t>キャッシング残債額</t>
    <rPh sb="6" eb="8">
      <t>ザンサイ</t>
    </rPh>
    <rPh sb="8" eb="9">
      <t>ガク</t>
    </rPh>
    <phoneticPr fontId="7"/>
  </si>
  <si>
    <t>C_ZANSAI_GK</t>
  </si>
  <si>
    <t>支払回数</t>
    <rPh sb="0" eb="2">
      <t>シハライ</t>
    </rPh>
    <rPh sb="2" eb="4">
      <t>カイスウ</t>
    </rPh>
    <phoneticPr fontId="7"/>
  </si>
  <si>
    <t>SHIHARAI_KS</t>
  </si>
  <si>
    <t>年間請求予定額</t>
  </si>
  <si>
    <t>年間請求予定額</t>
    <rPh sb="0" eb="2">
      <t>ネンカン</t>
    </rPh>
    <rPh sb="2" eb="4">
      <t>セイキュウ</t>
    </rPh>
    <rPh sb="4" eb="6">
      <t>ヨテイ</t>
    </rPh>
    <rPh sb="6" eb="7">
      <t>ガク</t>
    </rPh>
    <phoneticPr fontId="7"/>
  </si>
  <si>
    <t>YEAR_SEIKYU_GK</t>
  </si>
  <si>
    <t>重複加盟区分</t>
    <rPh sb="0" eb="2">
      <t>チョウフク</t>
    </rPh>
    <rPh sb="2" eb="4">
      <t>カメイ</t>
    </rPh>
    <rPh sb="4" eb="6">
      <t>クブン</t>
    </rPh>
    <phoneticPr fontId="7"/>
  </si>
  <si>
    <t>CHOFUKU_KB_CF2</t>
  </si>
  <si>
    <t>契約管理区分</t>
    <rPh sb="0" eb="2">
      <t>ケイヤク</t>
    </rPh>
    <rPh sb="2" eb="4">
      <t>カンリ</t>
    </rPh>
    <rPh sb="4" eb="6">
      <t>クブン</t>
    </rPh>
    <phoneticPr fontId="7"/>
  </si>
  <si>
    <t>KEIYAKU_KKB</t>
  </si>
  <si>
    <t>商品コード1（CIC）</t>
  </si>
  <si>
    <t>商品コード1（CIC）</t>
    <rPh sb="0" eb="2">
      <t>ショウヒン</t>
    </rPh>
    <phoneticPr fontId="7"/>
  </si>
  <si>
    <t>SHOHIN_CD1C</t>
  </si>
  <si>
    <t>数量・回数・期間1（CIC）</t>
  </si>
  <si>
    <t>数量・回数・期間1（CIC）</t>
    <rPh sb="0" eb="2">
      <t>スウリョウ</t>
    </rPh>
    <rPh sb="3" eb="5">
      <t>カイスウ</t>
    </rPh>
    <rPh sb="6" eb="8">
      <t>キカン</t>
    </rPh>
    <phoneticPr fontId="7"/>
  </si>
  <si>
    <t>SUURYO_KAISUU1C</t>
  </si>
  <si>
    <t>商品コード2（CIC）</t>
  </si>
  <si>
    <t>商品コード2（CIC）</t>
    <rPh sb="0" eb="2">
      <t>ショウヒン</t>
    </rPh>
    <phoneticPr fontId="7"/>
  </si>
  <si>
    <t>SHOHIN_CD2C</t>
  </si>
  <si>
    <t>数量・回数・期間2（CIC）</t>
  </si>
  <si>
    <t>数量・回数・期間2（CIC）</t>
    <rPh sb="0" eb="2">
      <t>スウリョウ</t>
    </rPh>
    <rPh sb="3" eb="5">
      <t>カイスウ</t>
    </rPh>
    <rPh sb="6" eb="8">
      <t>キカン</t>
    </rPh>
    <phoneticPr fontId="7"/>
  </si>
  <si>
    <t>SUURYO_KAISUU2C</t>
  </si>
  <si>
    <t>商品コード3（CIC）</t>
  </si>
  <si>
    <t>商品コード3（CIC）</t>
    <rPh sb="0" eb="2">
      <t>ショウヒン</t>
    </rPh>
    <phoneticPr fontId="7"/>
  </si>
  <si>
    <t>SHOHIN_CD3C</t>
  </si>
  <si>
    <t>数量・回数・期間3（CIC）</t>
  </si>
  <si>
    <t>数量・回数・期間3（CIC）</t>
    <rPh sb="0" eb="2">
      <t>スウリョウ</t>
    </rPh>
    <rPh sb="3" eb="5">
      <t>カイスウ</t>
    </rPh>
    <rPh sb="6" eb="8">
      <t>キカン</t>
    </rPh>
    <phoneticPr fontId="7"/>
  </si>
  <si>
    <t>SUURYO_KAISUU3C</t>
  </si>
  <si>
    <t>契約終了予定日</t>
    <rPh sb="0" eb="2">
      <t>ケイヤク</t>
    </rPh>
    <rPh sb="2" eb="4">
      <t>シュウリョウ</t>
    </rPh>
    <rPh sb="4" eb="7">
      <t>ヨテイビ</t>
    </rPh>
    <phoneticPr fontId="7"/>
  </si>
  <si>
    <t>KEIYAKU_SY_YMD</t>
  </si>
  <si>
    <t>THOS_UM</t>
  </si>
  <si>
    <t>報告日</t>
    <rPh sb="0" eb="2">
      <t>ホウコク</t>
    </rPh>
    <rPh sb="2" eb="3">
      <t>ビ</t>
    </rPh>
    <phoneticPr fontId="7"/>
  </si>
  <si>
    <t>HOUKOKU_YMD</t>
  </si>
  <si>
    <t>契約額（元利合算）</t>
  </si>
  <si>
    <t>KEIYAKU_T_GK</t>
  </si>
  <si>
    <t>極度額（CIC）</t>
  </si>
  <si>
    <t>極度額（CIC）</t>
    <rPh sb="0" eb="2">
      <t>キョクド</t>
    </rPh>
    <rPh sb="2" eb="3">
      <t>ガク</t>
    </rPh>
    <phoneticPr fontId="25"/>
  </si>
  <si>
    <t>KYOKUDO_GKC</t>
  </si>
  <si>
    <t>確定日</t>
    <rPh sb="0" eb="2">
      <t>カクテイ</t>
    </rPh>
    <rPh sb="2" eb="3">
      <t>ビ</t>
    </rPh>
    <phoneticPr fontId="7"/>
  </si>
  <si>
    <t>KAKUTEI_YMD</t>
  </si>
  <si>
    <t>残高（CIC）</t>
  </si>
  <si>
    <t>ZAN_GKC</t>
  </si>
  <si>
    <t>キャッシング残高</t>
  </si>
  <si>
    <t>キャッシング残高</t>
    <rPh sb="6" eb="7">
      <t>ザン</t>
    </rPh>
    <rPh sb="7" eb="8">
      <t>ダカ</t>
    </rPh>
    <phoneticPr fontId="7"/>
  </si>
  <si>
    <t>C_ZAN_GK</t>
  </si>
  <si>
    <t>前月残高</t>
  </si>
  <si>
    <t>前月残高</t>
    <rPh sb="0" eb="2">
      <t>ゼンゲツ</t>
    </rPh>
    <rPh sb="2" eb="3">
      <t>ザン</t>
    </rPh>
    <rPh sb="3" eb="4">
      <t>ダカ</t>
    </rPh>
    <phoneticPr fontId="7"/>
  </si>
  <si>
    <t>ZENZAN_GK</t>
  </si>
  <si>
    <t>キャッシング前月残高</t>
  </si>
  <si>
    <t>キャッシング前月残高</t>
    <rPh sb="6" eb="8">
      <t>ゼンゲツ</t>
    </rPh>
    <rPh sb="8" eb="9">
      <t>ザン</t>
    </rPh>
    <rPh sb="9" eb="10">
      <t>ダカ</t>
    </rPh>
    <phoneticPr fontId="7"/>
  </si>
  <si>
    <t>C_ZENZAN_GK</t>
  </si>
  <si>
    <t>利用累計額</t>
  </si>
  <si>
    <t>利用累計額</t>
    <rPh sb="0" eb="2">
      <t>リヨウ</t>
    </rPh>
    <rPh sb="2" eb="4">
      <t>ルイケイ</t>
    </rPh>
    <rPh sb="4" eb="5">
      <t>ガク</t>
    </rPh>
    <phoneticPr fontId="7"/>
  </si>
  <si>
    <t>RIYOR_GK</t>
  </si>
  <si>
    <t>キャッシング利用累計額</t>
  </si>
  <si>
    <t>キャッシング利用累計額</t>
    <rPh sb="6" eb="8">
      <t>リヨウ</t>
    </rPh>
    <rPh sb="8" eb="10">
      <t>ルイケイ</t>
    </rPh>
    <rPh sb="10" eb="11">
      <t>ガク</t>
    </rPh>
    <phoneticPr fontId="7"/>
  </si>
  <si>
    <t>C_RIYOR_GK</t>
  </si>
  <si>
    <t>支払累計額</t>
  </si>
  <si>
    <t>支払累計額</t>
    <rPh sb="0" eb="2">
      <t>シハライ</t>
    </rPh>
    <rPh sb="2" eb="4">
      <t>ルイケイ</t>
    </rPh>
    <rPh sb="4" eb="5">
      <t>ガク</t>
    </rPh>
    <phoneticPr fontId="7"/>
  </si>
  <si>
    <t>SHIHARAIR_GK</t>
  </si>
  <si>
    <t>キャッシング支払累計額</t>
  </si>
  <si>
    <t>キャッシング支払累計額</t>
    <rPh sb="6" eb="8">
      <t>シハライ</t>
    </rPh>
    <rPh sb="8" eb="10">
      <t>ルイケイ</t>
    </rPh>
    <rPh sb="10" eb="11">
      <t>ガク</t>
    </rPh>
    <phoneticPr fontId="7"/>
  </si>
  <si>
    <t>C_SHIHARAIR_GK</t>
  </si>
  <si>
    <t>残高重複有無</t>
    <rPh sb="0" eb="1">
      <t>ザン</t>
    </rPh>
    <rPh sb="1" eb="2">
      <t>ダカ</t>
    </rPh>
    <rPh sb="2" eb="4">
      <t>チョウフク</t>
    </rPh>
    <rPh sb="4" eb="6">
      <t>ウム</t>
    </rPh>
    <phoneticPr fontId="7"/>
  </si>
  <si>
    <t>ZN_CHUHUKU_UM</t>
  </si>
  <si>
    <t>終了コメント（日次）</t>
  </si>
  <si>
    <t>終了コメント（日次）</t>
    <rPh sb="0" eb="2">
      <t>シュウリョウ</t>
    </rPh>
    <rPh sb="7" eb="9">
      <t>ニチジ</t>
    </rPh>
    <phoneticPr fontId="7"/>
  </si>
  <si>
    <t>SYURYO_CMD</t>
  </si>
  <si>
    <t>終了コメント（月次）</t>
  </si>
  <si>
    <t>終了コメント（月次）</t>
    <rPh sb="0" eb="2">
      <t>シュウリョウ</t>
    </rPh>
    <rPh sb="7" eb="9">
      <t>ゲツジ</t>
    </rPh>
    <phoneticPr fontId="7"/>
  </si>
  <si>
    <t>SYURYO_CMM</t>
  </si>
  <si>
    <t>入金区分（CIC）</t>
  </si>
  <si>
    <t>入金区分（CIC）</t>
    <rPh sb="0" eb="2">
      <t>ニュウキン</t>
    </rPh>
    <rPh sb="2" eb="4">
      <t>クブン</t>
    </rPh>
    <phoneticPr fontId="7"/>
  </si>
  <si>
    <t>NYUKIN_KBC</t>
  </si>
  <si>
    <t>請求額</t>
  </si>
  <si>
    <t>請求額</t>
    <rPh sb="0" eb="2">
      <t>セイキュウ</t>
    </rPh>
    <rPh sb="2" eb="3">
      <t>ガク</t>
    </rPh>
    <phoneticPr fontId="7"/>
  </si>
  <si>
    <t>SEIKYU_GK</t>
  </si>
  <si>
    <t>入金額</t>
  </si>
  <si>
    <t>入金額</t>
    <rPh sb="0" eb="2">
      <t>ニュウキン</t>
    </rPh>
    <rPh sb="2" eb="3">
      <t>ガク</t>
    </rPh>
    <phoneticPr fontId="7"/>
  </si>
  <si>
    <t>NYUKIN_GK</t>
  </si>
  <si>
    <t>金額</t>
  </si>
  <si>
    <t>金額</t>
    <rPh sb="0" eb="2">
      <t>キンガク</t>
    </rPh>
    <phoneticPr fontId="7"/>
  </si>
  <si>
    <t>KINGAKU</t>
  </si>
  <si>
    <t>保証履行額</t>
  </si>
  <si>
    <t>保証履行額</t>
    <rPh sb="0" eb="2">
      <t>ホショウ</t>
    </rPh>
    <rPh sb="2" eb="4">
      <t>リコウ</t>
    </rPh>
    <rPh sb="4" eb="5">
      <t>ガク</t>
    </rPh>
    <phoneticPr fontId="7"/>
  </si>
  <si>
    <t>HOSYOR_GK</t>
  </si>
  <si>
    <t>支払停止申立有無</t>
    <rPh sb="0" eb="2">
      <t>シハライ</t>
    </rPh>
    <rPh sb="2" eb="4">
      <t>テイシ</t>
    </rPh>
    <rPh sb="4" eb="6">
      <t>モウシタテ</t>
    </rPh>
    <rPh sb="6" eb="8">
      <t>ウム</t>
    </rPh>
    <phoneticPr fontId="7"/>
  </si>
  <si>
    <t>SIHARAITEISI_UM</t>
  </si>
  <si>
    <t>法定途上サービスコメント</t>
    <rPh sb="0" eb="2">
      <t>ホウテイ</t>
    </rPh>
    <rPh sb="2" eb="4">
      <t>トジョウ</t>
    </rPh>
    <phoneticPr fontId="7"/>
  </si>
  <si>
    <t>HOUTOS_CM</t>
  </si>
  <si>
    <t>MONIT_CM</t>
  </si>
  <si>
    <t>加盟店コード</t>
    <rPh sb="0" eb="2">
      <t>カメイ</t>
    </rPh>
    <rPh sb="2" eb="3">
      <t>テン</t>
    </rPh>
    <phoneticPr fontId="7"/>
  </si>
  <si>
    <t>KAMEI_CD</t>
  </si>
  <si>
    <t>取引形態区分</t>
    <rPh sb="4" eb="6">
      <t>クブン</t>
    </rPh>
    <phoneticPr fontId="25"/>
  </si>
  <si>
    <t>TRHIKTAI_KB</t>
  </si>
  <si>
    <t>重複債権区分</t>
  </si>
  <si>
    <t>重複債権区分</t>
    <rPh sb="0" eb="2">
      <t>チョウフク</t>
    </rPh>
    <rPh sb="2" eb="4">
      <t>サイケン</t>
    </rPh>
    <rPh sb="4" eb="6">
      <t>クブン</t>
    </rPh>
    <phoneticPr fontId="7"/>
  </si>
  <si>
    <t>CHOFUKU_KB_FM</t>
  </si>
  <si>
    <t>HKTKBT_KB</t>
  </si>
  <si>
    <t>同意区分（FD）</t>
    <rPh sb="0" eb="2">
      <t>ドウイ</t>
    </rPh>
    <rPh sb="2" eb="4">
      <t>クブン</t>
    </rPh>
    <phoneticPr fontId="7"/>
  </si>
  <si>
    <t>DOUI_KBD</t>
  </si>
  <si>
    <t>同意区分（FM）</t>
  </si>
  <si>
    <t>同意区分（FM）</t>
    <rPh sb="0" eb="2">
      <t>ドウイ</t>
    </rPh>
    <rPh sb="2" eb="4">
      <t>クブン</t>
    </rPh>
    <phoneticPr fontId="7"/>
  </si>
  <si>
    <t>DOUI_KBM</t>
  </si>
  <si>
    <t>HG_HIKI_KB</t>
  </si>
  <si>
    <t>保証人・連帯債務識別区分</t>
    <rPh sb="0" eb="2">
      <t>ホショウ</t>
    </rPh>
    <rPh sb="2" eb="3">
      <t>ニン</t>
    </rPh>
    <rPh sb="4" eb="6">
      <t>レンタイ</t>
    </rPh>
    <rPh sb="6" eb="8">
      <t>サイム</t>
    </rPh>
    <rPh sb="8" eb="10">
      <t>シキベツ</t>
    </rPh>
    <rPh sb="10" eb="12">
      <t>クブン</t>
    </rPh>
    <phoneticPr fontId="7"/>
  </si>
  <si>
    <t>HOSYO_KB</t>
  </si>
  <si>
    <t>法令金額区分</t>
    <rPh sb="0" eb="2">
      <t>ホウレイ</t>
    </rPh>
    <rPh sb="2" eb="4">
      <t>キンガク</t>
    </rPh>
    <rPh sb="4" eb="6">
      <t>クブン</t>
    </rPh>
    <phoneticPr fontId="7"/>
  </si>
  <si>
    <t>HOUREI_KB</t>
  </si>
  <si>
    <t>保証額</t>
    <rPh sb="0" eb="2">
      <t>ホショウ</t>
    </rPh>
    <rPh sb="2" eb="3">
      <t>ガク</t>
    </rPh>
    <phoneticPr fontId="7"/>
  </si>
  <si>
    <t>HOSYO_GK</t>
  </si>
  <si>
    <t>残高確認日</t>
    <rPh sb="0" eb="1">
      <t>ザン</t>
    </rPh>
    <rPh sb="1" eb="2">
      <t>ダカ</t>
    </rPh>
    <rPh sb="2" eb="4">
      <t>カクニン</t>
    </rPh>
    <rPh sb="4" eb="5">
      <t>ビ</t>
    </rPh>
    <phoneticPr fontId="7"/>
  </si>
  <si>
    <t>ZAN_CHECK_YMD</t>
  </si>
  <si>
    <t>完済日</t>
    <rPh sb="0" eb="2">
      <t>カンサイ</t>
    </rPh>
    <rPh sb="2" eb="3">
      <t>ビ</t>
    </rPh>
    <phoneticPr fontId="7"/>
  </si>
  <si>
    <t>KNSI_YMD</t>
  </si>
  <si>
    <t>譲渡日</t>
    <rPh sb="0" eb="2">
      <t>ジョウト</t>
    </rPh>
    <rPh sb="2" eb="3">
      <t>ビ</t>
    </rPh>
    <phoneticPr fontId="26"/>
  </si>
  <si>
    <t>譲渡日</t>
  </si>
  <si>
    <t>譲渡日</t>
    <rPh sb="0" eb="2">
      <t>ジョウト</t>
    </rPh>
    <rPh sb="2" eb="3">
      <t>ビ</t>
    </rPh>
    <phoneticPr fontId="7"/>
  </si>
  <si>
    <t>JOTO_YMD</t>
  </si>
  <si>
    <t>支払サイクル</t>
  </si>
  <si>
    <t>SHIHARAI_C</t>
  </si>
  <si>
    <t>年間支払予定額基準日</t>
  </si>
  <si>
    <t>年間支払予定額基準日</t>
    <rPh sb="0" eb="2">
      <t>ネンカン</t>
    </rPh>
    <rPh sb="2" eb="4">
      <t>シハライ</t>
    </rPh>
    <rPh sb="4" eb="6">
      <t>ヨテイ</t>
    </rPh>
    <rPh sb="6" eb="7">
      <t>ガク</t>
    </rPh>
    <rPh sb="7" eb="10">
      <t>キジュンビ</t>
    </rPh>
    <phoneticPr fontId="25"/>
  </si>
  <si>
    <t>YEAR_SHIHARAI_YMD</t>
  </si>
  <si>
    <t>極度額（JICC）</t>
  </si>
  <si>
    <t>極度額（JICC）</t>
    <rPh sb="0" eb="2">
      <t>キョクド</t>
    </rPh>
    <rPh sb="2" eb="3">
      <t>ガク</t>
    </rPh>
    <phoneticPr fontId="25"/>
  </si>
  <si>
    <t>KYOKUDO_GKJ</t>
  </si>
  <si>
    <t>残高（JICC）</t>
    <rPh sb="0" eb="2">
      <t>ザンダカ</t>
    </rPh>
    <phoneticPr fontId="25"/>
  </si>
  <si>
    <t>ZAN_GKJ</t>
  </si>
  <si>
    <t>商品コード1（JICC）</t>
  </si>
  <si>
    <t>商品コード1（JICC）</t>
    <rPh sb="0" eb="2">
      <t>ショウヒン</t>
    </rPh>
    <phoneticPr fontId="7"/>
  </si>
  <si>
    <t>SHOHIN_CD1J</t>
  </si>
  <si>
    <t>数量・回数・期間1（JICC）</t>
  </si>
  <si>
    <t>数量・回数・期間1（JICC）</t>
    <rPh sb="0" eb="2">
      <t>スウリョウ</t>
    </rPh>
    <rPh sb="3" eb="5">
      <t>カイスウ</t>
    </rPh>
    <rPh sb="6" eb="8">
      <t>キカン</t>
    </rPh>
    <phoneticPr fontId="7"/>
  </si>
  <si>
    <t>SUURYO_KAISUU1J</t>
  </si>
  <si>
    <t>商品コード2（JICC）</t>
  </si>
  <si>
    <t>商品コード2（JICC）</t>
    <rPh sb="0" eb="2">
      <t>ショウヒン</t>
    </rPh>
    <phoneticPr fontId="7"/>
  </si>
  <si>
    <t>SHOHIN_CD2J</t>
  </si>
  <si>
    <t>数量・回数・期間2（JICC）</t>
  </si>
  <si>
    <t>数量・回数・期間2（JICC）</t>
    <rPh sb="0" eb="2">
      <t>スウリョウ</t>
    </rPh>
    <rPh sb="3" eb="5">
      <t>カイスウ</t>
    </rPh>
    <rPh sb="6" eb="8">
      <t>キカン</t>
    </rPh>
    <phoneticPr fontId="7"/>
  </si>
  <si>
    <t>SUURYO_KAISUU2J</t>
  </si>
  <si>
    <t>商品コード3（JICC）</t>
  </si>
  <si>
    <t>商品コード3（JICC）</t>
    <rPh sb="0" eb="2">
      <t>ショウヒン</t>
    </rPh>
    <phoneticPr fontId="7"/>
  </si>
  <si>
    <t>SHOHIN_CD3J</t>
  </si>
  <si>
    <t>数量・回数・期間3（JICC）</t>
  </si>
  <si>
    <t>数量・回数・期間3（JICC）</t>
    <rPh sb="0" eb="2">
      <t>スウリョウ</t>
    </rPh>
    <rPh sb="3" eb="5">
      <t>カイスウ</t>
    </rPh>
    <rPh sb="6" eb="8">
      <t>キカン</t>
    </rPh>
    <phoneticPr fontId="7"/>
  </si>
  <si>
    <t>SUURYO_KAISUU3J</t>
  </si>
  <si>
    <t>取消理由区分</t>
    <rPh sb="0" eb="2">
      <t>トリケシ</t>
    </rPh>
    <rPh sb="2" eb="4">
      <t>リユウ</t>
    </rPh>
    <rPh sb="4" eb="6">
      <t>クブン</t>
    </rPh>
    <phoneticPr fontId="5"/>
  </si>
  <si>
    <t>取消理由区分</t>
  </si>
  <si>
    <t>TORIRY_KB</t>
  </si>
  <si>
    <t>取引種類</t>
  </si>
  <si>
    <t>取引種類</t>
    <rPh sb="0" eb="2">
      <t>トリヒキ</t>
    </rPh>
    <rPh sb="2" eb="4">
      <t>シュルイ</t>
    </rPh>
    <phoneticPr fontId="3"/>
  </si>
  <si>
    <t>TRHI_SYURUI</t>
  </si>
  <si>
    <t>従属者識別コード</t>
  </si>
  <si>
    <t>従属者識別コード</t>
    <rPh sb="0" eb="2">
      <t>ジュウゾク</t>
    </rPh>
    <rPh sb="2" eb="3">
      <t>シャ</t>
    </rPh>
    <rPh sb="3" eb="5">
      <t>シキベツ</t>
    </rPh>
    <phoneticPr fontId="3"/>
  </si>
  <si>
    <t>JUZOKU_SK_CD</t>
  </si>
  <si>
    <t>成約日／実行日</t>
  </si>
  <si>
    <t>成約日／実行日</t>
    <rPh sb="0" eb="2">
      <t>セイヤク</t>
    </rPh>
    <rPh sb="2" eb="3">
      <t>ビ</t>
    </rPh>
    <rPh sb="4" eb="7">
      <t>ジッコウビ</t>
    </rPh>
    <phoneticPr fontId="3"/>
  </si>
  <si>
    <t>SEIYAKU_YMD</t>
  </si>
  <si>
    <t>カード限度額管理識別番号</t>
  </si>
  <si>
    <t>GENDO_SK_CD</t>
  </si>
  <si>
    <t>限度額／当初貸出額</t>
  </si>
  <si>
    <t>限度額／当初貸出額</t>
    <rPh sb="0" eb="2">
      <t>ゲンド</t>
    </rPh>
    <rPh sb="2" eb="3">
      <t>ガク</t>
    </rPh>
    <rPh sb="4" eb="6">
      <t>トウショ</t>
    </rPh>
    <rPh sb="6" eb="8">
      <t>カシダシ</t>
    </rPh>
    <rPh sb="8" eb="9">
      <t>ガク</t>
    </rPh>
    <phoneticPr fontId="3"/>
  </si>
  <si>
    <t>GENDO_GK</t>
  </si>
  <si>
    <t>内カードローン限度額</t>
  </si>
  <si>
    <t>内カードローン限度額</t>
    <rPh sb="0" eb="1">
      <t>ウチ</t>
    </rPh>
    <rPh sb="7" eb="9">
      <t>ゲンド</t>
    </rPh>
    <rPh sb="9" eb="10">
      <t>ガク</t>
    </rPh>
    <phoneticPr fontId="3"/>
  </si>
  <si>
    <t>L_GENDO_GK</t>
  </si>
  <si>
    <t>内キャッシング限度額</t>
  </si>
  <si>
    <t>内キャッシング限度額</t>
    <rPh sb="0" eb="1">
      <t>ウチ</t>
    </rPh>
    <rPh sb="7" eb="9">
      <t>ゲンド</t>
    </rPh>
    <rPh sb="9" eb="10">
      <t>ガク</t>
    </rPh>
    <phoneticPr fontId="3"/>
  </si>
  <si>
    <t>C_GENDO_GK</t>
  </si>
  <si>
    <t>設定期限／最終返済日</t>
  </si>
  <si>
    <t>設定期限／最終返済日</t>
    <rPh sb="0" eb="2">
      <t>セッテイ</t>
    </rPh>
    <rPh sb="2" eb="4">
      <t>キゲン</t>
    </rPh>
    <rPh sb="5" eb="7">
      <t>サイシュウ</t>
    </rPh>
    <rPh sb="7" eb="10">
      <t>ヘンサイビ</t>
    </rPh>
    <phoneticPr fontId="3"/>
  </si>
  <si>
    <t>KIGEN_YMD</t>
  </si>
  <si>
    <t>消費性・事業性区分</t>
  </si>
  <si>
    <t>消費性・事業性区分</t>
    <rPh sb="0" eb="2">
      <t>ショウヒ</t>
    </rPh>
    <rPh sb="2" eb="3">
      <t>セイ</t>
    </rPh>
    <rPh sb="4" eb="6">
      <t>ジギョウ</t>
    </rPh>
    <rPh sb="6" eb="7">
      <t>セイ</t>
    </rPh>
    <rPh sb="7" eb="9">
      <t>クブン</t>
    </rPh>
    <phoneticPr fontId="3"/>
  </si>
  <si>
    <t>SHOHI_JIGYO_KB</t>
  </si>
  <si>
    <t>使途区分</t>
  </si>
  <si>
    <t>使途区分</t>
    <rPh sb="0" eb="2">
      <t>シト</t>
    </rPh>
    <rPh sb="2" eb="4">
      <t>クブン</t>
    </rPh>
    <phoneticPr fontId="3"/>
  </si>
  <si>
    <t>SITO_KB</t>
  </si>
  <si>
    <t>担保有無</t>
  </si>
  <si>
    <t>TAMPO_UM</t>
  </si>
  <si>
    <t>返済区分発生日</t>
  </si>
  <si>
    <t>返済区分発生日</t>
    <rPh sb="0" eb="2">
      <t>ヘンサイ</t>
    </rPh>
    <rPh sb="2" eb="4">
      <t>クブン</t>
    </rPh>
    <rPh sb="4" eb="7">
      <t>ハッセイビ</t>
    </rPh>
    <phoneticPr fontId="3"/>
  </si>
  <si>
    <t>HNSI_YMB</t>
  </si>
  <si>
    <t>返済区分</t>
  </si>
  <si>
    <t>返済区分</t>
    <rPh sb="0" eb="2">
      <t>ヘンサイ</t>
    </rPh>
    <rPh sb="2" eb="4">
      <t>クブン</t>
    </rPh>
    <phoneticPr fontId="3"/>
  </si>
  <si>
    <t>HNSI_KB</t>
  </si>
  <si>
    <t>延滞解消日</t>
    <rPh sb="0" eb="2">
      <t>エンタイ</t>
    </rPh>
    <rPh sb="2" eb="4">
      <t>カイショウ</t>
    </rPh>
    <rPh sb="4" eb="5">
      <t>ビ</t>
    </rPh>
    <phoneticPr fontId="3"/>
  </si>
  <si>
    <t>ENTAI_KS_YMD</t>
  </si>
  <si>
    <t>完了区分発生日</t>
  </si>
  <si>
    <t>完了区分発生日</t>
    <rPh sb="0" eb="2">
      <t>カンリョウ</t>
    </rPh>
    <rPh sb="2" eb="4">
      <t>クブン</t>
    </rPh>
    <rPh sb="4" eb="7">
      <t>ハッセイビ</t>
    </rPh>
    <phoneticPr fontId="3"/>
  </si>
  <si>
    <t>KANRYO_YMD</t>
  </si>
  <si>
    <t>完了区分</t>
  </si>
  <si>
    <t>完了区分</t>
    <rPh sb="0" eb="2">
      <t>カンリョウ</t>
    </rPh>
    <rPh sb="2" eb="4">
      <t>クブン</t>
    </rPh>
    <phoneticPr fontId="3"/>
  </si>
  <si>
    <t>KANRYO_KB</t>
  </si>
  <si>
    <t>保証限度額</t>
  </si>
  <si>
    <t>保証限度額</t>
    <rPh sb="0" eb="2">
      <t>ホショウ</t>
    </rPh>
    <rPh sb="2" eb="4">
      <t>ゲンド</t>
    </rPh>
    <rPh sb="4" eb="5">
      <t>ガク</t>
    </rPh>
    <phoneticPr fontId="3"/>
  </si>
  <si>
    <t>HOSYO_GENDO_GK</t>
  </si>
  <si>
    <t>保証期限</t>
  </si>
  <si>
    <t>保証期限</t>
    <rPh sb="0" eb="2">
      <t>ホショウ</t>
    </rPh>
    <rPh sb="2" eb="4">
      <t>キゲン</t>
    </rPh>
    <phoneticPr fontId="3"/>
  </si>
  <si>
    <t>HOSYO_KIGEN_YMD</t>
  </si>
  <si>
    <t>保証依頼元会員コード</t>
  </si>
  <si>
    <t>保証依頼元会員コード</t>
    <rPh sb="0" eb="2">
      <t>ホショウ</t>
    </rPh>
    <rPh sb="2" eb="4">
      <t>イライ</t>
    </rPh>
    <rPh sb="4" eb="5">
      <t>モト</t>
    </rPh>
    <rPh sb="5" eb="7">
      <t>カイイン</t>
    </rPh>
    <phoneticPr fontId="3"/>
  </si>
  <si>
    <t>HOSYO_KAIIN_CD</t>
  </si>
  <si>
    <t>取消理由コード</t>
  </si>
  <si>
    <t>取消理由コード</t>
    <rPh sb="0" eb="2">
      <t>トリケシ</t>
    </rPh>
    <rPh sb="2" eb="4">
      <t>リユウ</t>
    </rPh>
    <phoneticPr fontId="3"/>
  </si>
  <si>
    <t>TORIRY_CD</t>
  </si>
  <si>
    <t>会員独自管理番号</t>
  </si>
  <si>
    <t>会員独自管理番号</t>
    <rPh sb="0" eb="2">
      <t>カイイン</t>
    </rPh>
    <rPh sb="2" eb="4">
      <t>ドクジ</t>
    </rPh>
    <rPh sb="4" eb="6">
      <t>カンリ</t>
    </rPh>
    <rPh sb="6" eb="8">
      <t>バンゴウ</t>
    </rPh>
    <phoneticPr fontId="3"/>
  </si>
  <si>
    <t>KAIIN_KANRI_CD</t>
  </si>
  <si>
    <t>残債額更新日</t>
  </si>
  <si>
    <t>残債額更新日</t>
    <rPh sb="0" eb="2">
      <t>ザンサイ</t>
    </rPh>
    <rPh sb="2" eb="3">
      <t>ガク</t>
    </rPh>
    <rPh sb="3" eb="6">
      <t>コウシンビ</t>
    </rPh>
    <phoneticPr fontId="3"/>
  </si>
  <si>
    <t>ZANSAI_GK_YMD</t>
  </si>
  <si>
    <t>残債額</t>
  </si>
  <si>
    <t>残債額</t>
    <rPh sb="0" eb="2">
      <t>ザンサイ</t>
    </rPh>
    <rPh sb="2" eb="3">
      <t>ガク</t>
    </rPh>
    <phoneticPr fontId="3"/>
  </si>
  <si>
    <t>ZANSAI_GK</t>
  </si>
  <si>
    <t>内カードローン残債額</t>
  </si>
  <si>
    <t>内カードローン残債額</t>
    <rPh sb="0" eb="1">
      <t>ウチ</t>
    </rPh>
    <rPh sb="7" eb="9">
      <t>ザンサイ</t>
    </rPh>
    <rPh sb="9" eb="10">
      <t>ガク</t>
    </rPh>
    <phoneticPr fontId="3"/>
  </si>
  <si>
    <t>L_ZANSAI_GK</t>
  </si>
  <si>
    <t>内キャッシング残債額</t>
  </si>
  <si>
    <t>内キャッシング残債額</t>
    <rPh sb="0" eb="1">
      <t>ウチ</t>
    </rPh>
    <rPh sb="7" eb="9">
      <t>ザンサイ</t>
    </rPh>
    <rPh sb="9" eb="10">
      <t>ガク</t>
    </rPh>
    <phoneticPr fontId="3"/>
  </si>
  <si>
    <t>C_ZANSAI_GK_KSC</t>
  </si>
  <si>
    <t>入金区分更新日</t>
  </si>
  <si>
    <t>入金区分更新日</t>
    <rPh sb="0" eb="2">
      <t>ニュウキン</t>
    </rPh>
    <rPh sb="2" eb="4">
      <t>クブン</t>
    </rPh>
    <rPh sb="4" eb="7">
      <t>コウシンビ</t>
    </rPh>
    <phoneticPr fontId="3"/>
  </si>
  <si>
    <t>NYUKIN_KB_YMD</t>
  </si>
  <si>
    <t>入金区分（KSC）</t>
  </si>
  <si>
    <t>入金区分（KSC）</t>
    <rPh sb="0" eb="2">
      <t>ニュウキン</t>
    </rPh>
    <rPh sb="2" eb="4">
      <t>クブン</t>
    </rPh>
    <phoneticPr fontId="3"/>
  </si>
  <si>
    <t>NYUKIN_KBK</t>
  </si>
  <si>
    <t>割賦遅延区分</t>
  </si>
  <si>
    <t>割賦遅延区分</t>
    <rPh sb="0" eb="2">
      <t>カップ</t>
    </rPh>
    <rPh sb="2" eb="4">
      <t>チエン</t>
    </rPh>
    <rPh sb="4" eb="6">
      <t>クブン</t>
    </rPh>
    <phoneticPr fontId="7"/>
  </si>
  <si>
    <t>KAPPU_TIEN_KB</t>
  </si>
  <si>
    <t>割賦遅延発生日</t>
  </si>
  <si>
    <t>割賦遅延発生日</t>
    <rPh sb="0" eb="2">
      <t>カップ</t>
    </rPh>
    <rPh sb="2" eb="4">
      <t>チエン</t>
    </rPh>
    <rPh sb="4" eb="7">
      <t>ハッセイビ</t>
    </rPh>
    <phoneticPr fontId="7"/>
  </si>
  <si>
    <t>KAPPU_TIEN_HS_YMD</t>
  </si>
  <si>
    <t>割賦遅延解消日</t>
  </si>
  <si>
    <t>割賦遅延解消日</t>
    <rPh sb="0" eb="2">
      <t>カップ</t>
    </rPh>
    <rPh sb="2" eb="4">
      <t>チエン</t>
    </rPh>
    <rPh sb="4" eb="6">
      <t>カイショウ</t>
    </rPh>
    <rPh sb="6" eb="7">
      <t>ビ</t>
    </rPh>
    <phoneticPr fontId="7"/>
  </si>
  <si>
    <t>KAPPU_TIEN_KS_YMD</t>
  </si>
  <si>
    <t>情報種別</t>
    <rPh sb="0" eb="2">
      <t>ジョウホウ</t>
    </rPh>
    <rPh sb="2" eb="4">
      <t>シュベツ</t>
    </rPh>
    <phoneticPr fontId="7"/>
  </si>
  <si>
    <t>JOHO_SB</t>
  </si>
  <si>
    <t>情報発生年月日</t>
    <rPh sb="0" eb="2">
      <t>ジョウホウ</t>
    </rPh>
    <rPh sb="2" eb="4">
      <t>ハッセイ</t>
    </rPh>
    <rPh sb="4" eb="7">
      <t>ネンガッピ</t>
    </rPh>
    <phoneticPr fontId="7"/>
  </si>
  <si>
    <t>JOHO_YMD</t>
  </si>
  <si>
    <t>経過コメント</t>
    <rPh sb="0" eb="2">
      <t>ケイカ</t>
    </rPh>
    <phoneticPr fontId="7"/>
  </si>
  <si>
    <t>KEIKA_KM</t>
  </si>
  <si>
    <t>経過コメント発生日</t>
  </si>
  <si>
    <t>経過コメント発生日</t>
    <rPh sb="0" eb="2">
      <t>ケイカ</t>
    </rPh>
    <rPh sb="6" eb="9">
      <t>ハッセイビ</t>
    </rPh>
    <phoneticPr fontId="7"/>
  </si>
  <si>
    <t>KEIKA_CM_YMD</t>
  </si>
  <si>
    <t>補足コメント</t>
    <rPh sb="0" eb="2">
      <t>ホソク</t>
    </rPh>
    <phoneticPr fontId="7"/>
  </si>
  <si>
    <t>HOSOKU_CM</t>
  </si>
  <si>
    <t>貸金遅延区分（CIC）</t>
  </si>
  <si>
    <t>貸金遅延区分（CIC）</t>
    <rPh sb="0" eb="2">
      <t>カシキン</t>
    </rPh>
    <rPh sb="2" eb="4">
      <t>チエン</t>
    </rPh>
    <rPh sb="4" eb="6">
      <t>クブン</t>
    </rPh>
    <phoneticPr fontId="7"/>
  </si>
  <si>
    <t>TIEN_KBC</t>
  </si>
  <si>
    <t>債権回収確認日</t>
    <rPh sb="4" eb="6">
      <t>カクニン</t>
    </rPh>
    <rPh sb="6" eb="7">
      <t>ビ</t>
    </rPh>
    <phoneticPr fontId="26"/>
  </si>
  <si>
    <t>債権回収確認日</t>
  </si>
  <si>
    <t>SAIKENKAISYU_YMD</t>
  </si>
  <si>
    <t>SAIMUSEIRI_YMD</t>
  </si>
  <si>
    <t>HASAN_YMD</t>
  </si>
  <si>
    <t>TKCHOTEI_YMD</t>
  </si>
  <si>
    <t>MINJISAISE_YMD</t>
  </si>
  <si>
    <t>HOSYORIKO_YMD</t>
  </si>
  <si>
    <t>HOSYOBENSAI_YMD</t>
  </si>
  <si>
    <t>RENTAIBENSAI_YMD</t>
  </si>
  <si>
    <t>KYOSEKAIYAKU_YMD</t>
  </si>
  <si>
    <t>SHKOUBEN_YMD</t>
  </si>
  <si>
    <t>MEIGICHUI_YMD</t>
  </si>
  <si>
    <t>HININ_YMD</t>
  </si>
  <si>
    <t>SIBO_YMD</t>
  </si>
  <si>
    <t>返済条件変更確認日</t>
  </si>
  <si>
    <t>JK_HENKO_YMD</t>
  </si>
  <si>
    <t>返済総額変更確認日</t>
  </si>
  <si>
    <t>SG_HENKO_YMD</t>
  </si>
  <si>
    <t>債権譲渡確認日</t>
  </si>
  <si>
    <t>SAIKENJOTO_YMD</t>
  </si>
  <si>
    <t>代位弁済確認日</t>
  </si>
  <si>
    <t>代位弁済確認日</t>
    <rPh sb="0" eb="2">
      <t>ダイイ</t>
    </rPh>
    <rPh sb="2" eb="4">
      <t>ベンサイ</t>
    </rPh>
    <rPh sb="4" eb="6">
      <t>カクニン</t>
    </rPh>
    <rPh sb="6" eb="7">
      <t>ビ</t>
    </rPh>
    <phoneticPr fontId="25"/>
  </si>
  <si>
    <t>DAIIBENSAI_YMD</t>
  </si>
  <si>
    <t>貸金遅延区分（JICC）</t>
    <rPh sb="0" eb="2">
      <t>カシキン</t>
    </rPh>
    <rPh sb="2" eb="4">
      <t>チエン</t>
    </rPh>
    <rPh sb="4" eb="6">
      <t>クブン</t>
    </rPh>
    <phoneticPr fontId="5"/>
  </si>
  <si>
    <t>貸金遅延区分（JICC）</t>
  </si>
  <si>
    <t>貸金遅延区分（JICC）</t>
    <rPh sb="0" eb="2">
      <t>カシキン</t>
    </rPh>
    <rPh sb="2" eb="4">
      <t>チエン</t>
    </rPh>
    <rPh sb="4" eb="6">
      <t>クブン</t>
    </rPh>
    <phoneticPr fontId="7"/>
  </si>
  <si>
    <t>TIEN_KBJ</t>
  </si>
  <si>
    <t>貸金遅延発生日（JICC）</t>
    <rPh sb="0" eb="2">
      <t>カシキン</t>
    </rPh>
    <rPh sb="2" eb="4">
      <t>チエン</t>
    </rPh>
    <rPh sb="4" eb="6">
      <t>ハッセイ</t>
    </rPh>
    <rPh sb="6" eb="7">
      <t>ビ</t>
    </rPh>
    <phoneticPr fontId="5"/>
  </si>
  <si>
    <t>貸金遅延発生日（JICC）</t>
  </si>
  <si>
    <t>貸金遅延発生日（JICC）</t>
    <rPh sb="2" eb="4">
      <t>チエン</t>
    </rPh>
    <rPh sb="4" eb="7">
      <t>ハッセイビ</t>
    </rPh>
    <phoneticPr fontId="7"/>
  </si>
  <si>
    <t>TIEN_HS_YMD</t>
  </si>
  <si>
    <t>貸金遅延解消日（JICC）</t>
    <rPh sb="2" eb="4">
      <t>チエン</t>
    </rPh>
    <rPh sb="4" eb="6">
      <t>カイショウ</t>
    </rPh>
    <rPh sb="6" eb="7">
      <t>ビ</t>
    </rPh>
    <phoneticPr fontId="7"/>
  </si>
  <si>
    <t>TIEN_KS_YMD</t>
  </si>
  <si>
    <t>予備</t>
  </si>
  <si>
    <t>予備</t>
    <rPh sb="0" eb="2">
      <t>ヨビ</t>
    </rPh>
    <phoneticPr fontId="5"/>
  </si>
  <si>
    <t>YOBI</t>
  </si>
  <si>
    <t>-</t>
    <phoneticPr fontId="3"/>
  </si>
  <si>
    <t>処理対象フラグ</t>
  </si>
  <si>
    <t>SYORITSYO_FLG</t>
  </si>
  <si>
    <t>システム日時</t>
    <rPh sb="4" eb="6">
      <t>ニチジ</t>
    </rPh>
    <phoneticPr fontId="5"/>
  </si>
  <si>
    <t>作成日時</t>
    <rPh sb="0" eb="2">
      <t>サクセイ</t>
    </rPh>
    <rPh sb="2" eb="4">
      <t>ニチジ</t>
    </rPh>
    <phoneticPr fontId="5"/>
  </si>
  <si>
    <t>MAKE_TSTMP</t>
  </si>
  <si>
    <t>更新日時</t>
    <rPh sb="0" eb="2">
      <t>コウシン</t>
    </rPh>
    <rPh sb="2" eb="4">
      <t>ニチジ</t>
    </rPh>
    <phoneticPr fontId="5"/>
  </si>
  <si>
    <t>UPDT_TSTMP</t>
  </si>
  <si>
    <t>-</t>
    <phoneticPr fontId="5"/>
  </si>
  <si>
    <t>固定値　"APJD02"</t>
    <rPh sb="0" eb="3">
      <t>コテイチ</t>
    </rPh>
    <phoneticPr fontId="3"/>
  </si>
  <si>
    <t>TRAN_CD</t>
  </si>
  <si>
    <t>固定値　"ONLINE"</t>
    <rPh sb="0" eb="3">
      <t>コテイチ</t>
    </rPh>
    <phoneticPr fontId="27"/>
  </si>
  <si>
    <t>TANTO_CD</t>
  </si>
  <si>
    <t>-</t>
    <phoneticPr fontId="5"/>
  </si>
  <si>
    <t>固定値　"0"[未]</t>
    <rPh sb="0" eb="3">
      <t>コテイチ</t>
    </rPh>
    <rPh sb="8" eb="9">
      <t>ミ</t>
    </rPh>
    <phoneticPr fontId="3"/>
  </si>
  <si>
    <t>DEL_FLG</t>
  </si>
  <si>
    <t>モジュール名称</t>
    <phoneticPr fontId="1"/>
  </si>
  <si>
    <t>C:\workspace\jason\sourceAutoGen\conf\BeanEditTemplate.txt</t>
    <phoneticPr fontId="1"/>
  </si>
  <si>
    <t>allSpaceOp</t>
    <phoneticPr fontId="1"/>
  </si>
  <si>
    <t>固定値　ALL半角スペース</t>
    <phoneticPr fontId="1"/>
  </si>
  <si>
    <t>移送操作：固定値　ALL半角スペース</t>
    <rPh sb="0" eb="2">
      <t>イソウ</t>
    </rPh>
    <rPh sb="2" eb="4">
      <t>ソウサ</t>
    </rPh>
    <phoneticPr fontId="1"/>
  </si>
  <si>
    <t>更新対象外</t>
    <phoneticPr fontId="1"/>
  </si>
  <si>
    <t>移送操作：更新対象外</t>
    <rPh sb="0" eb="2">
      <t>イソウ</t>
    </rPh>
    <rPh sb="2" eb="4">
      <t>ソウサ</t>
    </rPh>
    <rPh sb="5" eb="7">
      <t>コウシン</t>
    </rPh>
    <rPh sb="7" eb="10">
      <t>タイショウガイ</t>
    </rPh>
    <phoneticPr fontId="1"/>
  </si>
  <si>
    <t>notUpdate</t>
    <phoneticPr fontId="1"/>
  </si>
  <si>
    <t>※△：半角スペース</t>
    <rPh sb="3" eb="5">
      <t>ハンカク</t>
    </rPh>
    <phoneticPr fontId="1"/>
  </si>
  <si>
    <t>ケース
№</t>
    <phoneticPr fontId="1"/>
  </si>
  <si>
    <t>チェック
仕様書№</t>
    <rPh sb="5" eb="7">
      <t>シヨウ</t>
    </rPh>
    <rPh sb="7" eb="8">
      <t>ショ</t>
    </rPh>
    <phoneticPr fontId="1"/>
  </si>
  <si>
    <t>メッセージ
ID</t>
    <phoneticPr fontId="1"/>
  </si>
  <si>
    <t>更新依頼データ（CIC（日次））</t>
    <rPh sb="0" eb="4">
      <t>コウシンイライ</t>
    </rPh>
    <rPh sb="12" eb="14">
      <t>ニチジ</t>
    </rPh>
    <phoneticPr fontId="1"/>
  </si>
  <si>
    <t xml:space="preserve">想定結果
</t>
    <rPh sb="0" eb="2">
      <t>ソウテイ</t>
    </rPh>
    <rPh sb="2" eb="4">
      <t>ケッカ</t>
    </rPh>
    <phoneticPr fontId="1"/>
  </si>
  <si>
    <t>実施結果</t>
    <rPh sb="0" eb="2">
      <t>ジッシ</t>
    </rPh>
    <rPh sb="2" eb="4">
      <t>ケッカ</t>
    </rPh>
    <phoneticPr fontId="1"/>
  </si>
  <si>
    <t xml:space="preserve">備考
</t>
    <rPh sb="0" eb="2">
      <t>ビコウ</t>
    </rPh>
    <phoneticPr fontId="1"/>
  </si>
  <si>
    <t>項目1</t>
    <rPh sb="0" eb="2">
      <t>コウモク</t>
    </rPh>
    <phoneticPr fontId="1"/>
  </si>
  <si>
    <t>項目2</t>
    <rPh sb="0" eb="2">
      <t>コウモク</t>
    </rPh>
    <phoneticPr fontId="1"/>
  </si>
  <si>
    <t>項目3</t>
    <rPh sb="0" eb="2">
      <t>コウモク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</si>
  <si>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</si>
  <si>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</si>
  <si>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</si>
  <si>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</si>
  <si>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設定値</t>
    <rPh sb="0" eb="3">
      <t>セッテイチ</t>
    </rPh>
    <phoneticPr fontId="1"/>
  </si>
  <si>
    <t>正常/異常</t>
    <rPh sb="0" eb="2">
      <t>セイジョウ</t>
    </rPh>
    <rPh sb="3" eb="5">
      <t>イジョウ</t>
    </rPh>
    <phoneticPr fontId="1"/>
  </si>
  <si>
    <t>メッセージID</t>
    <phoneticPr fontId="1"/>
  </si>
  <si>
    <t>メッセージ内容</t>
    <rPh sb="5" eb="7">
      <t>ナイヨウ</t>
    </rPh>
    <phoneticPr fontId="1"/>
  </si>
  <si>
    <t>EFF11001</t>
  </si>
  <si>
    <t>カナ氏名</t>
    <rPh sb="2" eb="4">
      <t>シメイ</t>
    </rPh>
    <phoneticPr fontId="1"/>
  </si>
  <si>
    <t>ｱｲｳｴｵｶｷｸｹｺｻｼｽｾｿ△ﾀﾁﾂﾃﾄﾅﾆﾇﾈﾉ</t>
    <phoneticPr fontId="1"/>
  </si>
  <si>
    <t>-</t>
    <phoneticPr fontId="1"/>
  </si>
  <si>
    <t>正常系</t>
    <rPh sb="0" eb="2">
      <t>セイジョウ</t>
    </rPh>
    <rPh sb="2" eb="3">
      <t>ケイ</t>
    </rPh>
    <phoneticPr fontId="1"/>
  </si>
  <si>
    <t>-</t>
  </si>
  <si>
    <t>ﾊﾋﾌﾍﾎﾏﾐﾑﾒﾓﾔﾕﾖ△ﾗﾘﾙﾚﾛﾜｦﾝ</t>
    <phoneticPr fontId="1"/>
  </si>
  <si>
    <t>ｧｨｩｪｫ△ｬｭｮｯｰ-ﾞﾟ</t>
    <phoneticPr fontId="1"/>
  </si>
  <si>
    <r>
      <rPr>
        <sz val="10"/>
        <color rgb="FFFF0000"/>
        <rFont val="游ゴシック"/>
        <family val="3"/>
        <charset val="128"/>
      </rPr>
      <t>A</t>
    </r>
    <r>
      <rPr>
        <sz val="10"/>
        <rFont val="游ゴシック"/>
        <family val="3"/>
        <charset val="128"/>
      </rPr>
      <t>ｲｳｴｵｶｷｸｹｺｻｼｽｾｿ△ﾀﾁﾂﾃﾄﾅﾆﾇﾈﾉﾀﾁﾂﾃ</t>
    </r>
    <phoneticPr fontId="1"/>
  </si>
  <si>
    <t>異常系</t>
    <rPh sb="0" eb="2">
      <t>イジョウ</t>
    </rPh>
    <rPh sb="2" eb="3">
      <t>ケイ</t>
    </rPh>
    <phoneticPr fontId="1"/>
  </si>
  <si>
    <t>カナ氏名に入力不可の文字が入力されています</t>
  </si>
  <si>
    <r>
      <t>ｱｲｳｴｵｶｷｸｹｺｻｼｽｾ</t>
    </r>
    <r>
      <rPr>
        <sz val="10"/>
        <color rgb="FFFF0000"/>
        <rFont val="游ゴシック"/>
        <family val="3"/>
        <charset val="128"/>
      </rPr>
      <t>0</t>
    </r>
    <r>
      <rPr>
        <sz val="10"/>
        <rFont val="游ゴシック"/>
        <family val="3"/>
        <charset val="128"/>
      </rPr>
      <t>△ﾀﾁﾂﾃﾄﾅﾆﾇﾈﾉﾀﾁﾂﾃ</t>
    </r>
    <phoneticPr fontId="1"/>
  </si>
  <si>
    <r>
      <t>ｱｲｳｴｵｶｷｸｹｺｻｼｽｾｿ△</t>
    </r>
    <r>
      <rPr>
        <sz val="10"/>
        <color rgb="FFFF0000"/>
        <rFont val="游ゴシック"/>
        <family val="3"/>
        <charset val="128"/>
      </rPr>
      <t>&amp;</t>
    </r>
    <r>
      <rPr>
        <sz val="10"/>
        <rFont val="游ゴシック"/>
        <family val="3"/>
        <charset val="128"/>
      </rPr>
      <t>ﾁﾂﾃﾄﾅﾆﾇﾈﾉﾀﾁﾂﾃ</t>
    </r>
    <phoneticPr fontId="1"/>
  </si>
  <si>
    <r>
      <t>ｱｲｳｴｵｶｷｸｹｺｻｼｽｾｿ△ﾀﾁﾂﾃﾄﾅﾆﾇﾈﾉﾀﾁﾂ</t>
    </r>
    <r>
      <rPr>
        <sz val="10"/>
        <color rgb="FFFF0000"/>
        <rFont val="游ゴシック"/>
        <family val="3"/>
        <charset val="128"/>
      </rPr>
      <t>`</t>
    </r>
    <phoneticPr fontId="1"/>
  </si>
  <si>
    <r>
      <rPr>
        <sz val="10"/>
        <color rgb="FFFF0000"/>
        <rFont val="游ゴシック"/>
        <family val="3"/>
        <charset val="128"/>
      </rPr>
      <t>$</t>
    </r>
    <r>
      <rPr>
        <sz val="10"/>
        <rFont val="游ゴシック"/>
        <family val="3"/>
        <charset val="128"/>
      </rPr>
      <t>ｲｳｴｵｶｷｸｹｺｻｼｽｾｿ△ﾀﾁﾂﾃﾄﾅﾆﾇﾈﾉﾀﾁﾂﾃ</t>
    </r>
    <phoneticPr fontId="1"/>
  </si>
  <si>
    <t>EFF11002</t>
  </si>
  <si>
    <t>ｱｲｳｴｵ△ｶｷｸｹｺ</t>
    <phoneticPr fontId="1"/>
  </si>
  <si>
    <t>（設定値なし）</t>
  </si>
  <si>
    <t>カナ氏名を入力してください</t>
  </si>
  <si>
    <t>EFF11003</t>
  </si>
  <si>
    <t>ｱｲｳｴｵｶｷｸｹｺ</t>
    <phoneticPr fontId="1"/>
  </si>
  <si>
    <t>異常系</t>
  </si>
  <si>
    <t>カナ氏名の姓名間に１スペースを入力してください</t>
  </si>
  <si>
    <t>ｱｲｳｴｵ△△ｶｷｸｹｺ</t>
    <phoneticPr fontId="1"/>
  </si>
  <si>
    <t>ｱｲ△ｳｴｵ△ｶｷｸｹｺ</t>
    <phoneticPr fontId="1"/>
  </si>
  <si>
    <t>EFF13001</t>
  </si>
  <si>
    <t>アルファベット氏名</t>
    <rPh sb="7" eb="9">
      <t>シメイ</t>
    </rPh>
    <phoneticPr fontId="1"/>
  </si>
  <si>
    <t>ABCDEFGHIJKLMN△OPQRSTUVWXYZ</t>
    <phoneticPr fontId="1"/>
  </si>
  <si>
    <r>
      <rPr>
        <sz val="10"/>
        <color rgb="FFFF0000"/>
        <rFont val="游ゴシック"/>
        <family val="3"/>
        <charset val="128"/>
      </rPr>
      <t>ｲ</t>
    </r>
    <r>
      <rPr>
        <sz val="10"/>
        <rFont val="游ゴシック"/>
        <family val="3"/>
        <charset val="128"/>
      </rPr>
      <t>BCDEFGHIJKLMN△OPQRSTUVWXYZABC</t>
    </r>
    <phoneticPr fontId="1"/>
  </si>
  <si>
    <t>アルファベット氏名に入力不可の文字が入力されています</t>
  </si>
  <si>
    <r>
      <t>ABCDEFGHIJKLM</t>
    </r>
    <r>
      <rPr>
        <sz val="10"/>
        <color rgb="FFFF0000"/>
        <rFont val="游ゴシック"/>
        <family val="3"/>
        <charset val="128"/>
      </rPr>
      <t>1</t>
    </r>
    <r>
      <rPr>
        <sz val="10"/>
        <rFont val="游ゴシック"/>
        <family val="3"/>
        <charset val="128"/>
      </rPr>
      <t>△OPQRSTUVWXYZABC</t>
    </r>
    <phoneticPr fontId="1"/>
  </si>
  <si>
    <r>
      <t>ABCDEFGHIJKLMN△</t>
    </r>
    <r>
      <rPr>
        <sz val="10"/>
        <color rgb="FFFF0000"/>
        <rFont val="游ゴシック"/>
        <family val="3"/>
        <charset val="128"/>
      </rPr>
      <t>ﾟ</t>
    </r>
    <r>
      <rPr>
        <sz val="10"/>
        <rFont val="游ゴシック"/>
        <family val="3"/>
        <charset val="128"/>
      </rPr>
      <t>PQRSTUVWXYZABC</t>
    </r>
    <phoneticPr fontId="1"/>
  </si>
  <si>
    <r>
      <t>ABCDEFGHIJKLMN△OPQRSTUVWXYZAB</t>
    </r>
    <r>
      <rPr>
        <sz val="10"/>
        <color rgb="FFFF0000"/>
        <rFont val="游ゴシック"/>
        <family val="3"/>
        <charset val="128"/>
      </rPr>
      <t>`</t>
    </r>
    <phoneticPr fontId="1"/>
  </si>
  <si>
    <r>
      <rPr>
        <sz val="10"/>
        <color rgb="FFFF0000"/>
        <rFont val="游ゴシック"/>
        <family val="3"/>
        <charset val="128"/>
      </rPr>
      <t>"</t>
    </r>
    <r>
      <rPr>
        <sz val="10"/>
        <rFont val="游ゴシック"/>
        <family val="3"/>
        <charset val="128"/>
      </rPr>
      <t>BCDEFGHIJKLMN△OPQRSTUVWXYZABC</t>
    </r>
    <phoneticPr fontId="1"/>
  </si>
  <si>
    <t>EFF15002</t>
  </si>
  <si>
    <t>生年月日</t>
    <rPh sb="0" eb="2">
      <t>セイネン</t>
    </rPh>
    <rPh sb="2" eb="4">
      <t>ガッピ</t>
    </rPh>
    <phoneticPr fontId="1"/>
  </si>
  <si>
    <t>生年月日に誤りがあります</t>
  </si>
  <si>
    <t>EFF15001</t>
  </si>
  <si>
    <t>［テスト実施日］</t>
    <rPh sb="4" eb="6">
      <t>ジッシ</t>
    </rPh>
    <rPh sb="6" eb="7">
      <t>ビ</t>
    </rPh>
    <phoneticPr fontId="1"/>
  </si>
  <si>
    <t>［テスト実施日］＋1日</t>
    <rPh sb="10" eb="11">
      <t>ニチ</t>
    </rPh>
    <phoneticPr fontId="1"/>
  </si>
  <si>
    <t>生年月日に未来日は入力できません</t>
  </si>
  <si>
    <t>EFF17001</t>
  </si>
  <si>
    <t>自宅郵便番号</t>
    <rPh sb="0" eb="2">
      <t>ジタク</t>
    </rPh>
    <rPh sb="2" eb="6">
      <t>ユウビンバンゴウ</t>
    </rPh>
    <phoneticPr fontId="1"/>
  </si>
  <si>
    <t>0000000</t>
    <phoneticPr fontId="1"/>
  </si>
  <si>
    <t>自宅郵便番号に誤りがあります</t>
  </si>
  <si>
    <t>123456</t>
    <phoneticPr fontId="1"/>
  </si>
  <si>
    <t>EFF17002</t>
  </si>
  <si>
    <t>8901234</t>
    <phoneticPr fontId="1"/>
  </si>
  <si>
    <r>
      <rPr>
        <sz val="10"/>
        <color rgb="FFFF0000"/>
        <rFont val="游ゴシック"/>
        <family val="3"/>
        <charset val="128"/>
      </rPr>
      <t>ｳ</t>
    </r>
    <r>
      <rPr>
        <sz val="10"/>
        <rFont val="游ゴシック"/>
        <family val="3"/>
        <charset val="128"/>
      </rPr>
      <t>234567</t>
    </r>
    <phoneticPr fontId="1"/>
  </si>
  <si>
    <t>自宅郵便番号に入力不可の文字が入力されています</t>
  </si>
  <si>
    <r>
      <t>123456</t>
    </r>
    <r>
      <rPr>
        <sz val="10"/>
        <color rgb="FFFF0000"/>
        <rFont val="游ゴシック"/>
        <family val="3"/>
        <charset val="128"/>
      </rPr>
      <t>B</t>
    </r>
    <phoneticPr fontId="1"/>
  </si>
  <si>
    <r>
      <rPr>
        <sz val="10"/>
        <color rgb="FFFF0000"/>
        <rFont val="游ゴシック"/>
        <family val="3"/>
        <charset val="128"/>
      </rPr>
      <t>ﾞ</t>
    </r>
    <r>
      <rPr>
        <sz val="10"/>
        <rFont val="游ゴシック"/>
        <family val="3"/>
        <charset val="128"/>
      </rPr>
      <t>234567</t>
    </r>
    <phoneticPr fontId="1"/>
  </si>
  <si>
    <r>
      <t>123456</t>
    </r>
    <r>
      <rPr>
        <sz val="10"/>
        <color rgb="FFFF0000"/>
        <rFont val="游ゴシック"/>
        <family val="3"/>
        <charset val="128"/>
      </rPr>
      <t>`</t>
    </r>
    <phoneticPr fontId="1"/>
  </si>
  <si>
    <r>
      <t>1</t>
    </r>
    <r>
      <rPr>
        <sz val="10"/>
        <color rgb="FFFF0000"/>
        <rFont val="游ゴシック"/>
        <family val="3"/>
        <charset val="128"/>
        <scheme val="minor"/>
      </rPr>
      <t>@</t>
    </r>
    <r>
      <rPr>
        <sz val="10"/>
        <color theme="1"/>
        <rFont val="游ゴシック"/>
        <family val="3"/>
        <charset val="128"/>
        <scheme val="minor"/>
      </rPr>
      <t>23456</t>
    </r>
    <phoneticPr fontId="1"/>
  </si>
  <si>
    <t>EFG18001</t>
  </si>
  <si>
    <t>自宅カナ住所</t>
    <rPh sb="0" eb="2">
      <t>ジタク</t>
    </rPh>
    <rPh sb="4" eb="6">
      <t>ジュウショ</t>
    </rPh>
    <phoneticPr fontId="1"/>
  </si>
  <si>
    <t>ｵｵｻｶﾌ△ｵｵｻｶｼ△ﾁｭｳｵｳｸ</t>
    <phoneticPr fontId="1"/>
  </si>
  <si>
    <t>自宅漢字住所</t>
    <rPh sb="0" eb="2">
      <t>ジタク</t>
    </rPh>
    <rPh sb="2" eb="4">
      <t>カンジ</t>
    </rPh>
    <rPh sb="4" eb="6">
      <t>ジュウショ</t>
    </rPh>
    <phoneticPr fontId="1"/>
  </si>
  <si>
    <t>大阪府□大阪市□中央区</t>
    <rPh sb="0" eb="3">
      <t>オオサカフ</t>
    </rPh>
    <rPh sb="4" eb="7">
      <t>オオサカシ</t>
    </rPh>
    <rPh sb="8" eb="11">
      <t>チュウオウク</t>
    </rPh>
    <phoneticPr fontId="1"/>
  </si>
  <si>
    <t>自宅カナ住所と自宅漢字住所のいずれかを入力してください</t>
  </si>
  <si>
    <t>EFG20001</t>
  </si>
  <si>
    <t>自宅電話番号</t>
    <phoneticPr fontId="1"/>
  </si>
  <si>
    <t>01234567</t>
    <phoneticPr fontId="1"/>
  </si>
  <si>
    <t>012345678</t>
    <phoneticPr fontId="1"/>
  </si>
  <si>
    <t>自宅電話番号に誤りがあります</t>
  </si>
  <si>
    <t>0123456789</t>
    <phoneticPr fontId="1"/>
  </si>
  <si>
    <t>01-23-4567</t>
    <phoneticPr fontId="1"/>
  </si>
  <si>
    <t>01-234-5678</t>
  </si>
  <si>
    <t>01-2345-6789</t>
    <phoneticPr fontId="1"/>
  </si>
  <si>
    <t>099999999</t>
    <phoneticPr fontId="1"/>
  </si>
  <si>
    <t>0999999999</t>
    <phoneticPr fontId="1"/>
  </si>
  <si>
    <t>09-9999-9999</t>
    <phoneticPr fontId="1"/>
  </si>
  <si>
    <t>EFF20001</t>
  </si>
  <si>
    <t>011234567</t>
    <phoneticPr fontId="1"/>
  </si>
  <si>
    <t>正常系</t>
  </si>
  <si>
    <t>021234567</t>
    <phoneticPr fontId="1"/>
  </si>
  <si>
    <t>031234567</t>
    <phoneticPr fontId="1"/>
  </si>
  <si>
    <t>041234567</t>
    <phoneticPr fontId="1"/>
  </si>
  <si>
    <t>051234567</t>
    <phoneticPr fontId="1"/>
  </si>
  <si>
    <t>061234567</t>
    <phoneticPr fontId="1"/>
  </si>
  <si>
    <t>071234567</t>
    <phoneticPr fontId="1"/>
  </si>
  <si>
    <t>081234567</t>
    <phoneticPr fontId="1"/>
  </si>
  <si>
    <t>091234567</t>
    <phoneticPr fontId="1"/>
  </si>
  <si>
    <t>121234567</t>
    <phoneticPr fontId="1"/>
  </si>
  <si>
    <t>0112345678</t>
    <phoneticPr fontId="1"/>
  </si>
  <si>
    <t>0212345678</t>
    <phoneticPr fontId="1"/>
  </si>
  <si>
    <t>0312345678</t>
    <phoneticPr fontId="1"/>
  </si>
  <si>
    <t>0412345678</t>
    <phoneticPr fontId="1"/>
  </si>
  <si>
    <t>0512345678</t>
    <phoneticPr fontId="1"/>
  </si>
  <si>
    <t>0612345678</t>
    <phoneticPr fontId="1"/>
  </si>
  <si>
    <t>0712345678</t>
    <phoneticPr fontId="1"/>
  </si>
  <si>
    <t>0812345678</t>
    <phoneticPr fontId="1"/>
  </si>
  <si>
    <t>0912345678</t>
    <phoneticPr fontId="1"/>
  </si>
  <si>
    <t>1212345678</t>
    <phoneticPr fontId="1"/>
  </si>
  <si>
    <t>01-123-4567</t>
    <phoneticPr fontId="1"/>
  </si>
  <si>
    <t>02-123-4567</t>
    <phoneticPr fontId="1"/>
  </si>
  <si>
    <t>03-123-4567</t>
    <phoneticPr fontId="1"/>
  </si>
  <si>
    <t>04-123-4567</t>
    <phoneticPr fontId="1"/>
  </si>
  <si>
    <t>05-123-4567</t>
    <phoneticPr fontId="1"/>
  </si>
  <si>
    <t>06-123-4567</t>
    <phoneticPr fontId="1"/>
  </si>
  <si>
    <t>07-123-4567</t>
    <phoneticPr fontId="1"/>
  </si>
  <si>
    <t>08-123-4567</t>
    <phoneticPr fontId="1"/>
  </si>
  <si>
    <t>09-123-4567</t>
    <phoneticPr fontId="1"/>
  </si>
  <si>
    <t>12-123-4567</t>
    <phoneticPr fontId="1"/>
  </si>
  <si>
    <t>01-1234-5678</t>
    <phoneticPr fontId="1"/>
  </si>
  <si>
    <t>02-1234-5678</t>
    <phoneticPr fontId="1"/>
  </si>
  <si>
    <t>03-1234-5678</t>
    <phoneticPr fontId="1"/>
  </si>
  <si>
    <t>04-1234-5678</t>
    <phoneticPr fontId="1"/>
  </si>
  <si>
    <t>05-1234-5678</t>
    <phoneticPr fontId="1"/>
  </si>
  <si>
    <t>06-1234-5678</t>
    <phoneticPr fontId="1"/>
  </si>
  <si>
    <t>07-1234-5678</t>
    <phoneticPr fontId="1"/>
  </si>
  <si>
    <t>08-1234-5678</t>
    <phoneticPr fontId="1"/>
  </si>
  <si>
    <t>09-1234-5678</t>
    <phoneticPr fontId="1"/>
  </si>
  <si>
    <t>12-1234-5678</t>
    <phoneticPr fontId="1"/>
  </si>
  <si>
    <t>01012345678</t>
    <phoneticPr fontId="1"/>
  </si>
  <si>
    <t>02012345678</t>
    <phoneticPr fontId="1"/>
  </si>
  <si>
    <t>03012345678</t>
    <phoneticPr fontId="1"/>
  </si>
  <si>
    <t>04012345678</t>
    <phoneticPr fontId="1"/>
  </si>
  <si>
    <t>05012345678</t>
    <phoneticPr fontId="1"/>
  </si>
  <si>
    <t>06012345678</t>
    <phoneticPr fontId="1"/>
  </si>
  <si>
    <t>07012345678</t>
    <phoneticPr fontId="1"/>
  </si>
  <si>
    <t>08012345678</t>
    <phoneticPr fontId="1"/>
  </si>
  <si>
    <t>09012345678</t>
    <phoneticPr fontId="1"/>
  </si>
  <si>
    <t>01112345678</t>
    <phoneticPr fontId="1"/>
  </si>
  <si>
    <t>010112345678</t>
    <phoneticPr fontId="1"/>
  </si>
  <si>
    <t>020212345678</t>
    <phoneticPr fontId="1"/>
  </si>
  <si>
    <t>030312345678</t>
    <phoneticPr fontId="1"/>
  </si>
  <si>
    <t>040412345678</t>
    <phoneticPr fontId="1"/>
  </si>
  <si>
    <t>050512345678</t>
    <phoneticPr fontId="1"/>
  </si>
  <si>
    <t>060612345678</t>
    <phoneticPr fontId="1"/>
  </si>
  <si>
    <t>070712345678</t>
    <phoneticPr fontId="1"/>
  </si>
  <si>
    <t>080812345678</t>
    <phoneticPr fontId="1"/>
  </si>
  <si>
    <t>090912345678</t>
    <phoneticPr fontId="1"/>
  </si>
  <si>
    <t>011112345678</t>
    <phoneticPr fontId="1"/>
  </si>
  <si>
    <t>010-1234-5678</t>
    <phoneticPr fontId="1"/>
  </si>
  <si>
    <t>020-1234-5678</t>
    <phoneticPr fontId="1"/>
  </si>
  <si>
    <t>030-1234-5678</t>
    <phoneticPr fontId="1"/>
  </si>
  <si>
    <t>040-1234-5678</t>
    <phoneticPr fontId="1"/>
  </si>
  <si>
    <t>050-1234-5678</t>
    <phoneticPr fontId="1"/>
  </si>
  <si>
    <t>060-1234-5678</t>
    <phoneticPr fontId="1"/>
  </si>
  <si>
    <t>070-1234-5678</t>
    <phoneticPr fontId="1"/>
  </si>
  <si>
    <t>080-1234-5678</t>
    <phoneticPr fontId="1"/>
  </si>
  <si>
    <t>090-1234-5678</t>
    <phoneticPr fontId="1"/>
  </si>
  <si>
    <t>011-1234-5678</t>
    <phoneticPr fontId="1"/>
  </si>
  <si>
    <t>0101-1234-5678</t>
    <phoneticPr fontId="1"/>
  </si>
  <si>
    <t>0202-1234-5678</t>
    <phoneticPr fontId="1"/>
  </si>
  <si>
    <t>0303-1234-5678</t>
    <phoneticPr fontId="1"/>
  </si>
  <si>
    <t>0404-1234-5678</t>
    <phoneticPr fontId="1"/>
  </si>
  <si>
    <t>0505-1234-5678</t>
    <phoneticPr fontId="1"/>
  </si>
  <si>
    <t>0606-1234-5678</t>
    <phoneticPr fontId="1"/>
  </si>
  <si>
    <t>0707-1234-5678</t>
    <phoneticPr fontId="1"/>
  </si>
  <si>
    <t>0808-1234-5678</t>
    <phoneticPr fontId="1"/>
  </si>
  <si>
    <t>0909-1234-5678</t>
    <phoneticPr fontId="1"/>
  </si>
  <si>
    <t>0111-1234-5678</t>
    <phoneticPr fontId="1"/>
  </si>
  <si>
    <t>EFF20002</t>
  </si>
  <si>
    <t>自宅電話番号の有効桁数は９～１１桁で入力してください</t>
  </si>
  <si>
    <t>01023456789</t>
    <phoneticPr fontId="1"/>
  </si>
  <si>
    <t>010234567890</t>
    <phoneticPr fontId="1"/>
  </si>
  <si>
    <t>01-234-5678</t>
    <phoneticPr fontId="1"/>
  </si>
  <si>
    <t>010-2345-6789</t>
    <phoneticPr fontId="1"/>
  </si>
  <si>
    <t>0102-3456-7890</t>
    <phoneticPr fontId="1"/>
  </si>
  <si>
    <t>EFF20003</t>
  </si>
  <si>
    <t>（設定値なし）</t>
    <phoneticPr fontId="1"/>
  </si>
  <si>
    <t>自宅電話番号を入力してください</t>
  </si>
  <si>
    <t>EFF21001</t>
  </si>
  <si>
    <t>連絡先電話番号</t>
    <rPh sb="0" eb="3">
      <t>レンラクサキ</t>
    </rPh>
    <phoneticPr fontId="1"/>
  </si>
  <si>
    <t>連絡先電話番号に誤りがあります</t>
  </si>
  <si>
    <t>011111111</t>
  </si>
  <si>
    <t>022222222</t>
  </si>
  <si>
    <t>033333333</t>
  </si>
  <si>
    <t>044444444</t>
  </si>
  <si>
    <t>055555555</t>
  </si>
  <si>
    <t>066666666</t>
  </si>
  <si>
    <t>077777777</t>
  </si>
  <si>
    <t>088888888</t>
  </si>
  <si>
    <t>091111111</t>
  </si>
  <si>
    <t>0111111111</t>
  </si>
  <si>
    <t>0222222222</t>
  </si>
  <si>
    <t>0333333333</t>
  </si>
  <si>
    <t>0444444444</t>
  </si>
  <si>
    <t>0555555555</t>
  </si>
  <si>
    <t>0666666666</t>
  </si>
  <si>
    <t>0777777777</t>
  </si>
  <si>
    <t>0888888888</t>
  </si>
  <si>
    <t>0911111111</t>
  </si>
  <si>
    <t>01-111-1111</t>
  </si>
  <si>
    <t>02-222-2222</t>
  </si>
  <si>
    <t>03-333-3333</t>
  </si>
  <si>
    <t>04-444-4444</t>
  </si>
  <si>
    <t>05-555-5555</t>
  </si>
  <si>
    <t>06-666-6666</t>
  </si>
  <si>
    <t>07-777-7777</t>
  </si>
  <si>
    <t>08-888-8888</t>
  </si>
  <si>
    <t>09-111-1111</t>
  </si>
  <si>
    <t>12-111-1111</t>
  </si>
  <si>
    <t>01-1111-1111</t>
  </si>
  <si>
    <t>02-2222-2222</t>
  </si>
  <si>
    <t>03-3333-3333</t>
  </si>
  <si>
    <t>04-4444-4444</t>
  </si>
  <si>
    <t>05-5555-5555</t>
  </si>
  <si>
    <t>06-6666-6666</t>
  </si>
  <si>
    <t>07-7777-7777</t>
  </si>
  <si>
    <t>08-8888-8888</t>
  </si>
  <si>
    <t>09-1111-1111</t>
  </si>
  <si>
    <t>12-1111-1111</t>
  </si>
  <si>
    <t>01011111111</t>
  </si>
  <si>
    <t>02022222222</t>
  </si>
  <si>
    <t>03033333333</t>
  </si>
  <si>
    <t>04044444444</t>
  </si>
  <si>
    <t>05055555555</t>
  </si>
  <si>
    <t>06066666666</t>
  </si>
  <si>
    <t>07077777777</t>
  </si>
  <si>
    <t>08088888888</t>
  </si>
  <si>
    <t>09099999999</t>
  </si>
  <si>
    <t>01111111111</t>
  </si>
  <si>
    <t>010111111111</t>
  </si>
  <si>
    <t>020222222222</t>
  </si>
  <si>
    <t>030333333333</t>
  </si>
  <si>
    <t>040444444444</t>
  </si>
  <si>
    <t>050555555555</t>
  </si>
  <si>
    <t>060666666666</t>
  </si>
  <si>
    <t>070777777777</t>
  </si>
  <si>
    <t>080888888888</t>
  </si>
  <si>
    <t>090999999999</t>
  </si>
  <si>
    <t>011111111111</t>
  </si>
  <si>
    <t>010-1111-1111</t>
  </si>
  <si>
    <t>020-2222-2222</t>
  </si>
  <si>
    <t>030-3333-3333</t>
  </si>
  <si>
    <t>040-4444-4444</t>
  </si>
  <si>
    <t>050-5555-5555</t>
  </si>
  <si>
    <t>060-6666-6666</t>
  </si>
  <si>
    <t>070-7777-7777</t>
  </si>
  <si>
    <t>080-8888-8888</t>
  </si>
  <si>
    <t>090-9999-9999</t>
  </si>
  <si>
    <t>011-1111-1111</t>
  </si>
  <si>
    <t>0101-1111-1111</t>
  </si>
  <si>
    <t>0202-2222-2222</t>
  </si>
  <si>
    <t>0303-3333-3333</t>
  </si>
  <si>
    <t>0404-4444-4444</t>
  </si>
  <si>
    <t>0505-5555-5555</t>
  </si>
  <si>
    <t>0606-6666-6666</t>
  </si>
  <si>
    <t>0707-7777-7777</t>
  </si>
  <si>
    <t>0808-8888-8888</t>
  </si>
  <si>
    <t>0909-9999-9999</t>
  </si>
  <si>
    <t>0111-1111-1111</t>
  </si>
  <si>
    <t>EFF21002</t>
  </si>
  <si>
    <t>連絡先電話番号の有効桁数は１０～１１桁で入力してください</t>
  </si>
  <si>
    <t>01234567890</t>
    <phoneticPr fontId="1"/>
  </si>
  <si>
    <t>012345678901</t>
    <phoneticPr fontId="1"/>
  </si>
  <si>
    <t>012-3456-7890</t>
    <phoneticPr fontId="1"/>
  </si>
  <si>
    <t>0123-4567-8901</t>
    <phoneticPr fontId="1"/>
  </si>
  <si>
    <t>EFG21001</t>
  </si>
  <si>
    <t>0111111111</t>
    <phoneticPr fontId="1"/>
  </si>
  <si>
    <t>自宅電話番号と連絡先電話番号に同じ値は入力できません</t>
  </si>
  <si>
    <t>EFF25001</t>
  </si>
  <si>
    <t>勤務先電話番号</t>
    <rPh sb="0" eb="3">
      <t>キンムサキ</t>
    </rPh>
    <phoneticPr fontId="1"/>
  </si>
  <si>
    <t>0000000000</t>
    <phoneticPr fontId="1"/>
  </si>
  <si>
    <t>勤務先電話番号に誤りがあります</t>
  </si>
  <si>
    <t>00000000000</t>
    <phoneticPr fontId="1"/>
  </si>
  <si>
    <t>1111111111</t>
    <phoneticPr fontId="1"/>
  </si>
  <si>
    <t>EFF26001</t>
  </si>
  <si>
    <t>契約番号</t>
    <rPh sb="0" eb="2">
      <t>ケイヤク</t>
    </rPh>
    <rPh sb="2" eb="4">
      <t>バンゴウ</t>
    </rPh>
    <phoneticPr fontId="1"/>
  </si>
  <si>
    <t>DC000000000000000001</t>
    <phoneticPr fontId="1"/>
  </si>
  <si>
    <t>契約番号を入力してください</t>
  </si>
  <si>
    <t>EFF28001</t>
  </si>
  <si>
    <t>重複加盟区分</t>
    <rPh sb="0" eb="2">
      <t>チョウフク</t>
    </rPh>
    <rPh sb="2" eb="4">
      <t>カメイ</t>
    </rPh>
    <rPh sb="4" eb="6">
      <t>クブン</t>
    </rPh>
    <phoneticPr fontId="1"/>
  </si>
  <si>
    <t>重複加盟区分に誤りがあります</t>
  </si>
  <si>
    <t>EFF29001</t>
  </si>
  <si>
    <t>本人保証人区分</t>
    <rPh sb="0" eb="2">
      <t>ホンニン</t>
    </rPh>
    <rPh sb="2" eb="5">
      <t>ホショウニン</t>
    </rPh>
    <rPh sb="5" eb="7">
      <t>クブン</t>
    </rPh>
    <phoneticPr fontId="1"/>
  </si>
  <si>
    <t>本人保証人区分に誤りがあります</t>
  </si>
  <si>
    <t>EFF30001</t>
  </si>
  <si>
    <t>本人配偶者区分</t>
    <rPh sb="0" eb="2">
      <t>ホンニン</t>
    </rPh>
    <rPh sb="2" eb="5">
      <t>ハイグウシャ</t>
    </rPh>
    <rPh sb="5" eb="7">
      <t>クブン</t>
    </rPh>
    <phoneticPr fontId="1"/>
  </si>
  <si>
    <t>本人配偶者区分に誤りがあります</t>
  </si>
  <si>
    <t>EFF31001</t>
  </si>
  <si>
    <t>契約日</t>
    <rPh sb="0" eb="3">
      <t>ケイヤクビ</t>
    </rPh>
    <phoneticPr fontId="1"/>
  </si>
  <si>
    <t>確定日</t>
    <rPh sb="0" eb="2">
      <t>カクテイ</t>
    </rPh>
    <rPh sb="2" eb="3">
      <t>ビ</t>
    </rPh>
    <phoneticPr fontId="1"/>
  </si>
  <si>
    <t>20200402</t>
    <phoneticPr fontId="1"/>
  </si>
  <si>
    <t>契約日に未来日は入力できません</t>
  </si>
  <si>
    <t>EFF32001</t>
  </si>
  <si>
    <t>契約管理区分</t>
    <rPh sb="0" eb="2">
      <t>ケイヤク</t>
    </rPh>
    <rPh sb="2" eb="4">
      <t>カンリ</t>
    </rPh>
    <rPh sb="4" eb="6">
      <t>クブン</t>
    </rPh>
    <phoneticPr fontId="1"/>
  </si>
  <si>
    <t>01</t>
    <phoneticPr fontId="1"/>
  </si>
  <si>
    <t>05</t>
    <phoneticPr fontId="1"/>
  </si>
  <si>
    <t>契約管理区分に誤りがあります</t>
  </si>
  <si>
    <t>EFF33001</t>
  </si>
  <si>
    <t>商品コード１(CIC)</t>
    <phoneticPr fontId="1"/>
  </si>
  <si>
    <t>#Q01</t>
    <phoneticPr fontId="1"/>
  </si>
  <si>
    <t>#R11</t>
    <phoneticPr fontId="1"/>
  </si>
  <si>
    <t>&amp;Q01</t>
    <phoneticPr fontId="1"/>
  </si>
  <si>
    <t>&amp;R11</t>
    <phoneticPr fontId="1"/>
  </si>
  <si>
    <t>#Q03</t>
    <phoneticPr fontId="1"/>
  </si>
  <si>
    <t>商品コード１（ＣＩＣ）に誤りがあります</t>
  </si>
  <si>
    <t>EFF34001</t>
  </si>
  <si>
    <t>担保保証人有無</t>
    <phoneticPr fontId="1"/>
  </si>
  <si>
    <t>担保保証人有無に誤りがあります</t>
  </si>
  <si>
    <t>EFF35002</t>
  </si>
  <si>
    <t>契約額(元金のみ)</t>
    <phoneticPr fontId="1"/>
  </si>
  <si>
    <t>契約額（元金のみ）に誤りがあります</t>
  </si>
  <si>
    <t>EFG35001</t>
  </si>
  <si>
    <t>100000</t>
    <phoneticPr fontId="1"/>
  </si>
  <si>
    <t>契約額（元金のみ）は入力できません</t>
  </si>
  <si>
    <t>EFF36001</t>
  </si>
  <si>
    <t>契約額(CIC)</t>
    <phoneticPr fontId="1"/>
  </si>
  <si>
    <t>1234567890</t>
    <phoneticPr fontId="1"/>
  </si>
  <si>
    <t>NNNNNNNNNN</t>
    <phoneticPr fontId="1"/>
  </si>
  <si>
    <r>
      <rPr>
        <sz val="10"/>
        <color rgb="FFFF0000"/>
        <rFont val="游ゴシック"/>
        <family val="3"/>
        <charset val="128"/>
      </rPr>
      <t>ｴ</t>
    </r>
    <r>
      <rPr>
        <sz val="10"/>
        <rFont val="游ゴシック"/>
        <family val="3"/>
        <charset val="128"/>
      </rPr>
      <t>234567890</t>
    </r>
    <phoneticPr fontId="1"/>
  </si>
  <si>
    <t>極度額（ＣＩＣ）に誤りがあります</t>
  </si>
  <si>
    <r>
      <t>123456789</t>
    </r>
    <r>
      <rPr>
        <sz val="10"/>
        <color rgb="FFFF0000"/>
        <rFont val="游ゴシック"/>
        <family val="3"/>
        <charset val="128"/>
      </rPr>
      <t>C</t>
    </r>
    <phoneticPr fontId="1"/>
  </si>
  <si>
    <r>
      <rPr>
        <sz val="10"/>
        <color rgb="FFFF0000"/>
        <rFont val="游ゴシック"/>
        <family val="3"/>
        <charset val="128"/>
      </rPr>
      <t>=</t>
    </r>
    <r>
      <rPr>
        <sz val="10"/>
        <rFont val="游ゴシック"/>
        <family val="3"/>
        <charset val="128"/>
      </rPr>
      <t>234567890</t>
    </r>
    <phoneticPr fontId="1"/>
  </si>
  <si>
    <r>
      <t>1</t>
    </r>
    <r>
      <rPr>
        <sz val="10"/>
        <color rgb="FFFF0000"/>
        <rFont val="游ゴシック"/>
        <family val="3"/>
        <charset val="128"/>
      </rPr>
      <t>`</t>
    </r>
    <r>
      <rPr>
        <sz val="10"/>
        <rFont val="游ゴシック"/>
        <family val="3"/>
        <charset val="128"/>
      </rPr>
      <t>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</si>
  <si>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#</t>
    </r>
    <r>
      <rPr>
        <sz val="10"/>
        <rFont val="游ゴシック"/>
        <family val="3"/>
        <charset val="128"/>
      </rPr>
      <t>4567890</t>
    </r>
    <phoneticPr fontId="1"/>
  </si>
  <si>
    <t>EFF37001</t>
  </si>
  <si>
    <t>キャッシング極度額</t>
    <rPh sb="6" eb="8">
      <t>キョクド</t>
    </rPh>
    <rPh sb="8" eb="9">
      <t>ガク</t>
    </rPh>
    <phoneticPr fontId="1"/>
  </si>
  <si>
    <r>
      <rPr>
        <sz val="10"/>
        <color rgb="FFFF0000"/>
        <rFont val="游ゴシック"/>
        <family val="3"/>
        <charset val="128"/>
      </rPr>
      <t>ｵ</t>
    </r>
    <r>
      <rPr>
        <sz val="10"/>
        <rFont val="游ゴシック"/>
        <family val="3"/>
        <charset val="128"/>
      </rPr>
      <t>234567890</t>
    </r>
    <phoneticPr fontId="1"/>
  </si>
  <si>
    <t>キャッシング極度額に入力不可の文字が入力されています</t>
  </si>
  <si>
    <r>
      <t>123456789</t>
    </r>
    <r>
      <rPr>
        <sz val="10"/>
        <color rgb="FFFF0000"/>
        <rFont val="游ゴシック"/>
        <family val="3"/>
        <charset val="128"/>
      </rPr>
      <t>D</t>
    </r>
    <phoneticPr fontId="1"/>
  </si>
  <si>
    <r>
      <rPr>
        <sz val="10"/>
        <color rgb="FFFF0000"/>
        <rFont val="游ゴシック"/>
        <family val="3"/>
        <charset val="128"/>
      </rPr>
      <t>'</t>
    </r>
    <r>
      <rPr>
        <sz val="10"/>
        <rFont val="游ゴシック"/>
        <family val="3"/>
        <charset val="128"/>
      </rPr>
      <t>234567890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</si>
  <si>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:</t>
    </r>
    <r>
      <rPr>
        <sz val="10"/>
        <rFont val="游ゴシック"/>
        <family val="3"/>
        <charset val="128"/>
      </rPr>
      <t>4567890</t>
    </r>
    <phoneticPr fontId="1"/>
  </si>
  <si>
    <t>EFG37004</t>
  </si>
  <si>
    <t>極度額(CIC)</t>
    <rPh sb="0" eb="2">
      <t>キョクド</t>
    </rPh>
    <rPh sb="2" eb="3">
      <t>ガク</t>
    </rPh>
    <phoneticPr fontId="1"/>
  </si>
  <si>
    <t>100001</t>
    <phoneticPr fontId="1"/>
  </si>
  <si>
    <t>キャッシング極度額に極度額を超える値は入力できません</t>
  </si>
  <si>
    <t>０</t>
    <phoneticPr fontId="1"/>
  </si>
  <si>
    <t>EFF38001</t>
  </si>
  <si>
    <t>貸金遅延区分(CIC)</t>
    <phoneticPr fontId="1"/>
  </si>
  <si>
    <t>0△</t>
    <phoneticPr fontId="1"/>
  </si>
  <si>
    <t>1△</t>
    <phoneticPr fontId="1"/>
  </si>
  <si>
    <t>2△</t>
    <phoneticPr fontId="1"/>
  </si>
  <si>
    <t>3△</t>
    <phoneticPr fontId="1"/>
  </si>
  <si>
    <t>9△</t>
    <phoneticPr fontId="1"/>
  </si>
  <si>
    <t>貸金遅延区分（ＣＩＣ）に誤りがあります</t>
  </si>
  <si>
    <t>EFF39001</t>
  </si>
  <si>
    <t>終了コメント(日次)</t>
    <phoneticPr fontId="1"/>
  </si>
  <si>
    <t>終了コメント（日次）に誤りがあります</t>
  </si>
  <si>
    <t>EFG39003</t>
  </si>
  <si>
    <t>残高(CIC)</t>
  </si>
  <si>
    <t>終了コメント有の場合、残高に０円を入力してください</t>
  </si>
  <si>
    <t>EFF40002</t>
  </si>
  <si>
    <t>確定日に誤りがあります</t>
  </si>
  <si>
    <t>EFF40001</t>
  </si>
  <si>
    <t>［テスト実施日］</t>
  </si>
  <si>
    <t>［テスト実施日］＋1日</t>
  </si>
  <si>
    <t>確定日に未来日は入力できません</t>
  </si>
  <si>
    <t>EFG42001</t>
  </si>
  <si>
    <t>出金日／利用日</t>
    <phoneticPr fontId="1"/>
  </si>
  <si>
    <t>確定日以降の出金日／利用日は入力できません</t>
  </si>
  <si>
    <t>EFF43002</t>
  </si>
  <si>
    <t>貸付額</t>
    <phoneticPr fontId="1"/>
  </si>
  <si>
    <t>貸付額に誤りがあります</t>
  </si>
  <si>
    <t>EFF43001</t>
  </si>
  <si>
    <r>
      <rPr>
        <sz val="10"/>
        <color rgb="FFFF0000"/>
        <rFont val="游ゴシック"/>
        <family val="3"/>
        <charset val="128"/>
      </rPr>
      <t>ｶ</t>
    </r>
    <r>
      <rPr>
        <sz val="10"/>
        <rFont val="游ゴシック"/>
        <family val="3"/>
        <charset val="128"/>
      </rPr>
      <t>234567890</t>
    </r>
    <phoneticPr fontId="1"/>
  </si>
  <si>
    <t>貸付額に入力不可の文字が入力されています</t>
  </si>
  <si>
    <r>
      <t>123456789</t>
    </r>
    <r>
      <rPr>
        <sz val="10"/>
        <color rgb="FFFF0000"/>
        <rFont val="游ゴシック"/>
        <family val="3"/>
        <charset val="128"/>
      </rPr>
      <t>E</t>
    </r>
    <phoneticPr fontId="1"/>
  </si>
  <si>
    <r>
      <rPr>
        <sz val="10"/>
        <color rgb="FFFF0000"/>
        <rFont val="游ゴシック"/>
        <family val="3"/>
        <charset val="128"/>
      </rPr>
      <t>,</t>
    </r>
    <r>
      <rPr>
        <sz val="10"/>
        <rFont val="游ゴシック"/>
        <family val="3"/>
        <charset val="128"/>
      </rPr>
      <t>234567890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</si>
  <si>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?</t>
    </r>
    <r>
      <rPr>
        <sz val="10"/>
        <rFont val="游ゴシック"/>
        <family val="3"/>
        <charset val="128"/>
      </rPr>
      <t>4567890</t>
    </r>
    <phoneticPr fontId="1"/>
  </si>
  <si>
    <t>EFG43002</t>
  </si>
  <si>
    <t>貸付額を入力する場合、出金日／利用日を入力してください</t>
  </si>
  <si>
    <t>EFG43003</t>
  </si>
  <si>
    <t>チェック仕様書№66、70でエラーとなる</t>
  </si>
  <si>
    <t>チェック仕様書№66でエラーとなる</t>
  </si>
  <si>
    <t>チェック仕様書№70でエラーとなる</t>
  </si>
  <si>
    <t>貸付額と出金額のいずれかを入力してください</t>
  </si>
  <si>
    <t>EFF44002</t>
  </si>
  <si>
    <t>出金額</t>
    <rPh sb="0" eb="2">
      <t>シュッキン</t>
    </rPh>
    <rPh sb="2" eb="3">
      <t>ガク</t>
    </rPh>
    <phoneticPr fontId="1"/>
  </si>
  <si>
    <t>出金額に誤りがあります</t>
  </si>
  <si>
    <t>EFF44001</t>
  </si>
  <si>
    <r>
      <rPr>
        <sz val="10"/>
        <color rgb="FFFF0000"/>
        <rFont val="游ゴシック"/>
        <family val="3"/>
        <charset val="128"/>
      </rPr>
      <t>ｷ</t>
    </r>
    <r>
      <rPr>
        <sz val="10"/>
        <rFont val="游ゴシック"/>
        <family val="3"/>
        <charset val="128"/>
      </rPr>
      <t>234567890</t>
    </r>
    <phoneticPr fontId="1"/>
  </si>
  <si>
    <t>出金額に入力不可の文字が入力されています</t>
  </si>
  <si>
    <r>
      <t>123456789</t>
    </r>
    <r>
      <rPr>
        <sz val="10"/>
        <color rgb="FFFF0000"/>
        <rFont val="游ゴシック"/>
        <family val="3"/>
        <charset val="128"/>
      </rPr>
      <t>F</t>
    </r>
    <phoneticPr fontId="1"/>
  </si>
  <si>
    <r>
      <rPr>
        <sz val="10"/>
        <color rgb="FFFF0000"/>
        <rFont val="游ゴシック"/>
        <family val="3"/>
        <charset val="128"/>
      </rPr>
      <t>)</t>
    </r>
    <r>
      <rPr>
        <sz val="10"/>
        <rFont val="游ゴシック"/>
        <family val="3"/>
        <charset val="128"/>
      </rPr>
      <t>234567890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</si>
  <si>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&gt;</t>
    </r>
    <r>
      <rPr>
        <sz val="10"/>
        <rFont val="游ゴシック"/>
        <family val="3"/>
        <charset val="128"/>
      </rPr>
      <t>4567890</t>
    </r>
    <phoneticPr fontId="1"/>
  </si>
  <si>
    <t>EFG44001</t>
  </si>
  <si>
    <t>出金額を入力する場合、出金日／利用日を入力してください</t>
  </si>
  <si>
    <t>EFF45002</t>
  </si>
  <si>
    <t>残高(CIC)</t>
    <phoneticPr fontId="1"/>
  </si>
  <si>
    <t>残高（ＣＩＣ）に誤りがあります</t>
  </si>
  <si>
    <t>EFF45001</t>
  </si>
  <si>
    <r>
      <rPr>
        <sz val="10"/>
        <color rgb="FFFF0000"/>
        <rFont val="游ゴシック"/>
        <family val="3"/>
        <charset val="128"/>
      </rPr>
      <t>ｸ</t>
    </r>
    <r>
      <rPr>
        <sz val="10"/>
        <rFont val="游ゴシック"/>
        <family val="3"/>
        <charset val="128"/>
      </rPr>
      <t>234567890</t>
    </r>
    <phoneticPr fontId="1"/>
  </si>
  <si>
    <t>残高（ＣＩＣ）に入力不可の文字が入力されています</t>
  </si>
  <si>
    <r>
      <t>123456789</t>
    </r>
    <r>
      <rPr>
        <sz val="10"/>
        <color rgb="FFFF0000"/>
        <rFont val="游ゴシック"/>
        <family val="3"/>
        <charset val="128"/>
      </rPr>
      <t>G</t>
    </r>
    <phoneticPr fontId="1"/>
  </si>
  <si>
    <r>
      <rPr>
        <sz val="10"/>
        <color rgb="FFFF0000"/>
        <rFont val="游ゴシック"/>
        <family val="3"/>
        <charset val="128"/>
      </rPr>
      <t>(</t>
    </r>
    <r>
      <rPr>
        <sz val="10"/>
        <rFont val="游ゴシック"/>
        <family val="3"/>
        <charset val="128"/>
      </rPr>
      <t>234567890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</si>
  <si>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_</t>
    </r>
    <r>
      <rPr>
        <sz val="10"/>
        <rFont val="游ゴシック"/>
        <family val="3"/>
        <charset val="128"/>
      </rPr>
      <t>4567890</t>
    </r>
    <phoneticPr fontId="1"/>
  </si>
  <si>
    <t>EFF46003</t>
  </si>
  <si>
    <t>キャッシング残高</t>
    <phoneticPr fontId="1"/>
  </si>
  <si>
    <t>キャッシング残高に誤りがあります</t>
  </si>
  <si>
    <t>EFF46001</t>
  </si>
  <si>
    <r>
      <rPr>
        <sz val="10"/>
        <color rgb="FFFF0000"/>
        <rFont val="游ゴシック"/>
        <family val="3"/>
        <charset val="128"/>
      </rPr>
      <t>ｹ</t>
    </r>
    <r>
      <rPr>
        <sz val="10"/>
        <rFont val="游ゴシック"/>
        <family val="3"/>
        <charset val="128"/>
      </rPr>
      <t>234567890</t>
    </r>
    <phoneticPr fontId="1"/>
  </si>
  <si>
    <t>EFF46001</t>
    <phoneticPr fontId="1"/>
  </si>
  <si>
    <t>キャッシング残高に入力不可の文字が入力されています</t>
  </si>
  <si>
    <r>
      <t>123456789</t>
    </r>
    <r>
      <rPr>
        <sz val="10"/>
        <color rgb="FFFF0000"/>
        <rFont val="游ゴシック"/>
        <family val="3"/>
        <charset val="128"/>
      </rPr>
      <t>H</t>
    </r>
    <phoneticPr fontId="1"/>
  </si>
  <si>
    <r>
      <rPr>
        <sz val="10"/>
        <color rgb="FFFF0000"/>
        <rFont val="游ゴシック"/>
        <family val="3"/>
        <charset val="128"/>
      </rPr>
      <t>.</t>
    </r>
    <r>
      <rPr>
        <sz val="10"/>
        <rFont val="游ゴシック"/>
        <family val="3"/>
        <charset val="128"/>
      </rPr>
      <t>234567890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</si>
  <si>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%</t>
    </r>
    <r>
      <rPr>
        <sz val="10"/>
        <rFont val="游ゴシック"/>
        <family val="3"/>
        <charset val="128"/>
      </rPr>
      <t>4567890</t>
    </r>
    <phoneticPr fontId="1"/>
  </si>
  <si>
    <t>EFG46002</t>
  </si>
  <si>
    <t>キャッシング残高に残高（ＣＩＣ）を超える値は入力できません</t>
  </si>
  <si>
    <t>EFF53001</t>
  </si>
  <si>
    <t>入金日</t>
    <rPh sb="0" eb="2">
      <t>ニュウキン</t>
    </rPh>
    <rPh sb="2" eb="3">
      <t>ビ</t>
    </rPh>
    <phoneticPr fontId="1"/>
  </si>
  <si>
    <t>入金日に未来日は入力できません</t>
  </si>
  <si>
    <t>EFG54002</t>
  </si>
  <si>
    <t>入金予定日</t>
    <rPh sb="0" eb="2">
      <t>ニュウキン</t>
    </rPh>
    <rPh sb="2" eb="4">
      <t>ヨテイ</t>
    </rPh>
    <rPh sb="4" eb="5">
      <t>ビ</t>
    </rPh>
    <phoneticPr fontId="1"/>
  </si>
  <si>
    <t>（設定値無し）</t>
    <rPh sb="1" eb="5">
      <t>セッテイチナ</t>
    </rPh>
    <phoneticPr fontId="1"/>
  </si>
  <si>
    <t>0</t>
    <phoneticPr fontId="1"/>
  </si>
  <si>
    <t>20200331</t>
    <phoneticPr fontId="1"/>
  </si>
  <si>
    <t>20200401</t>
    <phoneticPr fontId="1"/>
  </si>
  <si>
    <t>1</t>
    <phoneticPr fontId="1"/>
  </si>
  <si>
    <t>20200331</t>
  </si>
  <si>
    <t>20200401</t>
  </si>
  <si>
    <t>契約日以前の入金予定日は入力できません</t>
  </si>
  <si>
    <t>EFG54003</t>
  </si>
  <si>
    <t>入金日</t>
    <rPh sb="0" eb="2">
      <t>ニュウキン</t>
    </rPh>
    <phoneticPr fontId="1"/>
  </si>
  <si>
    <t>20200402</t>
  </si>
  <si>
    <t>入金日以前の入金予定日は入力できません</t>
  </si>
  <si>
    <t>EFG54004</t>
  </si>
  <si>
    <t>残高（ＣＩＣ）０円の場合、入金予定日は入力できません</t>
  </si>
  <si>
    <t>EFF56001</t>
  </si>
  <si>
    <t>運転免許証番号</t>
    <phoneticPr fontId="1"/>
  </si>
  <si>
    <t>123456789012</t>
    <phoneticPr fontId="1"/>
  </si>
  <si>
    <r>
      <rPr>
        <sz val="10"/>
        <color rgb="FFFF0000"/>
        <rFont val="游ゴシック"/>
        <family val="3"/>
        <charset val="128"/>
      </rPr>
      <t>ｺ</t>
    </r>
    <r>
      <rPr>
        <sz val="10"/>
        <rFont val="游ゴシック"/>
        <family val="3"/>
        <charset val="128"/>
      </rPr>
      <t>23456789012</t>
    </r>
    <phoneticPr fontId="1"/>
  </si>
  <si>
    <t>運転免許証番号に誤りがあります</t>
  </si>
  <si>
    <r>
      <t>12345678901</t>
    </r>
    <r>
      <rPr>
        <sz val="10"/>
        <color rgb="FFFF0000"/>
        <rFont val="游ゴシック"/>
        <family val="3"/>
        <charset val="128"/>
      </rPr>
      <t>I</t>
    </r>
    <phoneticPr fontId="1"/>
  </si>
  <si>
    <r>
      <rPr>
        <sz val="10"/>
        <color rgb="FFFF0000"/>
        <rFont val="游ゴシック"/>
        <family val="3"/>
        <charset val="128"/>
      </rPr>
      <t>.</t>
    </r>
    <r>
      <rPr>
        <sz val="10"/>
        <rFont val="游ゴシック"/>
        <family val="3"/>
        <charset val="128"/>
      </rPr>
      <t>23456789012</t>
    </r>
    <phoneticPr fontId="1"/>
  </si>
  <si>
    <r>
      <t>1</t>
    </r>
    <r>
      <rPr>
        <sz val="10"/>
        <color rgb="FFFF0000"/>
        <rFont val="游ゴシック"/>
        <family val="3"/>
        <charset val="128"/>
      </rPr>
      <t>`</t>
    </r>
    <r>
      <rPr>
        <sz val="10"/>
        <rFont val="游ゴシック"/>
        <family val="3"/>
        <charset val="128"/>
      </rPr>
      <t>3456789012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</si>
  <si>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/</t>
    </r>
    <r>
      <rPr>
        <sz val="10"/>
        <rFont val="游ゴシック"/>
        <family val="3"/>
        <charset val="128"/>
      </rPr>
      <t>456789012</t>
    </r>
    <phoneticPr fontId="1"/>
  </si>
  <si>
    <t>12345678901</t>
    <phoneticPr fontId="1"/>
  </si>
  <si>
    <t>1234567890123</t>
    <phoneticPr fontId="1"/>
  </si>
  <si>
    <t>89、90</t>
    <phoneticPr fontId="1"/>
  </si>
  <si>
    <t>EFG55001</t>
  </si>
  <si>
    <t>運転免許証確認日</t>
    <phoneticPr fontId="1"/>
  </si>
  <si>
    <t>運転免許証番号と確認日はセットで入力してください</t>
  </si>
  <si>
    <t>チェック仕様書№90でエラーとなる</t>
  </si>
  <si>
    <t>89、90</t>
  </si>
  <si>
    <t>チェック仕様書№89でエラーとなる</t>
  </si>
  <si>
    <t>EFF56002</t>
  </si>
  <si>
    <t>パスポート番号</t>
    <phoneticPr fontId="1"/>
  </si>
  <si>
    <t>ABCDEFGHI</t>
    <phoneticPr fontId="1"/>
  </si>
  <si>
    <t>JKLMNOPQR</t>
    <phoneticPr fontId="1"/>
  </si>
  <si>
    <t>STUVWXYZ0</t>
    <phoneticPr fontId="1"/>
  </si>
  <si>
    <t>123456789</t>
    <phoneticPr fontId="1"/>
  </si>
  <si>
    <r>
      <rPr>
        <sz val="10"/>
        <color rgb="FFFF0000"/>
        <rFont val="游ゴシック"/>
        <family val="3"/>
        <charset val="128"/>
      </rPr>
      <t>ｻ</t>
    </r>
    <r>
      <rPr>
        <sz val="10"/>
        <rFont val="游ゴシック"/>
        <family val="3"/>
        <charset val="128"/>
      </rPr>
      <t>23456789</t>
    </r>
    <phoneticPr fontId="1"/>
  </si>
  <si>
    <t>パスポート番号に誤りがあります</t>
  </si>
  <si>
    <r>
      <t>12345678</t>
    </r>
    <r>
      <rPr>
        <sz val="10"/>
        <color rgb="FFFF0000"/>
        <rFont val="游ゴシック"/>
        <family val="3"/>
        <charset val="128"/>
      </rPr>
      <t>J</t>
    </r>
    <phoneticPr fontId="1"/>
  </si>
  <si>
    <r>
      <rPr>
        <sz val="10"/>
        <color rgb="FFFF0000"/>
        <rFont val="游ゴシック"/>
        <family val="3"/>
        <charset val="128"/>
      </rPr>
      <t>･</t>
    </r>
    <r>
      <rPr>
        <sz val="10"/>
        <rFont val="游ゴシック"/>
        <family val="3"/>
        <charset val="128"/>
      </rPr>
      <t>23456789</t>
    </r>
    <phoneticPr fontId="1"/>
  </si>
  <si>
    <r>
      <t>1</t>
    </r>
    <r>
      <rPr>
        <sz val="10"/>
        <color rgb="FFFF0000"/>
        <rFont val="游ゴシック"/>
        <family val="3"/>
        <charset val="128"/>
      </rPr>
      <t>`</t>
    </r>
    <r>
      <rPr>
        <sz val="10"/>
        <rFont val="游ゴシック"/>
        <family val="3"/>
        <charset val="128"/>
      </rPr>
      <t>3456789</t>
    </r>
    <phoneticPr fontId="1"/>
  </si>
  <si>
    <r>
      <t>12</t>
    </r>
    <r>
      <rPr>
        <sz val="10"/>
        <color rgb="FFFF0000"/>
        <rFont val="游ゴシック"/>
        <family val="3"/>
        <charset val="128"/>
      </rPr>
      <t>;</t>
    </r>
    <r>
      <rPr>
        <sz val="10"/>
        <rFont val="游ゴシック"/>
        <family val="3"/>
        <charset val="128"/>
      </rPr>
      <t>456789</t>
    </r>
    <phoneticPr fontId="1"/>
  </si>
  <si>
    <t>12345678</t>
    <phoneticPr fontId="1"/>
  </si>
  <si>
    <t>123△45678</t>
    <phoneticPr fontId="1"/>
  </si>
  <si>
    <t>92、93</t>
    <phoneticPr fontId="1"/>
  </si>
  <si>
    <t>EFG55002</t>
  </si>
  <si>
    <t>パスポート確認日</t>
    <rPh sb="5" eb="7">
      <t>カクニン</t>
    </rPh>
    <rPh sb="7" eb="8">
      <t>ビ</t>
    </rPh>
    <phoneticPr fontId="1"/>
  </si>
  <si>
    <t>パスポート番号と確認日はセットで入力してください</t>
  </si>
  <si>
    <t>チェック仕様書№93でエラーとなる</t>
  </si>
  <si>
    <t>92、93</t>
  </si>
  <si>
    <t>チェック仕様書№92でエラーとなる</t>
  </si>
  <si>
    <t>EFF56003</t>
  </si>
  <si>
    <t>外国人登録証明書番号</t>
    <rPh sb="0" eb="5">
      <t>ガイコクジントウロク</t>
    </rPh>
    <rPh sb="5" eb="8">
      <t>ショウメイショ</t>
    </rPh>
    <rPh sb="8" eb="10">
      <t>バンゴウ</t>
    </rPh>
    <phoneticPr fontId="1"/>
  </si>
  <si>
    <t>ABCDEFGHIJ</t>
    <phoneticPr fontId="1"/>
  </si>
  <si>
    <t>KLMNOPQRST</t>
    <phoneticPr fontId="1"/>
  </si>
  <si>
    <t>UVWXYZ0123</t>
    <phoneticPr fontId="1"/>
  </si>
  <si>
    <r>
      <rPr>
        <sz val="10"/>
        <color rgb="FFFF0000"/>
        <rFont val="游ゴシック"/>
        <family val="3"/>
        <charset val="128"/>
      </rPr>
      <t>ｼ</t>
    </r>
    <r>
      <rPr>
        <sz val="10"/>
        <rFont val="游ゴシック"/>
        <family val="3"/>
        <charset val="128"/>
      </rPr>
      <t>123456789</t>
    </r>
    <phoneticPr fontId="1"/>
  </si>
  <si>
    <t>外国人登録証明書番号に誤りがあります</t>
  </si>
  <si>
    <r>
      <t>012345678</t>
    </r>
    <r>
      <rPr>
        <sz val="10"/>
        <color rgb="FFFF0000"/>
        <rFont val="游ゴシック"/>
        <family val="3"/>
        <charset val="128"/>
      </rPr>
      <t>K</t>
    </r>
    <phoneticPr fontId="1"/>
  </si>
  <si>
    <r>
      <rPr>
        <sz val="10"/>
        <color rgb="FFFF0000"/>
        <rFont val="游ゴシック"/>
        <family val="3"/>
        <charset val="128"/>
      </rPr>
      <t>-</t>
    </r>
    <r>
      <rPr>
        <sz val="10"/>
        <rFont val="游ゴシック"/>
        <family val="3"/>
        <charset val="128"/>
      </rPr>
      <t>123456789</t>
    </r>
    <phoneticPr fontId="1"/>
  </si>
  <si>
    <r>
      <t>0</t>
    </r>
    <r>
      <rPr>
        <sz val="10"/>
        <color rgb="FFFF0000"/>
        <rFont val="游ゴシック"/>
        <family val="3"/>
        <charset val="128"/>
      </rPr>
      <t>`</t>
    </r>
    <r>
      <rPr>
        <sz val="10"/>
        <rFont val="游ゴシック"/>
        <family val="3"/>
        <charset val="128"/>
      </rPr>
      <t>23456789</t>
    </r>
    <phoneticPr fontId="1"/>
  </si>
  <si>
    <r>
      <t>01</t>
    </r>
    <r>
      <rPr>
        <sz val="10"/>
        <color rgb="FFFF0000"/>
        <rFont val="游ゴシック"/>
        <family val="3"/>
        <charset val="128"/>
      </rPr>
      <t>*</t>
    </r>
    <r>
      <rPr>
        <sz val="10"/>
        <rFont val="游ゴシック"/>
        <family val="3"/>
        <charset val="128"/>
      </rPr>
      <t>3456789</t>
    </r>
    <phoneticPr fontId="1"/>
  </si>
  <si>
    <t>0123△45678</t>
    <phoneticPr fontId="1"/>
  </si>
  <si>
    <t>95、96</t>
    <phoneticPr fontId="1"/>
  </si>
  <si>
    <t>EFG55003</t>
  </si>
  <si>
    <t>外国人登録証明書確認日</t>
    <rPh sb="8" eb="10">
      <t>カクニン</t>
    </rPh>
    <rPh sb="10" eb="11">
      <t>ビ</t>
    </rPh>
    <phoneticPr fontId="1"/>
  </si>
  <si>
    <t>外国人登録証明書番号と確認日はセットで入力してください</t>
  </si>
  <si>
    <t>チェック仕様書№96でエラーとなる</t>
  </si>
  <si>
    <t>95、96</t>
  </si>
  <si>
    <t>チェック仕様書№95でエラーとなる</t>
  </si>
  <si>
    <t>EFF57001</t>
  </si>
  <si>
    <t>運転免許証確認日</t>
    <rPh sb="5" eb="7">
      <t>カクニン</t>
    </rPh>
    <rPh sb="7" eb="8">
      <t>ビ</t>
    </rPh>
    <phoneticPr fontId="1"/>
  </si>
  <si>
    <t>運転免許証確認日に未来日は入力できません</t>
  </si>
  <si>
    <t>EFF57003</t>
  </si>
  <si>
    <t>パスポート確認日に未来日は入力できません</t>
  </si>
  <si>
    <t>EFF57005</t>
  </si>
  <si>
    <t>外国人登録証明書確認日</t>
    <rPh sb="0" eb="2">
      <t>ガイコク</t>
    </rPh>
    <rPh sb="2" eb="3">
      <t>ジン</t>
    </rPh>
    <rPh sb="3" eb="5">
      <t>トウロク</t>
    </rPh>
    <rPh sb="5" eb="8">
      <t>ショウメイショ</t>
    </rPh>
    <rPh sb="8" eb="10">
      <t>カクニン</t>
    </rPh>
    <rPh sb="10" eb="11">
      <t>ビ</t>
    </rPh>
    <phoneticPr fontId="1"/>
  </si>
  <si>
    <t>外国人登録証明書確認日に未来日は入力できません</t>
  </si>
  <si>
    <t>105、106</t>
    <phoneticPr fontId="1"/>
  </si>
  <si>
    <t>EFG58001</t>
  </si>
  <si>
    <t>健康保険証記号番号</t>
    <phoneticPr fontId="1"/>
  </si>
  <si>
    <t>健康保険証確認日</t>
    <rPh sb="5" eb="7">
      <t>カクニン</t>
    </rPh>
    <rPh sb="7" eb="8">
      <t>ビ</t>
    </rPh>
    <phoneticPr fontId="1"/>
  </si>
  <si>
    <t>健康保険証記号番号と確認日はセットで入力してください</t>
  </si>
  <si>
    <t>チェック仕様書№106でエラーとなる</t>
  </si>
  <si>
    <t>105、106</t>
  </si>
  <si>
    <t>健康保険証</t>
    <rPh sb="0" eb="1">
      <t>ケンコウ</t>
    </rPh>
    <rPh sb="1" eb="4">
      <t>ホケンショウ</t>
    </rPh>
    <phoneticPr fontId="1"/>
  </si>
  <si>
    <t>チェック仕様書№105でエラーとなる</t>
  </si>
  <si>
    <t>107、108</t>
    <phoneticPr fontId="1"/>
  </si>
  <si>
    <t>EFG58002</t>
  </si>
  <si>
    <t>その他公的資料記号番号</t>
    <phoneticPr fontId="1"/>
  </si>
  <si>
    <t>その他公的資料確認日</t>
    <rPh sb="7" eb="9">
      <t>カクニン</t>
    </rPh>
    <rPh sb="9" eb="10">
      <t>ビ</t>
    </rPh>
    <phoneticPr fontId="1"/>
  </si>
  <si>
    <t>その他公的資料記号番号と確認日はセットで入力してください</t>
  </si>
  <si>
    <t>チェック仕様書№108でエラーとなる</t>
  </si>
  <si>
    <t>107、108</t>
  </si>
  <si>
    <t>その他公的資料</t>
    <rPh sb="1" eb="2">
      <t>タ</t>
    </rPh>
    <rPh sb="2" eb="3">
      <t>コウ</t>
    </rPh>
    <rPh sb="3" eb="5">
      <t>コウテキ</t>
    </rPh>
    <rPh sb="5" eb="7">
      <t>シリョウ</t>
    </rPh>
    <phoneticPr fontId="1"/>
  </si>
  <si>
    <t>チェック仕様書№107でエラーとなる</t>
  </si>
  <si>
    <t>EFF60001</t>
  </si>
  <si>
    <t>健康保険証確認日に未来日は入力できません</t>
  </si>
  <si>
    <t>EFF60003</t>
  </si>
  <si>
    <t>その他公的資料確認日に未来日は入力できません</t>
  </si>
  <si>
    <t>EFF78001</t>
  </si>
  <si>
    <t>法定途上サービスコメント</t>
    <phoneticPr fontId="1"/>
  </si>
  <si>
    <t>法定途上サービスコメントに誤りがあります</t>
  </si>
  <si>
    <t>EFF81002</t>
  </si>
  <si>
    <t>アクセス種別区分</t>
    <phoneticPr fontId="1"/>
  </si>
  <si>
    <t>アクセス種別区分に誤りがあります</t>
  </si>
  <si>
    <t>EFF86001</t>
  </si>
  <si>
    <t>会社区分</t>
    <phoneticPr fontId="1"/>
  </si>
  <si>
    <t>001</t>
    <phoneticPr fontId="1"/>
  </si>
  <si>
    <t>会社区分を入力してください</t>
  </si>
  <si>
    <t>EFF87001</t>
  </si>
  <si>
    <t>保証者番号</t>
    <phoneticPr fontId="1"/>
  </si>
  <si>
    <t>00</t>
    <phoneticPr fontId="1"/>
  </si>
  <si>
    <t>保証者番号を入力してください</t>
  </si>
  <si>
    <t>EFF88001</t>
  </si>
  <si>
    <t>Ccms検索用契約番号</t>
    <phoneticPr fontId="1"/>
  </si>
  <si>
    <t>Ｃｃｍｓ検索用契約番号を入力してください</t>
  </si>
  <si>
    <t>EFF91002</t>
  </si>
  <si>
    <t>処理区分</t>
    <phoneticPr fontId="1"/>
  </si>
  <si>
    <t>処理区分に誤りがあります</t>
  </si>
  <si>
    <t>EFF92002</t>
  </si>
  <si>
    <t>登録削除区分</t>
    <phoneticPr fontId="1"/>
  </si>
  <si>
    <t>登録削除区分に誤りがあります</t>
  </si>
  <si>
    <t>EFF47001</t>
  </si>
  <si>
    <t>前月残高</t>
    <phoneticPr fontId="1"/>
  </si>
  <si>
    <t>前月残高に誤りがあります</t>
  </si>
  <si>
    <t>EFF48001</t>
  </si>
  <si>
    <t>キャッシング前月残高</t>
    <phoneticPr fontId="1"/>
  </si>
  <si>
    <t>キャッシング前月残高に誤りがあります</t>
  </si>
  <si>
    <t>EFF49001</t>
  </si>
  <si>
    <t>利用累計額</t>
    <phoneticPr fontId="1"/>
  </si>
  <si>
    <t>利用累計額に誤りがあります</t>
  </si>
  <si>
    <t>EFF50001</t>
  </si>
  <si>
    <t>キャッシング利用累計額</t>
    <phoneticPr fontId="1"/>
  </si>
  <si>
    <t>キャッシング利用累計額に誤りがあります</t>
  </si>
  <si>
    <t>EFF51001</t>
  </si>
  <si>
    <t>支払累計額</t>
    <phoneticPr fontId="1"/>
  </si>
  <si>
    <t>支払累計額に誤りがあります</t>
  </si>
  <si>
    <t>EFF52001</t>
  </si>
  <si>
    <t>キャッシング支払累計額</t>
    <phoneticPr fontId="1"/>
  </si>
  <si>
    <t>キャッシング支払累計額に誤りがあります</t>
  </si>
  <si>
    <t>C:\workspace\jason\sourceAutoGen\conf\junitTemplate.txt</t>
    <phoneticPr fontId="1"/>
  </si>
  <si>
    <t>C:\Temp</t>
    <phoneticPr fontId="1"/>
  </si>
  <si>
    <t>targetText</t>
  </si>
  <si>
    <t>funcRecordValid</t>
  </si>
  <si>
    <t>単体テストケース一覧【Ccmsマスタ更新_CIC_FF】（チェック仕様書）</t>
    <phoneticPr fontId="1"/>
  </si>
  <si>
    <t>test</t>
    <phoneticPr fontId="1"/>
  </si>
  <si>
    <t>キー</t>
    <phoneticPr fontId="1"/>
  </si>
  <si>
    <t>値</t>
    <rPh sb="0" eb="1">
      <t>アタイ</t>
    </rPh>
    <phoneticPr fontId="1"/>
  </si>
  <si>
    <t>C:\workspace\jason\sourceAutoGen\conf\dcardFieldMapping.txt</t>
    <phoneticPr fontId="1"/>
  </si>
  <si>
    <t>C:\Doc\Dカード\020_詳細設計書\002_カスタマイズ\001_カスタマイズ(API)\011_プログラム設計書\API通信\01_プログラム設計書(API通信機能).xls</t>
    <phoneticPr fontId="1"/>
  </si>
  <si>
    <t>アクセス種別区分</t>
  </si>
  <si>
    <t>setAccessshubetukbn</t>
  </si>
  <si>
    <t>処理年月日</t>
  </si>
  <si>
    <t>setProcessdate</t>
  </si>
  <si>
    <t>処理時刻</t>
  </si>
  <si>
    <t>setProcesstime</t>
  </si>
  <si>
    <t>処理連番</t>
  </si>
  <si>
    <t>setProcessseq</t>
  </si>
  <si>
    <t>結果コード</t>
  </si>
  <si>
    <t>setResultcd</t>
  </si>
  <si>
    <t>setMessageid</t>
  </si>
  <si>
    <t>メッセージ内容</t>
  </si>
  <si>
    <t>setMessageny</t>
  </si>
  <si>
    <t>setHoKb</t>
  </si>
  <si>
    <t>setBnsiNo</t>
  </si>
  <si>
    <t>Ccms検索用契約番号</t>
  </si>
  <si>
    <t>setSearchKiykcicNo</t>
  </si>
  <si>
    <t>端末ID</t>
  </si>
  <si>
    <t>setTerminalId</t>
  </si>
  <si>
    <t>setUserId</t>
  </si>
  <si>
    <t>処理区分</t>
  </si>
  <si>
    <t>setSyoriKb</t>
  </si>
  <si>
    <t>登録削除区分</t>
  </si>
  <si>
    <t>setInsUpdKb</t>
  </si>
  <si>
    <t>setCustcicNmk</t>
  </si>
  <si>
    <t>setCustcicNmj</t>
  </si>
  <si>
    <t>setCustcicNma</t>
  </si>
  <si>
    <t>setBrthYmd</t>
  </si>
  <si>
    <t>setJpostNo</t>
  </si>
  <si>
    <t>setCustaddrNmk</t>
  </si>
  <si>
    <t>setCustaddrcicNmj</t>
  </si>
  <si>
    <t>setHtelNo1</t>
  </si>
  <si>
    <t>setJtelNo2</t>
  </si>
  <si>
    <t>setKinmcicNmk</t>
  </si>
  <si>
    <t>setKinmtelNo</t>
  </si>
  <si>
    <t>setKiykcicNo</t>
  </si>
  <si>
    <t>setCyfkentrkisyKb</t>
  </si>
  <si>
    <t>setHonninhosyKb</t>
  </si>
  <si>
    <t>setHnhigKb</t>
  </si>
  <si>
    <t>setKiykYmd</t>
  </si>
  <si>
    <t>setKiykknrKb</t>
  </si>
  <si>
    <t>商品コード１（CIC）</t>
  </si>
  <si>
    <t>setSyhnCd</t>
  </si>
  <si>
    <t>setTnpohosyKb</t>
  </si>
  <si>
    <t>setFfKiykGk</t>
  </si>
  <si>
    <t>setFfKykdGk</t>
  </si>
  <si>
    <t>setCashffKykdGk</t>
  </si>
  <si>
    <t>setChienKb</t>
  </si>
  <si>
    <t>setSyrcmntCd</t>
  </si>
  <si>
    <t>setKktYmd</t>
  </si>
  <si>
    <t>setKasibiYmd</t>
  </si>
  <si>
    <t>setKasiffGk</t>
  </si>
  <si>
    <t>setSkinffGk</t>
  </si>
  <si>
    <t>setFfZanGk</t>
  </si>
  <si>
    <t>setCashffZanGk</t>
  </si>
  <si>
    <t>setFfZzanGk</t>
  </si>
  <si>
    <t>setCashffZzanGk</t>
  </si>
  <si>
    <t>setFfRyGk</t>
  </si>
  <si>
    <t>setCashffRyGk</t>
  </si>
  <si>
    <t>setFfShrGk</t>
  </si>
  <si>
    <t>setCashffShrGk</t>
  </si>
  <si>
    <t>setShriYmd</t>
  </si>
  <si>
    <t>setShrplnYmd</t>
  </si>
  <si>
    <t>setUnmkyNo</t>
  </si>
  <si>
    <t>setUnmkykknYmd</t>
  </si>
  <si>
    <t>setPsprtNo</t>
  </si>
  <si>
    <t>setPsprtkknYmd</t>
  </si>
  <si>
    <t>setGijinNo</t>
  </si>
  <si>
    <t>setGijinkknYmd</t>
  </si>
  <si>
    <t>setKnkomrknoNo</t>
  </si>
  <si>
    <t>setKnkokknYmd</t>
  </si>
  <si>
    <t>setOthpblorgmrknoNmj</t>
  </si>
  <si>
    <t>setOthpblorgkknYmd</t>
  </si>
  <si>
    <t>setTjsvccmntKb</t>
  </si>
  <si>
    <t>ID</t>
    <phoneticPr fontId="1"/>
  </si>
  <si>
    <t>*</t>
    <phoneticPr fontId="1"/>
  </si>
  <si>
    <t>ポリシーID</t>
  </si>
  <si>
    <t>POLICY_ID</t>
  </si>
  <si>
    <t>INT</t>
  </si>
  <si>
    <t>アルファベット必須</t>
  </si>
  <si>
    <t>ALPHABET</t>
  </si>
  <si>
    <t>数字必須</t>
  </si>
  <si>
    <t>NUMERAL</t>
  </si>
  <si>
    <t>記号必須</t>
  </si>
  <si>
    <t>SIGN</t>
  </si>
  <si>
    <t>最短桁数</t>
  </si>
  <si>
    <t>MIN_LENGTH</t>
  </si>
  <si>
    <t>有効日数</t>
  </si>
  <si>
    <t>AVAILABLE_DAYS</t>
  </si>
  <si>
    <t>パスワード履歴遡及カウント</t>
  </si>
  <si>
    <t>HISTORY_COUNT</t>
  </si>
  <si>
    <t>VER_NO</t>
  </si>
  <si>
    <t>REG_DATE</t>
  </si>
  <si>
    <t xml:space="preserve"> </t>
  </si>
  <si>
    <t>作成者コード</t>
  </si>
  <si>
    <t>REG_MAN_CD</t>
  </si>
  <si>
    <t>VARCHAR</t>
  </si>
  <si>
    <t>作成端末IP</t>
  </si>
  <si>
    <t>REG_TERM_IP</t>
  </si>
  <si>
    <t>UP_DATE</t>
  </si>
  <si>
    <t>更新者コード</t>
  </si>
  <si>
    <t>UP_MAN_CD</t>
  </si>
  <si>
    <t>更新端末IP</t>
  </si>
  <si>
    <t>UP_TERM_IP</t>
  </si>
  <si>
    <t>バッチ更新日時</t>
  </si>
  <si>
    <t>BAT_UP_DATE</t>
  </si>
  <si>
    <t>DELETE_FLG</t>
  </si>
  <si>
    <t>UniqueなパスワードポリシーID</t>
  </si>
  <si>
    <t>パスワードチェックポリシー・英文字使用を指定。
コンスタント: 1(使用必須)</t>
  </si>
  <si>
    <t>パスワードチェックポリシー・数字使用を指定。
0: 必須でない、1: 必須</t>
  </si>
  <si>
    <t>パスワードチェックポリシー・記号使用を指定。
0: 必須でない、1: 必須</t>
  </si>
  <si>
    <t>パスワードチェックポリシー・最短桁数。</t>
  </si>
  <si>
    <t>パスワードチェックポリシー・有効日数。</t>
  </si>
  <si>
    <t>パスワードチェックポリシー・直近のパスワード履歴遡及チェック回数。</t>
  </si>
  <si>
    <t>システムで排他制御に使用されている。</t>
  </si>
  <si>
    <t>データが新規作成された日時。一度設定されると変更されることは無い。</t>
  </si>
  <si>
    <t>新規作成した担当者IDが設定される。</t>
  </si>
  <si>
    <t>新規作成端末のIPアドレスが設定される。</t>
  </si>
  <si>
    <t>最後にデータが更新された日時。</t>
  </si>
  <si>
    <t>最後にデータを更新した担当者ID</t>
  </si>
  <si>
    <t>最後にデータを更新した端末のIPアドレス</t>
  </si>
  <si>
    <t>バッチ処理で更新された日時。</t>
  </si>
  <si>
    <t>論理削除フラグ。1が設定されている場合は、システム上は共通ルールとして無効なデータとして扱う。</t>
  </si>
  <si>
    <t>setPostNo</t>
  </si>
  <si>
    <t>setSexKb</t>
  </si>
  <si>
    <t>setKisyKb</t>
  </si>
  <si>
    <t>setHosyoNo</t>
  </si>
  <si>
    <t>setCustNmk</t>
  </si>
  <si>
    <t>setCustNmj</t>
  </si>
  <si>
    <t>setCustNma</t>
  </si>
  <si>
    <t>setCustaddrNmj</t>
  </si>
  <si>
    <t>setTelno</t>
  </si>
  <si>
    <t>setRentelno</t>
  </si>
  <si>
    <t>setKinmNmk</t>
  </si>
  <si>
    <t>setKinmNmj</t>
  </si>
  <si>
    <t>setKinmtelno</t>
  </si>
  <si>
    <t>setDriveNo</t>
  </si>
  <si>
    <t>setPassportNo</t>
  </si>
  <si>
    <t>setHokenNo</t>
  </si>
  <si>
    <t>setTorokuNo</t>
  </si>
  <si>
    <t>setOtherNo</t>
  </si>
  <si>
    <t>setTrhiktaiKb</t>
  </si>
  <si>
    <t>setDouiKb</t>
  </si>
  <si>
    <t>setKeiyakuYmd</t>
  </si>
  <si>
    <t>setHosyoGk</t>
  </si>
  <si>
    <t>setNkinplnYmd</t>
  </si>
  <si>
    <t>setSaikenkaisyuYmd</t>
  </si>
  <si>
    <t>setHasanYmd</t>
  </si>
  <si>
    <t>setTkteshoteiYmd</t>
  </si>
  <si>
    <t>setMijisaiseYmd</t>
  </si>
  <si>
    <t>setHsyorikoYmd</t>
  </si>
  <si>
    <t>setShkoubenYmd</t>
  </si>
  <si>
    <t>setMeigichuiYmd</t>
  </si>
  <si>
    <t>setHininYmd</t>
  </si>
  <si>
    <t>setSiboYmd</t>
  </si>
  <si>
    <t>単体テストケース一覧【Ccmsマスタ更新_JICC_FM】（チェック仕様書）</t>
    <phoneticPr fontId="1"/>
  </si>
  <si>
    <t>C:\Doc\Dカード\040_開発・単体テスト\001_カスタマイズ(API)\002_単体テスト\08_【別紙】単体テストケース一覧【Ccmsマスタ更新_JICC_FM】（チェック仕様書）.xlsx</t>
  </si>
  <si>
    <t>Ccms検索用会員保有契約番号</t>
  </si>
  <si>
    <t>setSearchKeiyakuNo</t>
  </si>
  <si>
    <t>setHokYmd</t>
  </si>
  <si>
    <t>setNmKb</t>
  </si>
  <si>
    <t>setTelKb</t>
  </si>
  <si>
    <t>setKeiyakuNo</t>
  </si>
  <si>
    <t>setChofukuKb</t>
  </si>
  <si>
    <t>setHhnKb</t>
  </si>
  <si>
    <t>setRiyoYmd</t>
  </si>
  <si>
    <t>契約額(元金のみ)</t>
  </si>
  <si>
    <t>setKiykGk</t>
  </si>
  <si>
    <t>setJiccKykdGk</t>
  </si>
  <si>
    <t>setCKyokudoGk</t>
  </si>
  <si>
    <t>setNkinbiYmd</t>
  </si>
  <si>
    <t>setZankknYmd</t>
  </si>
  <si>
    <t>setShiharaiC</t>
  </si>
  <si>
    <t>setShiharaiKs</t>
  </si>
  <si>
    <t>setTotalZk</t>
  </si>
  <si>
    <t>setKappuZk</t>
  </si>
  <si>
    <t>setCZk</t>
  </si>
  <si>
    <t>setYearSiharaiGk</t>
  </si>
  <si>
    <t>setYearSiharaiYmd</t>
  </si>
  <si>
    <t>setKeiyakuSyYmd</t>
  </si>
  <si>
    <t>商品コード１（JICC）</t>
  </si>
  <si>
    <t>setShohinCd1</t>
  </si>
  <si>
    <t>数量・回数・期間１（JICC）</t>
  </si>
  <si>
    <t>setSuryoKaisuu1</t>
  </si>
  <si>
    <t>商品コード２（JICC）</t>
  </si>
  <si>
    <t>setShohinCd2</t>
  </si>
  <si>
    <t>数量・回数・期間２（JICC）</t>
  </si>
  <si>
    <t>setSuryoKaisuu2</t>
  </si>
  <si>
    <t>商品コード３（JICC）</t>
  </si>
  <si>
    <t>setShohinCd3</t>
  </si>
  <si>
    <t>数量・回数・期間３（JICC）</t>
  </si>
  <si>
    <t>setSuryoKaisuu3</t>
  </si>
  <si>
    <t>setChienUm</t>
  </si>
  <si>
    <t>setKapChienYmd</t>
  </si>
  <si>
    <t>setKapChienkaiYmd</t>
  </si>
  <si>
    <t>setKyoseikaiykYmd</t>
  </si>
  <si>
    <t>setBensaiYmd</t>
  </si>
  <si>
    <t>setJkHenkoYmd</t>
  </si>
  <si>
    <t>setSgHenkoYmd</t>
  </si>
  <si>
    <t>setSaikenjotoYmd</t>
  </si>
  <si>
    <t>C:\workspace\jason\sourceAutoGen\conf\dcardBean.txt</t>
    <phoneticPr fontId="1"/>
  </si>
  <si>
    <t>機能名</t>
    <phoneticPr fontId="1"/>
  </si>
  <si>
    <t>${funcName}Edit</t>
    <phoneticPr fontId="1"/>
  </si>
  <si>
    <t>${funcName}Bean</t>
    <phoneticPr fontId="1"/>
  </si>
  <si>
    <t>loop:no</t>
    <phoneticPr fontId="1"/>
  </si>
  <si>
    <t>LOOP_NO</t>
    <phoneticPr fontId="1"/>
  </si>
  <si>
    <t>loop:colId</t>
    <phoneticPr fontId="1"/>
  </si>
  <si>
    <t>C:\Doc\Dカード\010_基本設計書\002_カスタマイズ\001_カスタマイズ(API)\060_テーブルレイアウト\03_テーブルレイアウト（API参照更新履歴テーブル_CIC_CFⅡ）.xls</t>
    <phoneticPr fontId="1"/>
  </si>
  <si>
    <t>C:\Doc\Dカード\010_基本設計書\002_カスタマイズ\001_カスタマイズ(API)\051_項目編集条件表\08_項目編集条件表（Ccmsマスタ更新_JICC_FM）.xlsx</t>
  </si>
  <si>
    <t>jicc</t>
    <phoneticPr fontId="1"/>
  </si>
  <si>
    <t>C:\workspace\jason\sag\data\tableLayout\jicc\01_テーブルレイアウト（店舗マスタ）.xls</t>
  </si>
  <si>
    <t>C:\workspace\jason\sag\data\tableLayout\jicc\02_テーブルレイアウト（西暦和暦変換テーブル）.xls</t>
  </si>
  <si>
    <t>isMultiDefined('colKey')</t>
    <phoneticPr fontId="1"/>
  </si>
  <si>
    <t>isDefined('loop:colType')</t>
    <phoneticPr fontId="1"/>
  </si>
  <si>
    <t>templateDir</t>
    <phoneticPr fontId="1"/>
  </si>
  <si>
    <t>C:\workspace\jason\sag\conf</t>
    <phoneticPr fontId="1"/>
  </si>
  <si>
    <t>テンプレートファイルパス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</si>
</sst>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411]ggge&quot;年&quot;mm&quot;月&quot;dd&quot;日&quot;"/>
    <numFmt numFmtId="177" formatCode="0_ "/>
    <numFmt numFmtId="178" formatCode="#,##0_ "/>
  </numFmts>
  <fonts count="3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8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7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0"/>
      <name val="游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sz val="10"/>
      <name val="ＭＳ ゴシック"/>
      <family val="3"/>
      <charset val="128"/>
    </font>
    <font>
      <sz val="9"/>
      <name val="游ゴシック"/>
      <family val="3"/>
      <charset val="128"/>
      <scheme val="minor"/>
    </font>
    <font>
      <u/>
      <sz val="9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4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5"/>
      <color indexed="54"/>
      <name val="ＭＳ Ｐゴシック"/>
      <family val="3"/>
      <charset val="128"/>
    </font>
    <font>
      <sz val="18"/>
      <color indexed="54"/>
      <name val="ＭＳ Ｐゴシック"/>
      <family val="3"/>
      <charset val="128"/>
    </font>
    <font>
      <sz val="10"/>
      <color theme="1"/>
      <name val="游ゴシック"/>
      <family val="3"/>
      <charset val="128"/>
    </font>
    <font>
      <sz val="10"/>
      <name val="游ゴシック"/>
      <family val="3"/>
      <charset val="128"/>
    </font>
    <font>
      <sz val="10"/>
      <color rgb="FFFF0000"/>
      <name val="游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55"/>
      </patternFill>
    </fill>
    <fill>
      <patternFill patternType="solid">
        <fgColor rgb="FFCC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176" fontId="2" fillId="0" borderId="0"/>
    <xf numFmtId="0" fontId="2" fillId="0" borderId="0"/>
    <xf numFmtId="0" fontId="11" fillId="0" borderId="0">
      <alignment vertical="center"/>
    </xf>
    <xf numFmtId="38" fontId="2" fillId="0" borderId="0" applyFont="0" applyFill="0" applyBorder="0" applyAlignment="0" applyProtection="0"/>
    <xf numFmtId="0" fontId="2" fillId="0" borderId="0"/>
    <xf numFmtId="176" fontId="2" fillId="0" borderId="0"/>
  </cellStyleXfs>
  <cellXfs count="40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5" fillId="2" borderId="0" xfId="2" applyNumberFormat="1" applyFont="1" applyFill="1" applyAlignment="1">
      <alignment vertical="center"/>
    </xf>
    <xf numFmtId="0" fontId="6" fillId="2" borderId="0" xfId="2" applyNumberFormat="1" applyFont="1" applyFill="1" applyAlignment="1">
      <alignment vertical="center"/>
    </xf>
    <xf numFmtId="0" fontId="6" fillId="2" borderId="2" xfId="2" applyNumberFormat="1" applyFont="1" applyFill="1" applyBorder="1" applyAlignment="1">
      <alignment vertical="center"/>
    </xf>
    <xf numFmtId="0" fontId="6" fillId="2" borderId="3" xfId="2" applyNumberFormat="1" applyFont="1" applyFill="1" applyBorder="1" applyAlignment="1">
      <alignment vertical="center"/>
    </xf>
    <xf numFmtId="0" fontId="6" fillId="2" borderId="4" xfId="2" applyNumberFormat="1" applyFont="1" applyFill="1" applyBorder="1" applyAlignment="1">
      <alignment vertical="center"/>
    </xf>
    <xf numFmtId="0" fontId="6" fillId="2" borderId="8" xfId="2" applyNumberFormat="1" applyFont="1" applyFill="1" applyBorder="1" applyAlignment="1">
      <alignment vertical="center"/>
    </xf>
    <xf numFmtId="0" fontId="6" fillId="2" borderId="11" xfId="2" applyNumberFormat="1" applyFont="1" applyFill="1" applyBorder="1" applyAlignment="1">
      <alignment vertical="center"/>
    </xf>
    <xf numFmtId="0" fontId="6" fillId="2" borderId="0" xfId="2" applyNumberFormat="1" applyFont="1" applyFill="1" applyBorder="1" applyAlignment="1">
      <alignment vertical="center"/>
    </xf>
    <xf numFmtId="0" fontId="7" fillId="2" borderId="0" xfId="2" applyNumberFormat="1" applyFont="1" applyFill="1" applyAlignment="1">
      <alignment vertical="center"/>
    </xf>
    <xf numFmtId="0" fontId="7" fillId="2" borderId="8" xfId="2" applyNumberFormat="1" applyFont="1" applyFill="1" applyBorder="1" applyAlignment="1">
      <alignment vertical="center"/>
    </xf>
    <xf numFmtId="0" fontId="6" fillId="3" borderId="14" xfId="2" applyNumberFormat="1" applyFont="1" applyFill="1" applyBorder="1" applyAlignment="1">
      <alignment horizontal="center" vertical="center"/>
    </xf>
    <xf numFmtId="0" fontId="6" fillId="3" borderId="15" xfId="2" applyNumberFormat="1" applyFont="1" applyFill="1" applyBorder="1" applyAlignment="1">
      <alignment horizontal="center" vertical="center"/>
    </xf>
    <xf numFmtId="0" fontId="6" fillId="3" borderId="16" xfId="2" applyNumberFormat="1" applyFont="1" applyFill="1" applyBorder="1" applyAlignment="1">
      <alignment horizontal="center" vertical="center"/>
    </xf>
    <xf numFmtId="0" fontId="6" fillId="0" borderId="1" xfId="2" applyNumberFormat="1" applyFont="1" applyFill="1" applyBorder="1" applyAlignment="1">
      <alignment horizontal="right" vertical="center" shrinkToFit="1"/>
    </xf>
    <xf numFmtId="0" fontId="6" fillId="3" borderId="14" xfId="2" applyNumberFormat="1" applyFont="1" applyFill="1" applyBorder="1" applyAlignment="1">
      <alignment horizontal="center" vertical="center" shrinkToFit="1"/>
    </xf>
    <xf numFmtId="0" fontId="6" fillId="3" borderId="15" xfId="2" applyNumberFormat="1" applyFont="1" applyFill="1" applyBorder="1" applyAlignment="1">
      <alignment horizontal="center" vertical="center" shrinkToFit="1"/>
    </xf>
    <xf numFmtId="0" fontId="6" fillId="3" borderId="16" xfId="2" applyNumberFormat="1" applyFont="1" applyFill="1" applyBorder="1" applyAlignment="1">
      <alignment horizontal="center" vertical="center" shrinkToFit="1"/>
    </xf>
    <xf numFmtId="0" fontId="12" fillId="0" borderId="1" xfId="2" applyNumberFormat="1" applyFont="1" applyFill="1" applyBorder="1" applyAlignment="1">
      <alignment horizontal="right" vertical="center" shrinkToFit="1"/>
    </xf>
    <xf numFmtId="0" fontId="13" fillId="2" borderId="0" xfId="2" applyNumberFormat="1" applyFont="1" applyFill="1" applyAlignment="1">
      <alignment vertical="center"/>
    </xf>
    <xf numFmtId="0" fontId="6" fillId="2" borderId="5" xfId="2" applyNumberFormat="1" applyFont="1" applyFill="1" applyBorder="1" applyAlignment="1">
      <alignment vertical="center"/>
    </xf>
    <xf numFmtId="0" fontId="6" fillId="2" borderId="6" xfId="2" applyNumberFormat="1" applyFont="1" applyFill="1" applyBorder="1" applyAlignment="1">
      <alignment vertical="center"/>
    </xf>
    <xf numFmtId="0" fontId="6" fillId="3" borderId="6" xfId="2" applyNumberFormat="1" applyFont="1" applyFill="1" applyBorder="1" applyAlignment="1">
      <alignment vertical="center"/>
    </xf>
    <xf numFmtId="0" fontId="6" fillId="2" borderId="7" xfId="2" applyNumberFormat="1" applyFont="1" applyFill="1" applyBorder="1" applyAlignment="1">
      <alignment vertical="center"/>
    </xf>
    <xf numFmtId="0" fontId="6" fillId="2" borderId="0" xfId="2" applyNumberFormat="1" applyFont="1" applyFill="1" applyBorder="1" applyAlignment="1">
      <alignment horizontal="center" vertical="center"/>
    </xf>
    <xf numFmtId="0" fontId="6" fillId="2" borderId="6" xfId="2" applyNumberFormat="1" applyFont="1" applyFill="1" applyBorder="1" applyAlignment="1">
      <alignment horizontal="center" vertical="center"/>
    </xf>
    <xf numFmtId="0" fontId="5" fillId="2" borderId="0" xfId="4" applyFont="1" applyFill="1" applyAlignment="1">
      <alignment vertical="center"/>
    </xf>
    <xf numFmtId="0" fontId="6" fillId="2" borderId="0" xfId="4" applyFont="1" applyFill="1" applyAlignment="1">
      <alignment vertical="center"/>
    </xf>
    <xf numFmtId="0" fontId="7" fillId="2" borderId="0" xfId="4" applyFont="1" applyFill="1" applyAlignment="1">
      <alignment vertical="center"/>
    </xf>
    <xf numFmtId="0" fontId="13" fillId="2" borderId="0" xfId="4" applyFont="1" applyFill="1" applyAlignment="1">
      <alignment vertical="center"/>
    </xf>
    <xf numFmtId="0" fontId="2" fillId="0" borderId="20" xfId="3" applyBorder="1"/>
    <xf numFmtId="0" fontId="2" fillId="0" borderId="21" xfId="3" applyBorder="1"/>
    <xf numFmtId="0" fontId="2" fillId="0" borderId="22" xfId="3" applyBorder="1"/>
    <xf numFmtId="0" fontId="2" fillId="0" borderId="0" xfId="3"/>
    <xf numFmtId="0" fontId="2" fillId="0" borderId="23" xfId="3" applyBorder="1"/>
    <xf numFmtId="0" fontId="2" fillId="0" borderId="0" xfId="3" applyBorder="1"/>
    <xf numFmtId="0" fontId="2" fillId="0" borderId="0" xfId="3" applyBorder="1" applyAlignment="1">
      <alignment vertical="top"/>
    </xf>
    <xf numFmtId="0" fontId="2" fillId="0" borderId="24" xfId="3" applyBorder="1"/>
    <xf numFmtId="0" fontId="14" fillId="5" borderId="25" xfId="3" applyFont="1" applyFill="1" applyBorder="1" applyAlignment="1">
      <alignment horizontal="center" vertical="center" wrapText="1"/>
    </xf>
    <xf numFmtId="0" fontId="14" fillId="5" borderId="26" xfId="3" applyFont="1" applyFill="1" applyBorder="1" applyAlignment="1">
      <alignment horizontal="center" vertical="center" wrapText="1"/>
    </xf>
    <xf numFmtId="0" fontId="14" fillId="5" borderId="27" xfId="3" applyFont="1" applyFill="1" applyBorder="1" applyAlignment="1">
      <alignment horizontal="centerContinuous" vertical="center" wrapText="1"/>
    </xf>
    <xf numFmtId="0" fontId="14" fillId="5" borderId="4" xfId="3" applyFont="1" applyFill="1" applyBorder="1" applyAlignment="1">
      <alignment horizontal="center" vertical="center" wrapText="1"/>
    </xf>
    <xf numFmtId="0" fontId="14" fillId="5" borderId="28" xfId="3" applyFont="1" applyFill="1" applyBorder="1" applyAlignment="1">
      <alignment horizontal="center" vertical="center" wrapText="1"/>
    </xf>
    <xf numFmtId="0" fontId="14" fillId="5" borderId="29" xfId="3" applyFont="1" applyFill="1" applyBorder="1" applyAlignment="1">
      <alignment horizontal="center" vertical="center" wrapText="1"/>
    </xf>
    <xf numFmtId="0" fontId="14" fillId="5" borderId="13" xfId="3" applyFont="1" applyFill="1" applyBorder="1" applyAlignment="1">
      <alignment horizontal="centerContinuous" vertical="center" wrapText="1"/>
    </xf>
    <xf numFmtId="0" fontId="14" fillId="5" borderId="11" xfId="3" applyFont="1" applyFill="1" applyBorder="1" applyAlignment="1">
      <alignment horizontal="center" vertical="center" wrapText="1"/>
    </xf>
    <xf numFmtId="0" fontId="14" fillId="5" borderId="30" xfId="3" applyFont="1" applyFill="1" applyBorder="1" applyAlignment="1">
      <alignment horizontal="center" vertical="center" wrapText="1"/>
    </xf>
    <xf numFmtId="0" fontId="14" fillId="5" borderId="31" xfId="3" applyFont="1" applyFill="1" applyBorder="1" applyAlignment="1">
      <alignment horizontal="center" vertical="center" wrapText="1"/>
    </xf>
    <xf numFmtId="0" fontId="14" fillId="5" borderId="32" xfId="3" applyFont="1" applyFill="1" applyBorder="1" applyAlignment="1">
      <alignment horizontal="centerContinuous" vertical="center"/>
    </xf>
    <xf numFmtId="0" fontId="14" fillId="5" borderId="31" xfId="3" applyFont="1" applyFill="1" applyBorder="1" applyAlignment="1">
      <alignment horizontal="centerContinuous" vertical="center"/>
    </xf>
    <xf numFmtId="0" fontId="14" fillId="5" borderId="32" xfId="3" applyFont="1" applyFill="1" applyBorder="1" applyAlignment="1">
      <alignment vertical="center"/>
    </xf>
    <xf numFmtId="0" fontId="14" fillId="5" borderId="31" xfId="3" applyFont="1" applyFill="1" applyBorder="1" applyAlignment="1">
      <alignment vertical="center"/>
    </xf>
    <xf numFmtId="0" fontId="14" fillId="5" borderId="33" xfId="3" applyFont="1" applyFill="1" applyBorder="1" applyAlignment="1">
      <alignment horizontal="center" vertical="center" wrapText="1"/>
    </xf>
    <xf numFmtId="0" fontId="14" fillId="0" borderId="34" xfId="3" applyFont="1" applyBorder="1" applyAlignment="1">
      <alignment vertical="center"/>
    </xf>
    <xf numFmtId="177" fontId="14" fillId="0" borderId="13" xfId="3" applyNumberFormat="1" applyFont="1" applyBorder="1" applyAlignment="1">
      <alignment vertical="center" shrinkToFit="1"/>
    </xf>
    <xf numFmtId="0" fontId="14" fillId="0" borderId="13" xfId="3" applyFont="1" applyBorder="1" applyAlignment="1">
      <alignment vertical="center" wrapText="1"/>
    </xf>
    <xf numFmtId="0" fontId="14" fillId="0" borderId="13" xfId="3" applyFont="1" applyBorder="1" applyAlignment="1">
      <alignment vertical="center"/>
    </xf>
    <xf numFmtId="0" fontId="6" fillId="0" borderId="37" xfId="3" applyFont="1" applyBorder="1" applyAlignment="1">
      <alignment vertical="top" wrapText="1"/>
    </xf>
    <xf numFmtId="0" fontId="15" fillId="0" borderId="38" xfId="3" applyFont="1" applyBorder="1" applyAlignment="1">
      <alignment vertical="top" wrapText="1"/>
    </xf>
    <xf numFmtId="0" fontId="14" fillId="0" borderId="39" xfId="3" applyFont="1" applyBorder="1" applyAlignment="1">
      <alignment vertical="center"/>
    </xf>
    <xf numFmtId="0" fontId="6" fillId="0" borderId="12" xfId="3" applyFont="1" applyBorder="1" applyAlignment="1">
      <alignment vertical="top" wrapText="1"/>
    </xf>
    <xf numFmtId="0" fontId="14" fillId="0" borderId="13" xfId="3" applyFont="1" applyBorder="1" applyAlignment="1">
      <alignment vertical="center" shrinkToFit="1"/>
    </xf>
    <xf numFmtId="0" fontId="14" fillId="0" borderId="40" xfId="3" applyFont="1" applyBorder="1" applyAlignment="1">
      <alignment vertical="center"/>
    </xf>
    <xf numFmtId="0" fontId="14" fillId="0" borderId="41" xfId="3" applyFont="1" applyBorder="1" applyAlignment="1">
      <alignment vertical="center" shrinkToFit="1"/>
    </xf>
    <xf numFmtId="0" fontId="14" fillId="0" borderId="42" xfId="3" applyFont="1" applyBorder="1" applyAlignment="1">
      <alignment vertical="center" wrapText="1"/>
    </xf>
    <xf numFmtId="0" fontId="14" fillId="0" borderId="43" xfId="3" applyFont="1" applyBorder="1" applyAlignment="1">
      <alignment vertical="center" wrapText="1"/>
    </xf>
    <xf numFmtId="0" fontId="14" fillId="0" borderId="43" xfId="3" applyFont="1" applyBorder="1" applyAlignment="1">
      <alignment vertical="center"/>
    </xf>
    <xf numFmtId="0" fontId="14" fillId="0" borderId="41" xfId="3" applyFont="1" applyBorder="1" applyAlignment="1">
      <alignment vertical="center"/>
    </xf>
    <xf numFmtId="0" fontId="6" fillId="0" borderId="42" xfId="3" applyFont="1" applyBorder="1" applyAlignment="1">
      <alignment vertical="top" wrapText="1"/>
    </xf>
    <xf numFmtId="0" fontId="15" fillId="0" borderId="7" xfId="3" applyFont="1" applyBorder="1" applyAlignment="1">
      <alignment vertical="top" wrapText="1"/>
    </xf>
    <xf numFmtId="0" fontId="2" fillId="0" borderId="45" xfId="3" applyBorder="1"/>
    <xf numFmtId="0" fontId="2" fillId="0" borderId="46" xfId="3" applyBorder="1"/>
    <xf numFmtId="0" fontId="4" fillId="0" borderId="46" xfId="3" applyFont="1" applyBorder="1"/>
    <xf numFmtId="0" fontId="2" fillId="0" borderId="47" xfId="3" applyBorder="1"/>
    <xf numFmtId="0" fontId="4" fillId="0" borderId="0" xfId="3" applyFont="1"/>
    <xf numFmtId="0" fontId="0" fillId="0" borderId="1" xfId="0" quotePrefix="1" applyBorder="1">
      <alignment vertical="center"/>
    </xf>
    <xf numFmtId="0" fontId="5" fillId="2" borderId="0" xfId="2" applyNumberFormat="1" applyFont="1" applyFill="1" applyAlignment="1" applyProtection="1">
      <alignment vertical="center"/>
    </xf>
    <xf numFmtId="0" fontId="6" fillId="2" borderId="0" xfId="2" applyNumberFormat="1" applyFont="1" applyFill="1" applyAlignment="1" applyProtection="1">
      <alignment vertical="center"/>
    </xf>
    <xf numFmtId="0" fontId="16" fillId="0" borderId="0" xfId="4" applyFont="1">
      <alignment vertical="center"/>
    </xf>
    <xf numFmtId="0" fontId="7" fillId="2" borderId="2" xfId="2" applyNumberFormat="1" applyFont="1" applyFill="1" applyBorder="1" applyAlignment="1" applyProtection="1">
      <alignment vertical="center"/>
    </xf>
    <xf numFmtId="0" fontId="7" fillId="2" borderId="3" xfId="2" applyNumberFormat="1" applyFont="1" applyFill="1" applyBorder="1" applyAlignment="1" applyProtection="1">
      <alignment vertical="center"/>
    </xf>
    <xf numFmtId="0" fontId="7" fillId="2" borderId="4" xfId="2" applyNumberFormat="1" applyFont="1" applyFill="1" applyBorder="1" applyAlignment="1" applyProtection="1">
      <alignment vertical="center"/>
    </xf>
    <xf numFmtId="0" fontId="7" fillId="2" borderId="0" xfId="2" applyNumberFormat="1" applyFont="1" applyFill="1" applyAlignment="1" applyProtection="1">
      <alignment vertical="center"/>
    </xf>
    <xf numFmtId="0" fontId="5" fillId="2" borderId="8" xfId="2" applyNumberFormat="1" applyFont="1" applyFill="1" applyBorder="1" applyAlignment="1" applyProtection="1">
      <alignment vertical="center"/>
    </xf>
    <xf numFmtId="0" fontId="5" fillId="2" borderId="11" xfId="2" applyNumberFormat="1" applyFont="1" applyFill="1" applyBorder="1" applyAlignment="1" applyProtection="1">
      <alignment vertical="center"/>
    </xf>
    <xf numFmtId="0" fontId="18" fillId="0" borderId="0" xfId="4" applyFont="1">
      <alignment vertical="center"/>
    </xf>
    <xf numFmtId="0" fontId="7" fillId="2" borderId="8" xfId="2" applyNumberFormat="1" applyFont="1" applyFill="1" applyBorder="1" applyAlignment="1" applyProtection="1">
      <alignment vertical="center"/>
    </xf>
    <xf numFmtId="0" fontId="19" fillId="2" borderId="0" xfId="2" applyNumberFormat="1" applyFont="1" applyFill="1" applyBorder="1" applyAlignment="1" applyProtection="1">
      <alignment horizontal="left" vertical="center"/>
    </xf>
    <xf numFmtId="0" fontId="6" fillId="2" borderId="0" xfId="2" applyNumberFormat="1" applyFont="1" applyFill="1" applyBorder="1" applyAlignment="1" applyProtection="1">
      <alignment horizontal="left" vertical="center"/>
    </xf>
    <xf numFmtId="0" fontId="7" fillId="2" borderId="0" xfId="2" applyNumberFormat="1" applyFont="1" applyFill="1" applyBorder="1" applyAlignment="1" applyProtection="1">
      <alignment horizontal="left" vertical="center"/>
    </xf>
    <xf numFmtId="0" fontId="7" fillId="2" borderId="0" xfId="2" applyNumberFormat="1" applyFont="1" applyFill="1" applyBorder="1" applyAlignment="1" applyProtection="1">
      <alignment vertical="center"/>
    </xf>
    <xf numFmtId="0" fontId="7" fillId="2" borderId="11" xfId="2" applyNumberFormat="1" applyFont="1" applyFill="1" applyBorder="1" applyAlignment="1" applyProtection="1">
      <alignment vertical="center"/>
    </xf>
    <xf numFmtId="0" fontId="5" fillId="3" borderId="0" xfId="4" applyFont="1" applyFill="1" applyBorder="1">
      <alignment vertical="center"/>
    </xf>
    <xf numFmtId="0" fontId="6" fillId="2" borderId="0" xfId="6" applyFont="1" applyFill="1" applyBorder="1" applyAlignment="1" applyProtection="1">
      <alignment vertical="center"/>
    </xf>
    <xf numFmtId="0" fontId="20" fillId="2" borderId="0" xfId="2" applyNumberFormat="1" applyFont="1" applyFill="1" applyBorder="1" applyAlignment="1" applyProtection="1">
      <alignment vertical="center"/>
    </xf>
    <xf numFmtId="0" fontId="5" fillId="2" borderId="0" xfId="2" applyNumberFormat="1" applyFont="1" applyFill="1" applyBorder="1" applyAlignment="1" applyProtection="1">
      <alignment vertical="center"/>
    </xf>
    <xf numFmtId="0" fontId="5" fillId="2" borderId="0" xfId="2" applyNumberFormat="1" applyFont="1" applyFill="1" applyBorder="1" applyAlignment="1" applyProtection="1">
      <alignment horizontal="right" vertical="center"/>
    </xf>
    <xf numFmtId="0" fontId="5" fillId="2" borderId="0" xfId="2" applyNumberFormat="1" applyFont="1" applyFill="1" applyBorder="1" applyAlignment="1" applyProtection="1">
      <alignment horizontal="left" vertical="center"/>
    </xf>
    <xf numFmtId="0" fontId="6" fillId="2" borderId="8" xfId="2" applyNumberFormat="1" applyFont="1" applyFill="1" applyBorder="1" applyAlignment="1" applyProtection="1">
      <alignment vertical="center"/>
    </xf>
    <xf numFmtId="0" fontId="6" fillId="2" borderId="0" xfId="2" applyNumberFormat="1" applyFont="1" applyFill="1" applyBorder="1" applyAlignment="1" applyProtection="1">
      <alignment vertical="center"/>
    </xf>
    <xf numFmtId="0" fontId="6" fillId="2" borderId="0" xfId="2" applyNumberFormat="1" applyFont="1" applyFill="1" applyBorder="1" applyAlignment="1" applyProtection="1">
      <alignment horizontal="right" vertical="center"/>
    </xf>
    <xf numFmtId="0" fontId="6" fillId="2" borderId="11" xfId="2" applyNumberFormat="1" applyFont="1" applyFill="1" applyBorder="1" applyAlignment="1" applyProtection="1">
      <alignment vertical="center"/>
    </xf>
    <xf numFmtId="0" fontId="21" fillId="0" borderId="0" xfId="4" applyFont="1">
      <alignment vertical="center"/>
    </xf>
    <xf numFmtId="0" fontId="6" fillId="6" borderId="17" xfId="6" applyFont="1" applyFill="1" applyBorder="1" applyAlignment="1" applyProtection="1">
      <alignment horizontal="centerContinuous" vertical="center"/>
    </xf>
    <xf numFmtId="0" fontId="11" fillId="6" borderId="18" xfId="4" applyFill="1" applyBorder="1" applyAlignment="1">
      <alignment horizontal="centerContinuous" vertical="center"/>
    </xf>
    <xf numFmtId="0" fontId="11" fillId="6" borderId="19" xfId="4" applyFill="1" applyBorder="1" applyAlignment="1">
      <alignment horizontal="centerContinuous" vertical="center"/>
    </xf>
    <xf numFmtId="49" fontId="6" fillId="6" borderId="17" xfId="6" applyNumberFormat="1" applyFont="1" applyFill="1" applyBorder="1" applyAlignment="1" applyProtection="1">
      <alignment horizontal="centerContinuous" vertical="center"/>
    </xf>
    <xf numFmtId="0" fontId="6" fillId="0" borderId="8" xfId="2" applyNumberFormat="1" applyFont="1" applyFill="1" applyBorder="1" applyAlignment="1" applyProtection="1">
      <alignment vertical="center"/>
    </xf>
    <xf numFmtId="0" fontId="6" fillId="0" borderId="0" xfId="2" applyNumberFormat="1" applyFont="1" applyFill="1" applyBorder="1" applyAlignment="1" applyProtection="1">
      <alignment vertical="center"/>
    </xf>
    <xf numFmtId="0" fontId="6" fillId="0" borderId="17" xfId="2" applyNumberFormat="1" applyFont="1" applyFill="1" applyBorder="1" applyAlignment="1" applyProtection="1">
      <alignment vertical="center"/>
    </xf>
    <xf numFmtId="0" fontId="11" fillId="0" borderId="18" xfId="4" applyBorder="1" applyAlignment="1">
      <alignment vertical="center"/>
    </xf>
    <xf numFmtId="0" fontId="11" fillId="0" borderId="19" xfId="4" applyBorder="1" applyAlignment="1">
      <alignment vertical="center"/>
    </xf>
    <xf numFmtId="0" fontId="6" fillId="0" borderId="17" xfId="6" applyFont="1" applyFill="1" applyBorder="1" applyAlignment="1" applyProtection="1">
      <alignment vertical="center"/>
    </xf>
    <xf numFmtId="49" fontId="6" fillId="0" borderId="17" xfId="6" applyNumberFormat="1" applyFont="1" applyFill="1" applyBorder="1" applyAlignment="1" applyProtection="1">
      <alignment vertical="center"/>
    </xf>
    <xf numFmtId="0" fontId="6" fillId="0" borderId="11" xfId="2" applyNumberFormat="1" applyFont="1" applyFill="1" applyBorder="1" applyAlignment="1" applyProtection="1">
      <alignment vertical="center"/>
    </xf>
    <xf numFmtId="0" fontId="21" fillId="0" borderId="0" xfId="4" applyFont="1" applyFill="1" applyBorder="1">
      <alignment vertical="center"/>
    </xf>
    <xf numFmtId="0" fontId="6" fillId="2" borderId="17" xfId="2" applyNumberFormat="1" applyFont="1" applyFill="1" applyBorder="1" applyAlignment="1" applyProtection="1">
      <alignment horizontal="left" vertical="center"/>
    </xf>
    <xf numFmtId="0" fontId="6" fillId="0" borderId="17" xfId="2" applyNumberFormat="1" applyFont="1" applyFill="1" applyBorder="1" applyAlignment="1" applyProtection="1">
      <alignment horizontal="left" vertical="center"/>
    </xf>
    <xf numFmtId="0" fontId="6" fillId="2" borderId="17" xfId="2" applyNumberFormat="1" applyFont="1" applyFill="1" applyBorder="1" applyAlignment="1" applyProtection="1">
      <alignment vertical="center"/>
    </xf>
    <xf numFmtId="0" fontId="6" fillId="2" borderId="17" xfId="6" applyFont="1" applyFill="1" applyBorder="1" applyAlignment="1" applyProtection="1">
      <alignment vertical="center"/>
    </xf>
    <xf numFmtId="0" fontId="6" fillId="2" borderId="17" xfId="6" quotePrefix="1" applyFont="1" applyFill="1" applyBorder="1" applyAlignment="1" applyProtection="1">
      <alignment horizontal="left" vertical="center"/>
    </xf>
    <xf numFmtId="0" fontId="11" fillId="0" borderId="18" xfId="4" applyBorder="1" applyAlignment="1">
      <alignment horizontal="left" vertical="center"/>
    </xf>
    <xf numFmtId="0" fontId="11" fillId="0" borderId="19" xfId="4" applyBorder="1" applyAlignment="1">
      <alignment horizontal="left" vertical="center"/>
    </xf>
    <xf numFmtId="0" fontId="6" fillId="2" borderId="17" xfId="6" applyFont="1" applyFill="1" applyBorder="1" applyAlignment="1" applyProtection="1">
      <alignment horizontal="left" vertical="center"/>
    </xf>
    <xf numFmtId="0" fontId="4" fillId="2" borderId="17" xfId="4" applyFont="1" applyFill="1" applyBorder="1" applyAlignment="1">
      <alignment vertical="center"/>
    </xf>
    <xf numFmtId="0" fontId="6" fillId="2" borderId="17" xfId="6" quotePrefix="1" applyFont="1" applyFill="1" applyBorder="1" applyAlignment="1" applyProtection="1">
      <alignment vertical="center"/>
    </xf>
    <xf numFmtId="0" fontId="6" fillId="2" borderId="5" xfId="2" applyNumberFormat="1" applyFont="1" applyFill="1" applyBorder="1" applyAlignment="1" applyProtection="1">
      <alignment vertical="center"/>
    </xf>
    <xf numFmtId="0" fontId="6" fillId="2" borderId="6" xfId="2" applyNumberFormat="1" applyFont="1" applyFill="1" applyBorder="1" applyAlignment="1" applyProtection="1">
      <alignment vertical="center"/>
    </xf>
    <xf numFmtId="0" fontId="6" fillId="2" borderId="6" xfId="2" applyNumberFormat="1" applyFont="1" applyFill="1" applyBorder="1" applyAlignment="1" applyProtection="1">
      <alignment horizontal="right" vertical="center"/>
    </xf>
    <xf numFmtId="0" fontId="6" fillId="2" borderId="6" xfId="2" applyNumberFormat="1" applyFont="1" applyFill="1" applyBorder="1" applyAlignment="1" applyProtection="1">
      <alignment horizontal="left" vertical="center"/>
    </xf>
    <xf numFmtId="0" fontId="6" fillId="2" borderId="7" xfId="2" applyNumberFormat="1" applyFont="1" applyFill="1" applyBorder="1" applyAlignment="1" applyProtection="1">
      <alignment vertical="center"/>
    </xf>
    <xf numFmtId="0" fontId="12" fillId="2" borderId="17" xfId="2" applyNumberFormat="1" applyFont="1" applyFill="1" applyBorder="1" applyAlignment="1" applyProtection="1">
      <alignment horizontal="left" vertical="center"/>
    </xf>
    <xf numFmtId="0" fontId="12" fillId="0" borderId="0" xfId="2" applyNumberFormat="1" applyFont="1" applyFill="1" applyBorder="1" applyAlignment="1" applyProtection="1">
      <alignment vertical="center"/>
    </xf>
    <xf numFmtId="0" fontId="6" fillId="0" borderId="0" xfId="6" applyFont="1" applyFill="1" applyBorder="1" applyAlignment="1" applyProtection="1">
      <alignment vertical="center"/>
    </xf>
    <xf numFmtId="49" fontId="6" fillId="0" borderId="0" xfId="6" applyNumberFormat="1" applyFont="1" applyFill="1" applyBorder="1" applyAlignment="1" applyProtection="1">
      <alignment vertical="center"/>
    </xf>
    <xf numFmtId="0" fontId="6" fillId="0" borderId="0" xfId="2" applyNumberFormat="1" applyFont="1" applyFill="1" applyBorder="1" applyAlignment="1" applyProtection="1">
      <alignment horizontal="left" vertical="center"/>
    </xf>
    <xf numFmtId="0" fontId="6" fillId="0" borderId="0" xfId="7" applyNumberFormat="1" applyFont="1" applyFill="1" applyBorder="1" applyAlignment="1" applyProtection="1">
      <alignment horizontal="left" vertical="center"/>
    </xf>
    <xf numFmtId="0" fontId="22" fillId="0" borderId="0" xfId="6" applyFont="1" applyFill="1" applyBorder="1" applyAlignment="1" applyProtection="1">
      <alignment vertical="center"/>
    </xf>
    <xf numFmtId="0" fontId="5" fillId="2" borderId="0" xfId="6" applyFont="1" applyFill="1" applyBorder="1" applyAlignment="1" applyProtection="1">
      <alignment horizontal="left" vertical="center"/>
    </xf>
    <xf numFmtId="49" fontId="6" fillId="2" borderId="0" xfId="6" applyNumberFormat="1" applyFont="1" applyFill="1" applyBorder="1" applyAlignment="1" applyProtection="1">
      <alignment horizontal="left" vertical="center"/>
    </xf>
    <xf numFmtId="0" fontId="11" fillId="0" borderId="0" xfId="4" applyBorder="1" applyAlignment="1">
      <alignment vertical="top"/>
    </xf>
    <xf numFmtId="49" fontId="6" fillId="0" borderId="0" xfId="6" applyNumberFormat="1" applyFont="1" applyFill="1" applyBorder="1" applyAlignment="1" applyProtection="1">
      <alignment horizontal="center" vertical="center"/>
    </xf>
    <xf numFmtId="0" fontId="7" fillId="2" borderId="6" xfId="2" applyNumberFormat="1" applyFont="1" applyFill="1" applyBorder="1" applyAlignment="1" applyProtection="1">
      <alignment horizontal="left" vertical="center"/>
    </xf>
    <xf numFmtId="0" fontId="6" fillId="3" borderId="17" xfId="2" applyNumberFormat="1" applyFont="1" applyFill="1" applyBorder="1" applyAlignment="1">
      <alignment vertical="center" shrinkToFit="1"/>
    </xf>
    <xf numFmtId="0" fontId="6" fillId="3" borderId="18" xfId="2" applyNumberFormat="1" applyFont="1" applyFill="1" applyBorder="1" applyAlignment="1">
      <alignment vertical="center" shrinkToFit="1"/>
    </xf>
    <xf numFmtId="0" fontId="6" fillId="3" borderId="19" xfId="2" applyNumberFormat="1" applyFont="1" applyFill="1" applyBorder="1" applyAlignment="1">
      <alignment vertical="center" shrinkToFit="1"/>
    </xf>
    <xf numFmtId="0" fontId="24" fillId="2" borderId="48" xfId="6" applyFont="1" applyFill="1" applyBorder="1" applyAlignment="1" applyProtection="1">
      <alignment horizontal="center" vertical="center"/>
    </xf>
    <xf numFmtId="0" fontId="14" fillId="2" borderId="0" xfId="6" applyFont="1" applyFill="1" applyBorder="1" applyAlignment="1" applyProtection="1">
      <alignment vertical="center"/>
    </xf>
    <xf numFmtId="0" fontId="5" fillId="2" borderId="0" xfId="6" applyFont="1" applyFill="1" applyAlignment="1" applyProtection="1">
      <alignment vertical="center"/>
    </xf>
    <xf numFmtId="0" fontId="5" fillId="2" borderId="0" xfId="6" applyFont="1" applyFill="1" applyBorder="1" applyAlignment="1" applyProtection="1">
      <alignment vertical="center"/>
    </xf>
    <xf numFmtId="0" fontId="5" fillId="2" borderId="0" xfId="6" applyFont="1" applyFill="1" applyBorder="1" applyAlignment="1" applyProtection="1">
      <alignment vertical="center" wrapText="1"/>
    </xf>
    <xf numFmtId="0" fontId="5" fillId="2" borderId="18" xfId="6" applyFont="1" applyFill="1" applyBorder="1" applyAlignment="1" applyProtection="1">
      <alignment vertical="center"/>
    </xf>
    <xf numFmtId="0" fontId="7" fillId="2" borderId="2" xfId="6" applyFont="1" applyFill="1" applyBorder="1" applyAlignment="1" applyProtection="1">
      <alignment vertical="center"/>
    </xf>
    <xf numFmtId="0" fontId="7" fillId="2" borderId="3" xfId="6" applyFont="1" applyFill="1" applyBorder="1" applyAlignment="1" applyProtection="1">
      <alignment vertical="center"/>
    </xf>
    <xf numFmtId="0" fontId="7" fillId="2" borderId="3" xfId="6" applyFont="1" applyFill="1" applyBorder="1" applyAlignment="1" applyProtection="1">
      <alignment vertical="center" wrapText="1"/>
    </xf>
    <xf numFmtId="178" fontId="7" fillId="2" borderId="3" xfId="6" applyNumberFormat="1" applyFont="1" applyFill="1" applyBorder="1" applyAlignment="1" applyProtection="1">
      <alignment vertical="center" wrapText="1"/>
    </xf>
    <xf numFmtId="0" fontId="7" fillId="2" borderId="4" xfId="6" applyFont="1" applyFill="1" applyBorder="1" applyAlignment="1" applyProtection="1">
      <alignment vertical="center"/>
    </xf>
    <xf numFmtId="0" fontId="7" fillId="0" borderId="0" xfId="6" applyFont="1" applyFill="1" applyAlignment="1" applyProtection="1">
      <alignment vertical="center"/>
    </xf>
    <xf numFmtId="0" fontId="7" fillId="2" borderId="8" xfId="6" applyFont="1" applyFill="1" applyBorder="1" applyAlignment="1" applyProtection="1">
      <alignment vertical="center"/>
    </xf>
    <xf numFmtId="0" fontId="7" fillId="2" borderId="0" xfId="6" applyFont="1" applyFill="1" applyBorder="1" applyAlignment="1" applyProtection="1">
      <alignment vertical="center"/>
    </xf>
    <xf numFmtId="0" fontId="7" fillId="2" borderId="11" xfId="6" applyFont="1" applyFill="1" applyBorder="1" applyAlignment="1" applyProtection="1">
      <alignment vertical="center"/>
    </xf>
    <xf numFmtId="0" fontId="6" fillId="3" borderId="0" xfId="2" applyNumberFormat="1" applyFont="1" applyFill="1" applyBorder="1" applyAlignment="1">
      <alignment vertical="center" wrapText="1"/>
    </xf>
    <xf numFmtId="0" fontId="6" fillId="2" borderId="0" xfId="2" applyNumberFormat="1" applyFont="1" applyFill="1" applyBorder="1" applyAlignment="1">
      <alignment horizontal="center" vertical="center" wrapText="1"/>
    </xf>
    <xf numFmtId="0" fontId="6" fillId="2" borderId="0" xfId="2" applyNumberFormat="1" applyFont="1" applyFill="1" applyBorder="1" applyAlignment="1">
      <alignment horizontal="right" vertical="center"/>
    </xf>
    <xf numFmtId="0" fontId="7" fillId="2" borderId="0" xfId="6" applyFont="1" applyFill="1" applyAlignment="1" applyProtection="1">
      <alignment vertical="center"/>
    </xf>
    <xf numFmtId="0" fontId="6" fillId="2" borderId="0" xfId="2" applyNumberFormat="1" applyFont="1" applyFill="1" applyBorder="1" applyAlignment="1">
      <alignment horizontal="left" vertical="top" wrapText="1"/>
    </xf>
    <xf numFmtId="0" fontId="7" fillId="2" borderId="1" xfId="2" applyNumberFormat="1" applyFont="1" applyFill="1" applyBorder="1" applyAlignment="1" applyProtection="1">
      <alignment vertical="center"/>
    </xf>
    <xf numFmtId="0" fontId="7" fillId="2" borderId="17" xfId="2" applyNumberFormat="1" applyFont="1" applyFill="1" applyBorder="1" applyAlignment="1" applyProtection="1">
      <alignment vertical="center"/>
    </xf>
    <xf numFmtId="0" fontId="7" fillId="2" borderId="18" xfId="2" applyNumberFormat="1" applyFont="1" applyFill="1" applyBorder="1" applyAlignment="1" applyProtection="1">
      <alignment vertical="center"/>
    </xf>
    <xf numFmtId="0" fontId="7" fillId="2" borderId="19" xfId="2" applyNumberFormat="1" applyFont="1" applyFill="1" applyBorder="1" applyAlignment="1" applyProtection="1">
      <alignment vertical="center"/>
    </xf>
    <xf numFmtId="0" fontId="6" fillId="2" borderId="49" xfId="2" applyNumberFormat="1" applyFont="1" applyFill="1" applyBorder="1" applyAlignment="1" applyProtection="1">
      <alignment vertical="center"/>
    </xf>
    <xf numFmtId="0" fontId="6" fillId="3" borderId="49" xfId="2" applyNumberFormat="1" applyFont="1" applyFill="1" applyBorder="1" applyAlignment="1" applyProtection="1">
      <alignment vertical="center"/>
    </xf>
    <xf numFmtId="0" fontId="6" fillId="2" borderId="0" xfId="6" applyFont="1" applyFill="1" applyAlignment="1" applyProtection="1">
      <alignment vertical="center"/>
    </xf>
    <xf numFmtId="0" fontId="6" fillId="2" borderId="0" xfId="2" applyNumberFormat="1" applyFont="1" applyFill="1" applyBorder="1" applyAlignment="1">
      <alignment horizontal="left" vertical="top"/>
    </xf>
    <xf numFmtId="49" fontId="6" fillId="2" borderId="8" xfId="6" applyNumberFormat="1" applyFont="1" applyFill="1" applyBorder="1" applyAlignment="1" applyProtection="1">
      <alignment vertical="center"/>
    </xf>
    <xf numFmtId="49" fontId="6" fillId="2" borderId="0" xfId="6" applyNumberFormat="1" applyFont="1" applyFill="1" applyBorder="1" applyAlignment="1" applyProtection="1">
      <alignment vertical="center"/>
    </xf>
    <xf numFmtId="49" fontId="6" fillId="2" borderId="11" xfId="6" applyNumberFormat="1" applyFont="1" applyFill="1" applyBorder="1" applyAlignment="1" applyProtection="1">
      <alignment vertical="center"/>
    </xf>
    <xf numFmtId="0" fontId="6" fillId="3" borderId="1" xfId="2" applyNumberFormat="1" applyFont="1" applyFill="1" applyBorder="1" applyAlignment="1" applyProtection="1">
      <alignment vertical="center"/>
    </xf>
    <xf numFmtId="0" fontId="6" fillId="3" borderId="50" xfId="2" applyNumberFormat="1" applyFont="1" applyFill="1" applyBorder="1" applyAlignment="1" applyProtection="1">
      <alignment vertical="center"/>
    </xf>
    <xf numFmtId="0" fontId="6" fillId="2" borderId="48" xfId="2" applyNumberFormat="1" applyFont="1" applyFill="1" applyBorder="1" applyAlignment="1">
      <alignment vertical="center"/>
    </xf>
    <xf numFmtId="0" fontId="6" fillId="3" borderId="48" xfId="2" applyNumberFormat="1" applyFont="1" applyFill="1" applyBorder="1" applyAlignment="1" applyProtection="1">
      <alignment vertical="center"/>
    </xf>
    <xf numFmtId="0" fontId="6" fillId="2" borderId="1" xfId="2" applyNumberFormat="1" applyFont="1" applyFill="1" applyBorder="1" applyAlignment="1" applyProtection="1">
      <alignment vertical="center"/>
    </xf>
    <xf numFmtId="49" fontId="6" fillId="2" borderId="5" xfId="6" applyNumberFormat="1" applyFont="1" applyFill="1" applyBorder="1" applyAlignment="1" applyProtection="1">
      <alignment vertical="center"/>
    </xf>
    <xf numFmtId="0" fontId="6" fillId="2" borderId="6" xfId="6" applyFont="1" applyFill="1" applyBorder="1" applyAlignment="1">
      <alignment vertical="center"/>
    </xf>
    <xf numFmtId="0" fontId="6" fillId="2" borderId="6" xfId="6" applyFont="1" applyFill="1" applyBorder="1" applyAlignment="1">
      <alignment vertical="center" shrinkToFit="1"/>
    </xf>
    <xf numFmtId="49" fontId="6" fillId="3" borderId="6" xfId="6" applyNumberFormat="1" applyFont="1" applyFill="1" applyBorder="1" applyAlignment="1" applyProtection="1">
      <alignment vertical="center"/>
    </xf>
    <xf numFmtId="49" fontId="6" fillId="2" borderId="7" xfId="6" applyNumberFormat="1" applyFont="1" applyFill="1" applyBorder="1" applyAlignment="1" applyProtection="1">
      <alignment vertical="center"/>
    </xf>
    <xf numFmtId="0" fontId="6" fillId="2" borderId="0" xfId="6" applyFont="1" applyFill="1" applyBorder="1" applyAlignment="1">
      <alignment vertical="center" shrinkToFit="1"/>
    </xf>
    <xf numFmtId="0" fontId="6" fillId="3" borderId="6" xfId="2" applyNumberFormat="1" applyFont="1" applyFill="1" applyBorder="1" applyAlignment="1" applyProtection="1">
      <alignment vertical="center"/>
    </xf>
    <xf numFmtId="0" fontId="6" fillId="3" borderId="6" xfId="2" applyNumberFormat="1" applyFont="1" applyFill="1" applyBorder="1" applyAlignment="1" applyProtection="1">
      <alignment vertical="center" wrapText="1" shrinkToFit="1"/>
    </xf>
    <xf numFmtId="0" fontId="6" fillId="3" borderId="6" xfId="2" applyNumberFormat="1" applyFont="1" applyFill="1" applyBorder="1" applyAlignment="1">
      <alignment vertical="center" wrapText="1"/>
    </xf>
    <xf numFmtId="0" fontId="6" fillId="3" borderId="6" xfId="2" applyNumberFormat="1" applyFont="1" applyFill="1" applyBorder="1" applyAlignment="1" applyProtection="1">
      <alignment vertical="center" shrinkToFit="1"/>
    </xf>
    <xf numFmtId="49" fontId="6" fillId="3" borderId="0" xfId="6" applyNumberFormat="1" applyFont="1" applyFill="1" applyBorder="1" applyAlignment="1" applyProtection="1">
      <alignment vertical="center"/>
    </xf>
    <xf numFmtId="49" fontId="6" fillId="2" borderId="48" xfId="6" applyNumberFormat="1" applyFont="1" applyFill="1" applyBorder="1" applyAlignment="1" applyProtection="1">
      <alignment vertical="center"/>
    </xf>
    <xf numFmtId="49" fontId="6" fillId="3" borderId="8" xfId="6" applyNumberFormat="1" applyFont="1" applyFill="1" applyBorder="1" applyAlignment="1" applyProtection="1">
      <alignment vertical="center"/>
    </xf>
    <xf numFmtId="0" fontId="6" fillId="2" borderId="8" xfId="6" applyFont="1" applyFill="1" applyBorder="1" applyAlignment="1" applyProtection="1">
      <alignment vertical="center"/>
    </xf>
    <xf numFmtId="0" fontId="6" fillId="2" borderId="11" xfId="6" applyFont="1" applyFill="1" applyBorder="1" applyAlignment="1" applyProtection="1">
      <alignment vertical="center"/>
    </xf>
    <xf numFmtId="0" fontId="6" fillId="2" borderId="5" xfId="6" applyFont="1" applyFill="1" applyBorder="1" applyAlignment="1" applyProtection="1">
      <alignment vertical="center"/>
    </xf>
    <xf numFmtId="0" fontId="6" fillId="2" borderId="6" xfId="6" applyFont="1" applyFill="1" applyBorder="1" applyAlignment="1" applyProtection="1">
      <alignment vertical="center"/>
    </xf>
    <xf numFmtId="0" fontId="6" fillId="2" borderId="7" xfId="6" applyFont="1" applyFill="1" applyBorder="1" applyAlignment="1" applyProtection="1">
      <alignment vertical="center"/>
    </xf>
    <xf numFmtId="0" fontId="6" fillId="3" borderId="0" xfId="2" applyNumberFormat="1" applyFont="1" applyFill="1" applyBorder="1" applyAlignment="1" applyProtection="1">
      <alignment vertical="center" shrinkToFit="1"/>
    </xf>
    <xf numFmtId="0" fontId="6" fillId="2" borderId="0" xfId="6" applyFont="1" applyFill="1" applyAlignment="1" applyProtection="1">
      <alignment vertical="center" wrapText="1"/>
    </xf>
    <xf numFmtId="0" fontId="6" fillId="3" borderId="17" xfId="0" applyFont="1" applyFill="1" applyBorder="1" applyAlignment="1">
      <alignment horizontal="center" vertical="center" shrinkToFit="1"/>
    </xf>
    <xf numFmtId="0" fontId="6" fillId="3" borderId="19" xfId="0" applyFont="1" applyFill="1" applyBorder="1" applyAlignment="1">
      <alignment horizontal="center" vertical="center" shrinkToFit="1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49" fontId="28" fillId="0" borderId="0" xfId="0" applyNumberFormat="1" applyFont="1">
      <alignment vertical="center"/>
    </xf>
    <xf numFmtId="0" fontId="28" fillId="7" borderId="17" xfId="0" applyFont="1" applyFill="1" applyBorder="1" applyAlignment="1">
      <alignment vertical="top"/>
    </xf>
    <xf numFmtId="49" fontId="28" fillId="7" borderId="16" xfId="0" applyNumberFormat="1" applyFont="1" applyFill="1" applyBorder="1" applyAlignment="1">
      <alignment vertical="top"/>
    </xf>
    <xf numFmtId="0" fontId="28" fillId="7" borderId="16" xfId="0" applyFont="1" applyFill="1" applyBorder="1" applyAlignment="1">
      <alignment vertical="top"/>
    </xf>
    <xf numFmtId="0" fontId="28" fillId="7" borderId="1" xfId="0" applyFont="1" applyFill="1" applyBorder="1" applyAlignment="1">
      <alignment vertical="top"/>
    </xf>
    <xf numFmtId="0" fontId="28" fillId="7" borderId="1" xfId="0" applyFont="1" applyFill="1" applyBorder="1" applyAlignment="1">
      <alignment horizontal="left" vertical="top"/>
    </xf>
    <xf numFmtId="0" fontId="29" fillId="0" borderId="1" xfId="0" applyFont="1" applyFill="1" applyBorder="1">
      <alignment vertical="center"/>
    </xf>
    <xf numFmtId="0" fontId="29" fillId="0" borderId="49" xfId="0" applyFont="1" applyFill="1" applyBorder="1" applyAlignment="1">
      <alignment horizontal="right" vertical="center"/>
    </xf>
    <xf numFmtId="0" fontId="29" fillId="0" borderId="49" xfId="0" applyFont="1" applyFill="1" applyBorder="1" applyAlignment="1">
      <alignment vertical="center"/>
    </xf>
    <xf numFmtId="0" fontId="29" fillId="0" borderId="51" xfId="0" applyFont="1" applyFill="1" applyBorder="1" applyAlignment="1">
      <alignment horizontal="left" vertical="center"/>
    </xf>
    <xf numFmtId="49" fontId="29" fillId="0" borderId="52" xfId="0" applyNumberFormat="1" applyFont="1" applyFill="1" applyBorder="1" applyAlignment="1">
      <alignment horizontal="left" vertical="center"/>
    </xf>
    <xf numFmtId="0" fontId="29" fillId="0" borderId="52" xfId="0" applyFont="1" applyFill="1" applyBorder="1" applyAlignment="1">
      <alignment horizontal="left" vertical="center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0" fontId="29" fillId="0" borderId="48" xfId="0" applyFont="1" applyFill="1" applyBorder="1" applyAlignment="1">
      <alignment horizontal="right" vertical="center"/>
    </xf>
    <xf numFmtId="0" fontId="29" fillId="0" borderId="48" xfId="0" applyFont="1" applyFill="1" applyBorder="1" applyAlignment="1">
      <alignment vertical="center"/>
    </xf>
    <xf numFmtId="0" fontId="29" fillId="9" borderId="51" xfId="0" applyFont="1" applyFill="1" applyBorder="1" applyAlignment="1">
      <alignment horizontal="left" vertical="center"/>
    </xf>
    <xf numFmtId="49" fontId="29" fillId="9" borderId="52" xfId="0" applyNumberFormat="1" applyFont="1" applyFill="1" applyBorder="1" applyAlignment="1">
      <alignment horizontal="left" vertical="center"/>
    </xf>
    <xf numFmtId="0" fontId="29" fillId="9" borderId="52" xfId="0" applyFont="1" applyFill="1" applyBorder="1" applyAlignment="1">
      <alignment horizontal="left" vertical="center"/>
    </xf>
    <xf numFmtId="0" fontId="29" fillId="9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vertical="center"/>
    </xf>
    <xf numFmtId="0" fontId="29" fillId="0" borderId="50" xfId="0" applyFont="1" applyFill="1" applyBorder="1" applyAlignment="1">
      <alignment horizontal="right" vertical="center"/>
    </xf>
    <xf numFmtId="0" fontId="29" fillId="0" borderId="50" xfId="0" applyFont="1" applyFill="1" applyBorder="1" applyAlignment="1">
      <alignment vertical="center"/>
    </xf>
    <xf numFmtId="49" fontId="29" fillId="9" borderId="52" xfId="0" applyNumberFormat="1" applyFont="1" applyFill="1" applyBorder="1" applyAlignment="1">
      <alignment horizontal="left" vertical="top"/>
    </xf>
    <xf numFmtId="49" fontId="29" fillId="9" borderId="52" xfId="0" quotePrefix="1" applyNumberFormat="1" applyFont="1" applyFill="1" applyBorder="1" applyAlignment="1">
      <alignment horizontal="left" vertical="center"/>
    </xf>
    <xf numFmtId="0" fontId="31" fillId="9" borderId="0" xfId="0" applyFont="1" applyFill="1">
      <alignment vertical="center"/>
    </xf>
    <xf numFmtId="49" fontId="29" fillId="0" borderId="52" xfId="0" quotePrefix="1" applyNumberFormat="1" applyFont="1" applyFill="1" applyBorder="1" applyAlignment="1">
      <alignment horizontal="left" vertical="center"/>
    </xf>
    <xf numFmtId="49" fontId="29" fillId="0" borderId="49" xfId="0" applyNumberFormat="1" applyFont="1" applyFill="1" applyBorder="1" applyAlignment="1">
      <alignment horizontal="right" vertical="center"/>
    </xf>
    <xf numFmtId="3" fontId="29" fillId="0" borderId="49" xfId="0" applyNumberFormat="1" applyFont="1" applyFill="1" applyBorder="1" applyAlignment="1">
      <alignment vertical="center"/>
    </xf>
    <xf numFmtId="49" fontId="29" fillId="0" borderId="48" xfId="0" applyNumberFormat="1" applyFont="1" applyFill="1" applyBorder="1" applyAlignment="1">
      <alignment horizontal="right" vertical="center"/>
    </xf>
    <xf numFmtId="49" fontId="29" fillId="0" borderId="50" xfId="0" applyNumberFormat="1" applyFont="1" applyFill="1" applyBorder="1" applyAlignment="1">
      <alignment horizontal="right" vertical="center"/>
    </xf>
    <xf numFmtId="0" fontId="6" fillId="3" borderId="0" xfId="2" applyNumberFormat="1" applyFont="1" applyFill="1" applyBorder="1" applyAlignment="1">
      <alignment vertical="center" shrinkToFit="1"/>
    </xf>
    <xf numFmtId="0" fontId="12" fillId="3" borderId="0" xfId="2" applyNumberFormat="1" applyFont="1" applyFill="1" applyBorder="1" applyAlignment="1">
      <alignment vertical="center" shrinkToFit="1"/>
    </xf>
    <xf numFmtId="0" fontId="6" fillId="3" borderId="1" xfId="2" applyNumberFormat="1" applyFont="1" applyFill="1" applyBorder="1" applyAlignment="1">
      <alignment horizontal="center" vertical="center"/>
    </xf>
    <xf numFmtId="0" fontId="6" fillId="3" borderId="1" xfId="2" applyNumberFormat="1" applyFont="1" applyFill="1" applyBorder="1" applyAlignment="1">
      <alignment vertical="center"/>
    </xf>
    <xf numFmtId="0" fontId="6" fillId="0" borderId="1" xfId="2" applyNumberFormat="1" applyFont="1" applyFill="1" applyBorder="1" applyAlignment="1">
      <alignment vertical="center"/>
    </xf>
    <xf numFmtId="0" fontId="10" fillId="2" borderId="1" xfId="2" applyNumberFormat="1" applyFont="1" applyFill="1" applyBorder="1" applyAlignment="1">
      <alignment horizontal="center" vertical="center" wrapText="1"/>
    </xf>
    <xf numFmtId="0" fontId="10" fillId="2" borderId="1" xfId="2" applyNumberFormat="1" applyFont="1" applyFill="1" applyBorder="1" applyAlignment="1">
      <alignment horizontal="center" vertical="center"/>
    </xf>
    <xf numFmtId="0" fontId="6" fillId="2" borderId="2" xfId="2" applyNumberFormat="1" applyFont="1" applyFill="1" applyBorder="1" applyAlignment="1">
      <alignment horizontal="center" vertical="center"/>
    </xf>
    <xf numFmtId="0" fontId="6" fillId="2" borderId="3" xfId="2" applyNumberFormat="1" applyFont="1" applyFill="1" applyBorder="1" applyAlignment="1">
      <alignment horizontal="center" vertical="center"/>
    </xf>
    <xf numFmtId="0" fontId="6" fillId="2" borderId="4" xfId="2" applyNumberFormat="1" applyFont="1" applyFill="1" applyBorder="1" applyAlignment="1">
      <alignment horizontal="center" vertical="center"/>
    </xf>
    <xf numFmtId="0" fontId="6" fillId="2" borderId="5" xfId="2" applyNumberFormat="1" applyFont="1" applyFill="1" applyBorder="1" applyAlignment="1">
      <alignment horizontal="center" vertical="center"/>
    </xf>
    <xf numFmtId="0" fontId="6" fillId="2" borderId="6" xfId="2" applyNumberFormat="1" applyFont="1" applyFill="1" applyBorder="1" applyAlignment="1">
      <alignment horizontal="center" vertical="center"/>
    </xf>
    <xf numFmtId="0" fontId="6" fillId="2" borderId="7" xfId="2" applyNumberFormat="1" applyFont="1" applyFill="1" applyBorder="1" applyAlignment="1">
      <alignment horizontal="center" vertical="center"/>
    </xf>
    <xf numFmtId="0" fontId="6" fillId="2" borderId="1" xfId="2" quotePrefix="1" applyNumberFormat="1" applyFont="1" applyFill="1" applyBorder="1" applyAlignment="1">
      <alignment horizontal="center" vertical="center"/>
    </xf>
    <xf numFmtId="0" fontId="6" fillId="3" borderId="1" xfId="2" applyNumberFormat="1" applyFont="1" applyFill="1" applyBorder="1" applyAlignment="1">
      <alignment horizontal="center" vertical="center" wrapText="1"/>
    </xf>
    <xf numFmtId="0" fontId="6" fillId="3" borderId="17" xfId="2" applyNumberFormat="1" applyFont="1" applyFill="1" applyBorder="1" applyAlignment="1">
      <alignment horizontal="center" vertical="center" shrinkToFit="1"/>
    </xf>
    <xf numFmtId="0" fontId="6" fillId="3" borderId="19" xfId="2" applyNumberFormat="1" applyFont="1" applyFill="1" applyBorder="1" applyAlignment="1">
      <alignment horizontal="center" vertical="center" shrinkToFit="1"/>
    </xf>
    <xf numFmtId="0" fontId="6" fillId="3" borderId="17" xfId="2" applyNumberFormat="1" applyFont="1" applyFill="1" applyBorder="1" applyAlignment="1">
      <alignment vertical="center"/>
    </xf>
    <xf numFmtId="0" fontId="6" fillId="3" borderId="18" xfId="2" applyNumberFormat="1" applyFont="1" applyFill="1" applyBorder="1" applyAlignment="1">
      <alignment vertical="center"/>
    </xf>
    <xf numFmtId="0" fontId="6" fillId="3" borderId="19" xfId="2" applyNumberFormat="1" applyFont="1" applyFill="1" applyBorder="1" applyAlignment="1">
      <alignment vertical="center"/>
    </xf>
    <xf numFmtId="0" fontId="6" fillId="3" borderId="17" xfId="2" applyNumberFormat="1" applyFont="1" applyFill="1" applyBorder="1" applyAlignment="1">
      <alignment vertical="center" shrinkToFit="1"/>
    </xf>
    <xf numFmtId="0" fontId="6" fillId="3" borderId="18" xfId="2" applyNumberFormat="1" applyFont="1" applyFill="1" applyBorder="1" applyAlignment="1">
      <alignment vertical="center" shrinkToFit="1"/>
    </xf>
    <xf numFmtId="0" fontId="6" fillId="3" borderId="19" xfId="2" applyNumberFormat="1" applyFont="1" applyFill="1" applyBorder="1" applyAlignment="1">
      <alignment vertical="center" shrinkToFit="1"/>
    </xf>
    <xf numFmtId="0" fontId="6" fillId="3" borderId="17" xfId="2" applyNumberFormat="1" applyFont="1" applyFill="1" applyBorder="1" applyAlignment="1">
      <alignment vertical="center" wrapText="1"/>
    </xf>
    <xf numFmtId="0" fontId="6" fillId="3" borderId="18" xfId="2" applyNumberFormat="1" applyFont="1" applyFill="1" applyBorder="1" applyAlignment="1">
      <alignment vertical="center" wrapText="1"/>
    </xf>
    <xf numFmtId="0" fontId="6" fillId="3" borderId="19" xfId="2" applyNumberFormat="1" applyFont="1" applyFill="1" applyBorder="1" applyAlignment="1">
      <alignment vertical="center" wrapText="1"/>
    </xf>
    <xf numFmtId="0" fontId="6" fillId="3" borderId="17" xfId="4" applyFont="1" applyFill="1" applyBorder="1" applyAlignment="1">
      <alignment horizontal="center" vertical="center" shrinkToFit="1"/>
    </xf>
    <xf numFmtId="0" fontId="6" fillId="3" borderId="19" xfId="4" applyFont="1" applyFill="1" applyBorder="1" applyAlignment="1">
      <alignment horizontal="center" vertical="center" shrinkToFit="1"/>
    </xf>
    <xf numFmtId="0" fontId="6" fillId="3" borderId="1" xfId="2" applyNumberFormat="1" applyFont="1" applyFill="1" applyBorder="1" applyAlignment="1">
      <alignment horizontal="center" vertical="center" shrinkToFit="1"/>
    </xf>
    <xf numFmtId="14" fontId="6" fillId="3" borderId="1" xfId="2" applyNumberFormat="1" applyFont="1" applyFill="1" applyBorder="1" applyAlignment="1">
      <alignment horizontal="center" vertical="center"/>
    </xf>
    <xf numFmtId="0" fontId="12" fillId="3" borderId="17" xfId="2" applyNumberFormat="1" applyFont="1" applyFill="1" applyBorder="1" applyAlignment="1">
      <alignment vertical="center" shrinkToFit="1"/>
    </xf>
    <xf numFmtId="0" fontId="12" fillId="3" borderId="18" xfId="2" applyNumberFormat="1" applyFont="1" applyFill="1" applyBorder="1" applyAlignment="1">
      <alignment vertical="center" shrinkToFit="1"/>
    </xf>
    <xf numFmtId="0" fontId="12" fillId="3" borderId="19" xfId="2" applyNumberFormat="1" applyFont="1" applyFill="1" applyBorder="1" applyAlignment="1">
      <alignment vertical="center" shrinkToFit="1"/>
    </xf>
    <xf numFmtId="0" fontId="12" fillId="3" borderId="17" xfId="4" applyFont="1" applyFill="1" applyBorder="1" applyAlignment="1">
      <alignment horizontal="center" vertical="center" shrinkToFit="1"/>
    </xf>
    <xf numFmtId="0" fontId="12" fillId="3" borderId="19" xfId="4" applyFont="1" applyFill="1" applyBorder="1" applyAlignment="1">
      <alignment horizontal="center" vertical="center" shrinkToFit="1"/>
    </xf>
    <xf numFmtId="0" fontId="12" fillId="3" borderId="17" xfId="2" applyNumberFormat="1" applyFont="1" applyFill="1" applyBorder="1" applyAlignment="1">
      <alignment horizontal="center" vertical="center" shrinkToFit="1"/>
    </xf>
    <xf numFmtId="0" fontId="12" fillId="3" borderId="19" xfId="2" applyNumberFormat="1" applyFont="1" applyFill="1" applyBorder="1" applyAlignment="1">
      <alignment horizontal="center" vertical="center" shrinkToFit="1"/>
    </xf>
    <xf numFmtId="0" fontId="6" fillId="3" borderId="17" xfId="4" applyNumberFormat="1" applyFont="1" applyFill="1" applyBorder="1" applyAlignment="1">
      <alignment horizontal="center" vertical="center" shrinkToFit="1"/>
    </xf>
    <xf numFmtId="0" fontId="6" fillId="3" borderId="19" xfId="4" applyNumberFormat="1" applyFont="1" applyFill="1" applyBorder="1" applyAlignment="1">
      <alignment horizontal="center" vertical="center" shrinkToFit="1"/>
    </xf>
    <xf numFmtId="0" fontId="6" fillId="3" borderId="17" xfId="0" applyFont="1" applyFill="1" applyBorder="1" applyAlignment="1">
      <alignment horizontal="center" vertical="center" shrinkToFit="1"/>
    </xf>
    <xf numFmtId="0" fontId="6" fillId="3" borderId="19" xfId="0" applyFont="1" applyFill="1" applyBorder="1" applyAlignment="1">
      <alignment horizontal="center" vertical="center" shrinkToFit="1"/>
    </xf>
    <xf numFmtId="0" fontId="6" fillId="3" borderId="6" xfId="2" applyNumberFormat="1" applyFont="1" applyFill="1" applyBorder="1" applyAlignment="1" applyProtection="1">
      <alignment vertical="center" wrapText="1" shrinkToFit="1"/>
    </xf>
    <xf numFmtId="0" fontId="6" fillId="2" borderId="6" xfId="6" applyFont="1" applyFill="1" applyBorder="1" applyAlignment="1">
      <alignment vertical="center"/>
    </xf>
    <xf numFmtId="0" fontId="6" fillId="3" borderId="6" xfId="2" applyNumberFormat="1" applyFont="1" applyFill="1" applyBorder="1" applyAlignment="1">
      <alignment vertical="center" wrapText="1"/>
    </xf>
    <xf numFmtId="0" fontId="6" fillId="3" borderId="6" xfId="2" applyNumberFormat="1" applyFont="1" applyFill="1" applyBorder="1" applyAlignment="1" applyProtection="1">
      <alignment vertical="center" shrinkToFit="1"/>
    </xf>
    <xf numFmtId="0" fontId="6" fillId="3" borderId="5" xfId="2" applyNumberFormat="1" applyFont="1" applyFill="1" applyBorder="1" applyAlignment="1" applyProtection="1">
      <alignment vertical="center" shrinkToFit="1"/>
    </xf>
    <xf numFmtId="0" fontId="6" fillId="3" borderId="7" xfId="2" applyNumberFormat="1" applyFont="1" applyFill="1" applyBorder="1" applyAlignment="1" applyProtection="1">
      <alignment vertical="center" shrinkToFit="1"/>
    </xf>
    <xf numFmtId="0" fontId="6" fillId="2" borderId="17" xfId="6" applyFont="1" applyFill="1" applyBorder="1" applyAlignment="1">
      <alignment vertical="center" shrinkToFit="1"/>
    </xf>
    <xf numFmtId="0" fontId="6" fillId="2" borderId="18" xfId="6" applyFont="1" applyFill="1" applyBorder="1" applyAlignment="1">
      <alignment vertical="center" shrinkToFit="1"/>
    </xf>
    <xf numFmtId="0" fontId="6" fillId="2" borderId="19" xfId="6" applyFont="1" applyFill="1" applyBorder="1" applyAlignment="1">
      <alignment vertical="center" shrinkToFit="1"/>
    </xf>
    <xf numFmtId="0" fontId="6" fillId="3" borderId="8" xfId="2" applyNumberFormat="1" applyFont="1" applyFill="1" applyBorder="1" applyAlignment="1" applyProtection="1">
      <alignment vertical="center" shrinkToFit="1"/>
    </xf>
    <xf numFmtId="0" fontId="6" fillId="3" borderId="0" xfId="2" applyNumberFormat="1" applyFont="1" applyFill="1" applyBorder="1" applyAlignment="1" applyProtection="1">
      <alignment vertical="center" shrinkToFit="1"/>
    </xf>
    <xf numFmtId="0" fontId="6" fillId="3" borderId="11" xfId="2" applyNumberFormat="1" applyFont="1" applyFill="1" applyBorder="1" applyAlignment="1" applyProtection="1">
      <alignment vertical="center" shrinkToFit="1"/>
    </xf>
    <xf numFmtId="0" fontId="6" fillId="0" borderId="17" xfId="2" applyNumberFormat="1" applyFont="1" applyFill="1" applyBorder="1" applyAlignment="1">
      <alignment vertical="center" shrinkToFit="1"/>
    </xf>
    <xf numFmtId="0" fontId="6" fillId="0" borderId="18" xfId="2" applyNumberFormat="1" applyFont="1" applyFill="1" applyBorder="1" applyAlignment="1">
      <alignment vertical="center" shrinkToFit="1"/>
    </xf>
    <xf numFmtId="0" fontId="6" fillId="0" borderId="19" xfId="2" applyNumberFormat="1" applyFont="1" applyFill="1" applyBorder="1" applyAlignment="1">
      <alignment vertical="center" shrinkToFit="1"/>
    </xf>
    <xf numFmtId="0" fontId="6" fillId="3" borderId="2" xfId="2" applyNumberFormat="1" applyFont="1" applyFill="1" applyBorder="1" applyAlignment="1" applyProtection="1">
      <alignment vertical="center" shrinkToFit="1"/>
    </xf>
    <xf numFmtId="0" fontId="6" fillId="3" borderId="3" xfId="2" applyNumberFormat="1" applyFont="1" applyFill="1" applyBorder="1" applyAlignment="1" applyProtection="1">
      <alignment vertical="center" shrinkToFit="1"/>
    </xf>
    <xf numFmtId="0" fontId="6" fillId="3" borderId="4" xfId="2" applyNumberFormat="1" applyFont="1" applyFill="1" applyBorder="1" applyAlignment="1" applyProtection="1">
      <alignment vertical="center" shrinkToFit="1"/>
    </xf>
    <xf numFmtId="0" fontId="6" fillId="2" borderId="5" xfId="6" applyFont="1" applyFill="1" applyBorder="1" applyAlignment="1" applyProtection="1">
      <alignment vertical="center" shrinkToFit="1"/>
    </xf>
    <xf numFmtId="0" fontId="6" fillId="2" borderId="6" xfId="6" applyFont="1" applyFill="1" applyBorder="1" applyAlignment="1" applyProtection="1">
      <alignment vertical="center" shrinkToFit="1"/>
    </xf>
    <xf numFmtId="0" fontId="6" fillId="2" borderId="7" xfId="6" applyFont="1" applyFill="1" applyBorder="1" applyAlignment="1" applyProtection="1">
      <alignment vertical="center" shrinkToFit="1"/>
    </xf>
    <xf numFmtId="0" fontId="6" fillId="3" borderId="17" xfId="2" applyNumberFormat="1" applyFont="1" applyFill="1" applyBorder="1" applyAlignment="1" applyProtection="1">
      <alignment vertical="center" shrinkToFit="1"/>
    </xf>
    <xf numFmtId="0" fontId="6" fillId="3" borderId="18" xfId="2" applyNumberFormat="1" applyFont="1" applyFill="1" applyBorder="1" applyAlignment="1" applyProtection="1">
      <alignment vertical="center" shrinkToFit="1"/>
    </xf>
    <xf numFmtId="0" fontId="6" fillId="3" borderId="19" xfId="2" applyNumberFormat="1" applyFont="1" applyFill="1" applyBorder="1" applyAlignment="1" applyProtection="1">
      <alignment vertical="center" shrinkToFit="1"/>
    </xf>
    <xf numFmtId="0" fontId="6" fillId="2" borderId="8" xfId="6" applyFont="1" applyFill="1" applyBorder="1" applyAlignment="1" applyProtection="1">
      <alignment vertical="center" shrinkToFit="1"/>
    </xf>
    <xf numFmtId="0" fontId="6" fillId="2" borderId="0" xfId="6" applyFont="1" applyFill="1" applyBorder="1" applyAlignment="1" applyProtection="1">
      <alignment vertical="center" shrinkToFit="1"/>
    </xf>
    <xf numFmtId="0" fontId="6" fillId="2" borderId="11" xfId="6" applyFont="1" applyFill="1" applyBorder="1" applyAlignment="1" applyProtection="1">
      <alignment vertical="center" shrinkToFit="1"/>
    </xf>
    <xf numFmtId="0" fontId="6" fillId="0" borderId="17" xfId="6" applyFont="1" applyFill="1" applyBorder="1" applyAlignment="1">
      <alignment vertical="center" wrapText="1" shrinkToFit="1"/>
    </xf>
    <xf numFmtId="0" fontId="6" fillId="0" borderId="18" xfId="6" applyFont="1" applyFill="1" applyBorder="1" applyAlignment="1">
      <alignment vertical="center" shrinkToFit="1"/>
    </xf>
    <xf numFmtId="0" fontId="6" fillId="0" borderId="19" xfId="6" applyFont="1" applyFill="1" applyBorder="1" applyAlignment="1">
      <alignment vertical="center" shrinkToFit="1"/>
    </xf>
    <xf numFmtId="0" fontId="6" fillId="3" borderId="17" xfId="2" applyNumberFormat="1" applyFont="1" applyFill="1" applyBorder="1" applyAlignment="1">
      <alignment vertical="center" wrapText="1" shrinkToFit="1"/>
    </xf>
    <xf numFmtId="0" fontId="6" fillId="3" borderId="6" xfId="2" applyNumberFormat="1" applyFont="1" applyFill="1" applyBorder="1" applyAlignment="1" applyProtection="1">
      <alignment vertical="center"/>
    </xf>
    <xf numFmtId="0" fontId="6" fillId="0" borderId="17" xfId="6" applyFont="1" applyFill="1" applyBorder="1" applyAlignment="1">
      <alignment vertical="center" shrinkToFit="1"/>
    </xf>
    <xf numFmtId="0" fontId="7" fillId="0" borderId="2" xfId="2" applyNumberFormat="1" applyFont="1" applyFill="1" applyBorder="1" applyAlignment="1" applyProtection="1">
      <alignment horizontal="center" vertical="center"/>
    </xf>
    <xf numFmtId="0" fontId="7" fillId="0" borderId="3" xfId="2" applyNumberFormat="1" applyFont="1" applyFill="1" applyBorder="1" applyAlignment="1" applyProtection="1">
      <alignment horizontal="center" vertical="center"/>
    </xf>
    <xf numFmtId="0" fontId="7" fillId="0" borderId="4" xfId="2" applyNumberFormat="1" applyFont="1" applyFill="1" applyBorder="1" applyAlignment="1" applyProtection="1">
      <alignment horizontal="center" vertical="center"/>
    </xf>
    <xf numFmtId="0" fontId="7" fillId="2" borderId="2" xfId="2" applyNumberFormat="1" applyFont="1" applyFill="1" applyBorder="1" applyAlignment="1" applyProtection="1">
      <alignment horizontal="center" vertical="center" wrapText="1"/>
    </xf>
    <xf numFmtId="0" fontId="7" fillId="2" borderId="3" xfId="2" applyNumberFormat="1" applyFont="1" applyFill="1" applyBorder="1" applyAlignment="1" applyProtection="1">
      <alignment horizontal="center" vertical="center" wrapText="1"/>
    </xf>
    <xf numFmtId="0" fontId="7" fillId="2" borderId="4" xfId="2" applyNumberFormat="1" applyFont="1" applyFill="1" applyBorder="1" applyAlignment="1" applyProtection="1">
      <alignment horizontal="center" vertical="center" wrapText="1"/>
    </xf>
    <xf numFmtId="0" fontId="7" fillId="2" borderId="5" xfId="2" applyNumberFormat="1" applyFont="1" applyFill="1" applyBorder="1" applyAlignment="1" applyProtection="1">
      <alignment horizontal="center" vertical="center" wrapText="1"/>
    </xf>
    <xf numFmtId="0" fontId="7" fillId="2" borderId="6" xfId="2" applyNumberFormat="1" applyFont="1" applyFill="1" applyBorder="1" applyAlignment="1" applyProtection="1">
      <alignment horizontal="center" vertical="center" wrapText="1"/>
    </xf>
    <xf numFmtId="0" fontId="7" fillId="2" borderId="7" xfId="2" applyNumberFormat="1" applyFont="1" applyFill="1" applyBorder="1" applyAlignment="1" applyProtection="1">
      <alignment horizontal="center" vertical="center" wrapText="1"/>
    </xf>
    <xf numFmtId="0" fontId="7" fillId="2" borderId="2" xfId="2" applyNumberFormat="1" applyFont="1" applyFill="1" applyBorder="1" applyAlignment="1" applyProtection="1">
      <alignment horizontal="center" vertical="center"/>
    </xf>
    <xf numFmtId="0" fontId="7" fillId="2" borderId="3" xfId="2" applyNumberFormat="1" applyFont="1" applyFill="1" applyBorder="1" applyAlignment="1" applyProtection="1">
      <alignment horizontal="center" vertical="center"/>
    </xf>
    <xf numFmtId="0" fontId="7" fillId="2" borderId="4" xfId="2" applyNumberFormat="1" applyFont="1" applyFill="1" applyBorder="1" applyAlignment="1" applyProtection="1">
      <alignment horizontal="center" vertical="center"/>
    </xf>
    <xf numFmtId="176" fontId="14" fillId="2" borderId="1" xfId="6" applyNumberFormat="1" applyFont="1" applyFill="1" applyBorder="1" applyAlignment="1" applyProtection="1">
      <alignment horizontal="center" vertical="center"/>
    </xf>
    <xf numFmtId="0" fontId="5" fillId="2" borderId="2" xfId="6" applyFont="1" applyFill="1" applyBorder="1" applyAlignment="1" applyProtection="1">
      <alignment horizontal="center" vertical="center"/>
    </xf>
    <xf numFmtId="0" fontId="5" fillId="2" borderId="3" xfId="6" applyFont="1" applyFill="1" applyBorder="1" applyAlignment="1" applyProtection="1">
      <alignment horizontal="center" vertical="center"/>
    </xf>
    <xf numFmtId="0" fontId="5" fillId="2" borderId="4" xfId="6" applyFont="1" applyFill="1" applyBorder="1" applyAlignment="1" applyProtection="1">
      <alignment horizontal="center" vertical="center"/>
    </xf>
    <xf numFmtId="0" fontId="5" fillId="2" borderId="8" xfId="6" applyFont="1" applyFill="1" applyBorder="1" applyAlignment="1" applyProtection="1">
      <alignment horizontal="center" vertical="center"/>
    </xf>
    <xf numFmtId="0" fontId="5" fillId="2" borderId="0" xfId="6" applyFont="1" applyFill="1" applyBorder="1" applyAlignment="1" applyProtection="1">
      <alignment horizontal="center" vertical="center"/>
    </xf>
    <xf numFmtId="0" fontId="5" fillId="2" borderId="11" xfId="6" applyFont="1" applyFill="1" applyBorder="1" applyAlignment="1" applyProtection="1">
      <alignment horizontal="center" vertical="center"/>
    </xf>
    <xf numFmtId="0" fontId="5" fillId="2" borderId="5" xfId="6" applyFont="1" applyFill="1" applyBorder="1" applyAlignment="1" applyProtection="1">
      <alignment horizontal="center" vertical="center"/>
    </xf>
    <xf numFmtId="0" fontId="5" fillId="2" borderId="6" xfId="6" applyFont="1" applyFill="1" applyBorder="1" applyAlignment="1" applyProtection="1">
      <alignment horizontal="center" vertical="center"/>
    </xf>
    <xf numFmtId="0" fontId="5" fillId="2" borderId="7" xfId="6" applyFont="1" applyFill="1" applyBorder="1" applyAlignment="1" applyProtection="1">
      <alignment horizontal="center" vertical="center"/>
    </xf>
    <xf numFmtId="0" fontId="5" fillId="2" borderId="2" xfId="6" quotePrefix="1" applyFont="1" applyFill="1" applyBorder="1" applyAlignment="1" applyProtection="1">
      <alignment horizontal="center" vertical="center"/>
    </xf>
    <xf numFmtId="0" fontId="5" fillId="2" borderId="2" xfId="6" applyFont="1" applyFill="1" applyBorder="1" applyAlignment="1" applyProtection="1">
      <alignment horizontal="center" vertical="center" wrapText="1"/>
    </xf>
    <xf numFmtId="0" fontId="24" fillId="2" borderId="1" xfId="6" applyFont="1" applyFill="1" applyBorder="1" applyAlignment="1" applyProtection="1">
      <alignment horizontal="center" vertical="center" wrapText="1"/>
    </xf>
    <xf numFmtId="0" fontId="24" fillId="2" borderId="1" xfId="6" applyFont="1" applyFill="1" applyBorder="1" applyAlignment="1" applyProtection="1">
      <alignment horizontal="center" vertical="center"/>
    </xf>
    <xf numFmtId="0" fontId="14" fillId="2" borderId="2" xfId="6" applyFont="1" applyFill="1" applyBorder="1" applyAlignment="1" applyProtection="1">
      <alignment horizontal="center" vertical="center"/>
    </xf>
    <xf numFmtId="0" fontId="14" fillId="2" borderId="3" xfId="6" applyFont="1" applyFill="1" applyBorder="1" applyAlignment="1" applyProtection="1">
      <alignment horizontal="center" vertical="center"/>
    </xf>
    <xf numFmtId="0" fontId="14" fillId="2" borderId="4" xfId="6" applyFont="1" applyFill="1" applyBorder="1" applyAlignment="1" applyProtection="1">
      <alignment horizontal="center" vertical="center"/>
    </xf>
    <xf numFmtId="0" fontId="14" fillId="2" borderId="5" xfId="6" applyFont="1" applyFill="1" applyBorder="1" applyAlignment="1" applyProtection="1">
      <alignment horizontal="center" vertical="center"/>
    </xf>
    <xf numFmtId="0" fontId="14" fillId="2" borderId="6" xfId="6" applyFont="1" applyFill="1" applyBorder="1" applyAlignment="1" applyProtection="1">
      <alignment horizontal="center" vertical="center"/>
    </xf>
    <xf numFmtId="0" fontId="14" fillId="2" borderId="7" xfId="6" applyFont="1" applyFill="1" applyBorder="1" applyAlignment="1" applyProtection="1">
      <alignment horizontal="center" vertical="center"/>
    </xf>
    <xf numFmtId="0" fontId="14" fillId="2" borderId="1" xfId="6" applyFont="1" applyFill="1" applyBorder="1" applyAlignment="1" applyProtection="1">
      <alignment horizontal="center" vertical="center"/>
    </xf>
    <xf numFmtId="0" fontId="14" fillId="2" borderId="1" xfId="6" quotePrefix="1" applyFont="1" applyFill="1" applyBorder="1" applyAlignment="1" applyProtection="1">
      <alignment horizontal="center" vertical="center"/>
    </xf>
    <xf numFmtId="0" fontId="14" fillId="0" borderId="44" xfId="3" applyFont="1" applyBorder="1" applyAlignment="1">
      <alignment horizontal="center" vertical="center"/>
    </xf>
    <xf numFmtId="0" fontId="14" fillId="0" borderId="43" xfId="3" applyFont="1" applyBorder="1" applyAlignment="1">
      <alignment horizontal="center" vertical="center"/>
    </xf>
    <xf numFmtId="0" fontId="14" fillId="0" borderId="9" xfId="3" applyFont="1" applyBorder="1" applyAlignment="1">
      <alignment horizontal="center" vertical="center"/>
    </xf>
    <xf numFmtId="0" fontId="14" fillId="0" borderId="10" xfId="3" applyFont="1" applyBorder="1" applyAlignment="1">
      <alignment horizontal="center" vertical="center"/>
    </xf>
    <xf numFmtId="0" fontId="14" fillId="0" borderId="9" xfId="3" applyNumberFormat="1" applyFont="1" applyBorder="1" applyAlignment="1">
      <alignment horizontal="center" vertical="center"/>
    </xf>
    <xf numFmtId="0" fontId="14" fillId="0" borderId="10" xfId="3" applyNumberFormat="1" applyFont="1" applyBorder="1" applyAlignment="1">
      <alignment horizontal="center" vertical="center"/>
    </xf>
    <xf numFmtId="38" fontId="14" fillId="0" borderId="9" xfId="5" applyFont="1" applyBorder="1" applyAlignment="1">
      <alignment horizontal="center" vertical="center"/>
    </xf>
    <xf numFmtId="38" fontId="14" fillId="0" borderId="10" xfId="5" applyFont="1" applyBorder="1" applyAlignment="1">
      <alignment horizontal="center" vertical="center"/>
    </xf>
    <xf numFmtId="0" fontId="14" fillId="0" borderId="44" xfId="3" applyNumberFormat="1" applyFont="1" applyBorder="1" applyAlignment="1">
      <alignment horizontal="center" vertical="center"/>
    </xf>
    <xf numFmtId="0" fontId="14" fillId="0" borderId="43" xfId="3" applyNumberFormat="1" applyFont="1" applyBorder="1" applyAlignment="1">
      <alignment horizontal="center" vertical="center"/>
    </xf>
    <xf numFmtId="38" fontId="14" fillId="0" borderId="44" xfId="5" applyFont="1" applyBorder="1" applyAlignment="1">
      <alignment horizontal="center" vertical="center"/>
    </xf>
    <xf numFmtId="38" fontId="14" fillId="0" borderId="43" xfId="5" applyFont="1" applyBorder="1" applyAlignment="1">
      <alignment horizontal="center" vertical="center"/>
    </xf>
    <xf numFmtId="0" fontId="14" fillId="0" borderId="35" xfId="3" applyFont="1" applyBorder="1" applyAlignment="1">
      <alignment horizontal="center" vertical="center"/>
    </xf>
    <xf numFmtId="0" fontId="14" fillId="0" borderId="36" xfId="3" applyFont="1" applyBorder="1" applyAlignment="1">
      <alignment horizontal="center" vertical="center"/>
    </xf>
    <xf numFmtId="0" fontId="14" fillId="0" borderId="35" xfId="3" applyNumberFormat="1" applyFont="1" applyBorder="1" applyAlignment="1">
      <alignment horizontal="center" vertical="center"/>
    </xf>
    <xf numFmtId="0" fontId="14" fillId="0" borderId="36" xfId="3" applyNumberFormat="1" applyFont="1" applyBorder="1" applyAlignment="1">
      <alignment horizontal="center" vertical="center"/>
    </xf>
    <xf numFmtId="38" fontId="14" fillId="0" borderId="35" xfId="5" applyFont="1" applyBorder="1" applyAlignment="1">
      <alignment horizontal="center" vertical="center"/>
    </xf>
    <xf numFmtId="38" fontId="14" fillId="0" borderId="36" xfId="5" applyFont="1" applyBorder="1" applyAlignment="1">
      <alignment horizontal="center" vertical="center"/>
    </xf>
    <xf numFmtId="0" fontId="6" fillId="2" borderId="1" xfId="2" quotePrefix="1" applyNumberFormat="1" applyFont="1" applyFill="1" applyBorder="1" applyAlignment="1" applyProtection="1">
      <alignment horizontal="center" vertical="center"/>
    </xf>
    <xf numFmtId="0" fontId="6" fillId="2" borderId="1" xfId="2" applyNumberFormat="1" applyFont="1" applyFill="1" applyBorder="1" applyAlignment="1" applyProtection="1">
      <alignment horizontal="center" vertical="center"/>
    </xf>
    <xf numFmtId="0" fontId="17" fillId="0" borderId="17" xfId="4" applyFont="1" applyBorder="1" applyAlignment="1">
      <alignment horizontal="left" vertical="center"/>
    </xf>
    <xf numFmtId="0" fontId="11" fillId="0" borderId="18" xfId="4" applyBorder="1" applyAlignment="1">
      <alignment horizontal="left" vertical="center"/>
    </xf>
    <xf numFmtId="0" fontId="11" fillId="0" borderId="19" xfId="4" applyBorder="1" applyAlignment="1">
      <alignment horizontal="left" vertical="center"/>
    </xf>
    <xf numFmtId="0" fontId="5" fillId="6" borderId="1" xfId="2" applyNumberFormat="1" applyFont="1" applyFill="1" applyBorder="1" applyAlignment="1" applyProtection="1">
      <alignment horizontal="center" vertical="center"/>
    </xf>
    <xf numFmtId="0" fontId="11" fillId="6" borderId="1" xfId="4" applyFill="1" applyBorder="1" applyAlignment="1">
      <alignment horizontal="center" vertical="center"/>
    </xf>
    <xf numFmtId="0" fontId="5" fillId="2" borderId="17" xfId="2" applyNumberFormat="1" applyFont="1" applyFill="1" applyBorder="1" applyAlignment="1" applyProtection="1">
      <alignment horizontal="left" vertical="center"/>
    </xf>
    <xf numFmtId="0" fontId="11" fillId="0" borderId="18" xfId="4" applyBorder="1" applyAlignment="1">
      <alignment vertical="center"/>
    </xf>
    <xf numFmtId="0" fontId="11" fillId="0" borderId="19" xfId="4" applyBorder="1" applyAlignment="1">
      <alignment vertical="center"/>
    </xf>
    <xf numFmtId="0" fontId="5" fillId="6" borderId="17" xfId="2" applyNumberFormat="1" applyFont="1" applyFill="1" applyBorder="1" applyAlignment="1" applyProtection="1">
      <alignment horizontal="center" vertical="center"/>
    </xf>
    <xf numFmtId="0" fontId="11" fillId="6" borderId="18" xfId="4" applyFill="1" applyBorder="1" applyAlignment="1">
      <alignment horizontal="center" vertical="center"/>
    </xf>
    <xf numFmtId="0" fontId="17" fillId="6" borderId="17" xfId="4" applyFont="1" applyFill="1" applyBorder="1" applyAlignment="1">
      <alignment horizontal="center" vertical="center"/>
    </xf>
    <xf numFmtId="0" fontId="11" fillId="0" borderId="18" xfId="4" applyBorder="1" applyAlignment="1">
      <alignment horizontal="center" vertical="center"/>
    </xf>
    <xf numFmtId="0" fontId="11" fillId="0" borderId="19" xfId="4" applyBorder="1" applyAlignment="1">
      <alignment horizontal="center" vertical="center"/>
    </xf>
    <xf numFmtId="0" fontId="10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NumberFormat="1" applyFont="1" applyFill="1" applyBorder="1" applyAlignment="1" applyProtection="1">
      <alignment horizontal="center" vertical="center"/>
    </xf>
    <xf numFmtId="0" fontId="6" fillId="2" borderId="2" xfId="2" applyNumberFormat="1" applyFont="1" applyFill="1" applyBorder="1" applyAlignment="1" applyProtection="1">
      <alignment horizontal="center" vertical="center"/>
    </xf>
    <xf numFmtId="0" fontId="6" fillId="2" borderId="3" xfId="2" applyNumberFormat="1" applyFont="1" applyFill="1" applyBorder="1" applyAlignment="1" applyProtection="1">
      <alignment horizontal="center" vertical="center"/>
    </xf>
    <xf numFmtId="0" fontId="6" fillId="2" borderId="4" xfId="2" applyNumberFormat="1" applyFont="1" applyFill="1" applyBorder="1" applyAlignment="1" applyProtection="1">
      <alignment horizontal="center" vertical="center"/>
    </xf>
    <xf numFmtId="0" fontId="6" fillId="2" borderId="5" xfId="2" applyNumberFormat="1" applyFont="1" applyFill="1" applyBorder="1" applyAlignment="1" applyProtection="1">
      <alignment horizontal="center" vertical="center"/>
    </xf>
    <xf numFmtId="0" fontId="6" fillId="2" borderId="6" xfId="2" applyNumberFormat="1" applyFont="1" applyFill="1" applyBorder="1" applyAlignment="1" applyProtection="1">
      <alignment horizontal="center" vertical="center"/>
    </xf>
    <xf numFmtId="0" fontId="6" fillId="2" borderId="7" xfId="2" applyNumberFormat="1" applyFont="1" applyFill="1" applyBorder="1" applyAlignment="1" applyProtection="1">
      <alignment horizontal="center" vertical="center"/>
    </xf>
    <xf numFmtId="0" fontId="28" fillId="7" borderId="2" xfId="0" applyFont="1" applyFill="1" applyBorder="1" applyAlignment="1">
      <alignment horizontal="left" vertical="top" wrapText="1"/>
    </xf>
    <xf numFmtId="0" fontId="28" fillId="7" borderId="8" xfId="0" applyFont="1" applyFill="1" applyBorder="1" applyAlignment="1">
      <alignment horizontal="left" vertical="top" wrapText="1"/>
    </xf>
    <xf numFmtId="0" fontId="28" fillId="7" borderId="5" xfId="0" applyFont="1" applyFill="1" applyBorder="1" applyAlignment="1">
      <alignment horizontal="left" vertical="top" wrapText="1"/>
    </xf>
    <xf numFmtId="0" fontId="29" fillId="7" borderId="2" xfId="0" applyFont="1" applyFill="1" applyBorder="1" applyAlignment="1">
      <alignment horizontal="left" vertical="top" wrapText="1"/>
    </xf>
    <xf numFmtId="0" fontId="29" fillId="7" borderId="8" xfId="0" applyFont="1" applyFill="1" applyBorder="1" applyAlignment="1">
      <alignment horizontal="left" vertical="top" wrapText="1"/>
    </xf>
    <xf numFmtId="0" fontId="29" fillId="7" borderId="5" xfId="0" applyFont="1" applyFill="1" applyBorder="1" applyAlignment="1">
      <alignment horizontal="left" vertical="top" wrapText="1"/>
    </xf>
    <xf numFmtId="0" fontId="28" fillId="7" borderId="17" xfId="0" applyFont="1" applyFill="1" applyBorder="1" applyAlignment="1">
      <alignment horizontal="left" vertical="center"/>
    </xf>
    <xf numFmtId="0" fontId="28" fillId="7" borderId="18" xfId="0" applyFont="1" applyFill="1" applyBorder="1" applyAlignment="1">
      <alignment horizontal="left" vertical="center"/>
    </xf>
    <xf numFmtId="49" fontId="28" fillId="7" borderId="18" xfId="0" applyNumberFormat="1" applyFont="1" applyFill="1" applyBorder="1" applyAlignment="1">
      <alignment horizontal="left" vertical="center"/>
    </xf>
    <xf numFmtId="0" fontId="28" fillId="7" borderId="19" xfId="0" applyFont="1" applyFill="1" applyBorder="1" applyAlignment="1">
      <alignment horizontal="left" vertical="center"/>
    </xf>
    <xf numFmtId="0" fontId="28" fillId="7" borderId="3" xfId="0" applyFont="1" applyFill="1" applyBorder="1" applyAlignment="1">
      <alignment horizontal="left" vertical="top" wrapText="1"/>
    </xf>
    <xf numFmtId="0" fontId="28" fillId="7" borderId="4" xfId="0" applyFont="1" applyFill="1" applyBorder="1" applyAlignment="1">
      <alignment horizontal="left" vertical="top" wrapText="1"/>
    </xf>
    <xf numFmtId="0" fontId="28" fillId="7" borderId="6" xfId="0" applyFont="1" applyFill="1" applyBorder="1" applyAlignment="1">
      <alignment horizontal="left" vertical="top" wrapText="1"/>
    </xf>
    <xf numFmtId="0" fontId="28" fillId="7" borderId="7" xfId="0" applyFont="1" applyFill="1" applyBorder="1" applyAlignment="1">
      <alignment horizontal="left" vertical="top" wrapText="1"/>
    </xf>
    <xf numFmtId="0" fontId="28" fillId="7" borderId="1" xfId="0" applyFont="1" applyFill="1" applyBorder="1" applyAlignment="1">
      <alignment horizontal="left" vertical="top" wrapText="1"/>
    </xf>
    <xf numFmtId="0" fontId="28" fillId="7" borderId="1" xfId="0" applyFont="1" applyFill="1" applyBorder="1" applyAlignment="1">
      <alignment horizontal="left" vertical="top"/>
    </xf>
    <xf numFmtId="49" fontId="28" fillId="7" borderId="1" xfId="0" applyNumberFormat="1" applyFont="1" applyFill="1" applyBorder="1" applyAlignment="1">
      <alignment horizontal="left" vertical="top"/>
    </xf>
    <xf numFmtId="0" fontId="28" fillId="8" borderId="1" xfId="0" applyFont="1" applyFill="1" applyBorder="1" applyAlignment="1">
      <alignment horizontal="left" vertical="top"/>
    </xf>
  </cellXfs>
  <cellStyles count="8">
    <cellStyle name="桁区切り 2" xfId="5"/>
    <cellStyle name="標準" xfId="0" builtinId="0"/>
    <cellStyle name="標準 2" xfId="1"/>
    <cellStyle name="標準 2 2" xfId="2"/>
    <cellStyle name="標準 2 2 2" xfId="6"/>
    <cellStyle name="標準 2 2 2 2" xfId="7"/>
    <cellStyle name="標準 3" xfId="3"/>
    <cellStyle name="標準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200025</xdr:rowOff>
    </xdr:from>
    <xdr:to>
      <xdr:col>3</xdr:col>
      <xdr:colOff>857250</xdr:colOff>
      <xdr:row>1</xdr:row>
      <xdr:rowOff>466725</xdr:rowOff>
    </xdr:to>
    <xdr:sp macro="" textlink="">
      <xdr:nvSpPr>
        <xdr:cNvPr id="2" name="テキスト 19"/>
        <xdr:cNvSpPr txBox="1">
          <a:spLocks noChangeArrowheads="1"/>
        </xdr:cNvSpPr>
      </xdr:nvSpPr>
      <xdr:spPr bwMode="auto">
        <a:xfrm>
          <a:off x="200025" y="1076325"/>
          <a:ext cx="16097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ﾃﾞｰﾀﾍﾞｰｽID</a:t>
          </a:r>
        </a:p>
      </xdr:txBody>
    </xdr:sp>
    <xdr:clientData/>
  </xdr:twoCellAnchor>
  <xdr:twoCellAnchor>
    <xdr:from>
      <xdr:col>3</xdr:col>
      <xdr:colOff>857250</xdr:colOff>
      <xdr:row>1</xdr:row>
      <xdr:rowOff>200025</xdr:rowOff>
    </xdr:from>
    <xdr:to>
      <xdr:col>4</xdr:col>
      <xdr:colOff>409575</xdr:colOff>
      <xdr:row>1</xdr:row>
      <xdr:rowOff>466725</xdr:rowOff>
    </xdr:to>
    <xdr:sp macro="" textlink="">
      <xdr:nvSpPr>
        <xdr:cNvPr id="3" name="DB"/>
        <xdr:cNvSpPr txBox="1">
          <a:spLocks noChangeArrowheads="1"/>
        </xdr:cNvSpPr>
      </xdr:nvSpPr>
      <xdr:spPr bwMode="auto">
        <a:xfrm>
          <a:off x="1809750" y="1076325"/>
          <a:ext cx="11239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endParaRPr lang="ja-JP"/>
        </a:p>
      </xdr:txBody>
    </xdr:sp>
    <xdr:clientData/>
  </xdr:twoCellAnchor>
  <xdr:twoCellAnchor>
    <xdr:from>
      <xdr:col>1</xdr:col>
      <xdr:colOff>19050</xdr:colOff>
      <xdr:row>1</xdr:row>
      <xdr:rowOff>561975</xdr:rowOff>
    </xdr:from>
    <xdr:to>
      <xdr:col>3</xdr:col>
      <xdr:colOff>857250</xdr:colOff>
      <xdr:row>2</xdr:row>
      <xdr:rowOff>95250</xdr:rowOff>
    </xdr:to>
    <xdr:sp macro="" textlink="">
      <xdr:nvSpPr>
        <xdr:cNvPr id="4" name="テキスト 21"/>
        <xdr:cNvSpPr txBox="1">
          <a:spLocks noChangeArrowheads="1"/>
        </xdr:cNvSpPr>
      </xdr:nvSpPr>
      <xdr:spPr bwMode="auto">
        <a:xfrm>
          <a:off x="200025" y="1438275"/>
          <a:ext cx="16097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許可識別</a:t>
          </a:r>
        </a:p>
      </xdr:txBody>
    </xdr:sp>
    <xdr:clientData/>
  </xdr:twoCellAnchor>
  <xdr:twoCellAnchor>
    <xdr:from>
      <xdr:col>3</xdr:col>
      <xdr:colOff>857250</xdr:colOff>
      <xdr:row>1</xdr:row>
      <xdr:rowOff>561975</xdr:rowOff>
    </xdr:from>
    <xdr:to>
      <xdr:col>4</xdr:col>
      <xdr:colOff>409575</xdr:colOff>
      <xdr:row>2</xdr:row>
      <xdr:rowOff>95250</xdr:rowOff>
    </xdr:to>
    <xdr:sp macro="" textlink="">
      <xdr:nvSpPr>
        <xdr:cNvPr id="5" name="CREATOR"/>
        <xdr:cNvSpPr txBox="1">
          <a:spLocks noChangeArrowheads="1"/>
        </xdr:cNvSpPr>
      </xdr:nvSpPr>
      <xdr:spPr bwMode="auto">
        <a:xfrm>
          <a:off x="1809750" y="1438275"/>
          <a:ext cx="11239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endParaRPr lang="ja-JP"/>
        </a:p>
      </xdr:txBody>
    </xdr:sp>
    <xdr:clientData/>
  </xdr:twoCellAnchor>
  <xdr:twoCellAnchor>
    <xdr:from>
      <xdr:col>4</xdr:col>
      <xdr:colOff>704850</xdr:colOff>
      <xdr:row>1</xdr:row>
      <xdr:rowOff>561975</xdr:rowOff>
    </xdr:from>
    <xdr:to>
      <xdr:col>5</xdr:col>
      <xdr:colOff>628650</xdr:colOff>
      <xdr:row>2</xdr:row>
      <xdr:rowOff>95250</xdr:rowOff>
    </xdr:to>
    <xdr:sp macro="" textlink="">
      <xdr:nvSpPr>
        <xdr:cNvPr id="6" name="テキスト 23"/>
        <xdr:cNvSpPr txBox="1">
          <a:spLocks noChangeArrowheads="1"/>
        </xdr:cNvSpPr>
      </xdr:nvSpPr>
      <xdr:spPr bwMode="auto">
        <a:xfrm>
          <a:off x="3228975" y="1438275"/>
          <a:ext cx="11144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ﾃｰﾌﾞﾙID</a:t>
          </a:r>
        </a:p>
      </xdr:txBody>
    </xdr:sp>
    <xdr:clientData/>
  </xdr:twoCellAnchor>
  <xdr:twoCellAnchor>
    <xdr:from>
      <xdr:col>5</xdr:col>
      <xdr:colOff>628650</xdr:colOff>
      <xdr:row>1</xdr:row>
      <xdr:rowOff>561975</xdr:rowOff>
    </xdr:from>
    <xdr:to>
      <xdr:col>7</xdr:col>
      <xdr:colOff>561975</xdr:colOff>
      <xdr:row>2</xdr:row>
      <xdr:rowOff>95250</xdr:rowOff>
    </xdr:to>
    <xdr:sp macro="" textlink="">
      <xdr:nvSpPr>
        <xdr:cNvPr id="7" name="TBL"/>
        <xdr:cNvSpPr txBox="1">
          <a:spLocks noChangeArrowheads="1"/>
        </xdr:cNvSpPr>
      </xdr:nvSpPr>
      <xdr:spPr bwMode="auto">
        <a:xfrm>
          <a:off x="4343400" y="1438275"/>
          <a:ext cx="13239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MST_PASSWORD</a:t>
          </a: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7</xdr:col>
      <xdr:colOff>857250</xdr:colOff>
      <xdr:row>1</xdr:row>
      <xdr:rowOff>561975</xdr:rowOff>
    </xdr:from>
    <xdr:to>
      <xdr:col>9</xdr:col>
      <xdr:colOff>9525</xdr:colOff>
      <xdr:row>2</xdr:row>
      <xdr:rowOff>95250</xdr:rowOff>
    </xdr:to>
    <xdr:sp macro="" textlink="">
      <xdr:nvSpPr>
        <xdr:cNvPr id="8" name="テキスト 25"/>
        <xdr:cNvSpPr txBox="1">
          <a:spLocks noChangeArrowheads="1"/>
        </xdr:cNvSpPr>
      </xdr:nvSpPr>
      <xdr:spPr bwMode="auto">
        <a:xfrm>
          <a:off x="5962650" y="1438275"/>
          <a:ext cx="11144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ﾃｰﾌﾞﾙ名称</a:t>
          </a:r>
        </a:p>
      </xdr:txBody>
    </xdr:sp>
    <xdr:clientData/>
  </xdr:twoCellAnchor>
  <xdr:twoCellAnchor>
    <xdr:from>
      <xdr:col>9</xdr:col>
      <xdr:colOff>9525</xdr:colOff>
      <xdr:row>1</xdr:row>
      <xdr:rowOff>561975</xdr:rowOff>
    </xdr:from>
    <xdr:to>
      <xdr:col>22</xdr:col>
      <xdr:colOff>0</xdr:colOff>
      <xdr:row>2</xdr:row>
      <xdr:rowOff>95250</xdr:rowOff>
    </xdr:to>
    <xdr:sp macro="" textlink="">
      <xdr:nvSpPr>
        <xdr:cNvPr id="9" name="TABLE"/>
        <xdr:cNvSpPr txBox="1">
          <a:spLocks noChangeArrowheads="1"/>
        </xdr:cNvSpPr>
      </xdr:nvSpPr>
      <xdr:spPr bwMode="auto">
        <a:xfrm>
          <a:off x="7077075" y="1438275"/>
          <a:ext cx="68675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パスワードポリシーマスタ</a:t>
          </a:r>
        </a:p>
      </xdr:txBody>
    </xdr:sp>
    <xdr:clientData/>
  </xdr:twoCellAnchor>
  <xdr:twoCellAnchor>
    <xdr:from>
      <xdr:col>7</xdr:col>
      <xdr:colOff>857250</xdr:colOff>
      <xdr:row>1</xdr:row>
      <xdr:rowOff>200025</xdr:rowOff>
    </xdr:from>
    <xdr:to>
      <xdr:col>9</xdr:col>
      <xdr:colOff>9525</xdr:colOff>
      <xdr:row>1</xdr:row>
      <xdr:rowOff>466725</xdr:rowOff>
    </xdr:to>
    <xdr:sp macro="" textlink="">
      <xdr:nvSpPr>
        <xdr:cNvPr id="10" name="テキスト 27"/>
        <xdr:cNvSpPr txBox="1">
          <a:spLocks noChangeArrowheads="1"/>
        </xdr:cNvSpPr>
      </xdr:nvSpPr>
      <xdr:spPr bwMode="auto">
        <a:xfrm>
          <a:off x="5962650" y="1076325"/>
          <a:ext cx="11144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内部長</a:t>
          </a:r>
        </a:p>
      </xdr:txBody>
    </xdr:sp>
    <xdr:clientData/>
  </xdr:twoCellAnchor>
  <xdr:twoCellAnchor>
    <xdr:from>
      <xdr:col>9</xdr:col>
      <xdr:colOff>9525</xdr:colOff>
      <xdr:row>1</xdr:row>
      <xdr:rowOff>200025</xdr:rowOff>
    </xdr:from>
    <xdr:to>
      <xdr:col>14</xdr:col>
      <xdr:colOff>171450</xdr:colOff>
      <xdr:row>1</xdr:row>
      <xdr:rowOff>466725</xdr:rowOff>
    </xdr:to>
    <xdr:sp macro="" textlink="">
      <xdr:nvSpPr>
        <xdr:cNvPr id="11" name="LENGTH"/>
        <xdr:cNvSpPr txBox="1">
          <a:spLocks noChangeArrowheads="1"/>
        </xdr:cNvSpPr>
      </xdr:nvSpPr>
      <xdr:spPr bwMode="auto">
        <a:xfrm>
          <a:off x="7077075" y="1076325"/>
          <a:ext cx="11239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endParaRPr lang="ja-JP"/>
        </a:p>
      </xdr:txBody>
    </xdr:sp>
    <xdr:clientData/>
  </xdr:twoCellAnchor>
  <xdr:twoCellAnchor>
    <xdr:from>
      <xdr:col>4</xdr:col>
      <xdr:colOff>704850</xdr:colOff>
      <xdr:row>1</xdr:row>
      <xdr:rowOff>200025</xdr:rowOff>
    </xdr:from>
    <xdr:to>
      <xdr:col>5</xdr:col>
      <xdr:colOff>628650</xdr:colOff>
      <xdr:row>1</xdr:row>
      <xdr:rowOff>466725</xdr:rowOff>
    </xdr:to>
    <xdr:sp macro="" textlink="">
      <xdr:nvSpPr>
        <xdr:cNvPr id="12" name="テキスト 29"/>
        <xdr:cNvSpPr txBox="1">
          <a:spLocks noChangeArrowheads="1"/>
        </xdr:cNvSpPr>
      </xdr:nvSpPr>
      <xdr:spPr bwMode="auto">
        <a:xfrm>
          <a:off x="3228975" y="1076325"/>
          <a:ext cx="11144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ﾃｰﾌﾞﾙｽﾍﾟｰｽID</a:t>
          </a:r>
        </a:p>
      </xdr:txBody>
    </xdr:sp>
    <xdr:clientData/>
  </xdr:twoCellAnchor>
  <xdr:twoCellAnchor>
    <xdr:from>
      <xdr:col>5</xdr:col>
      <xdr:colOff>628650</xdr:colOff>
      <xdr:row>1</xdr:row>
      <xdr:rowOff>200025</xdr:rowOff>
    </xdr:from>
    <xdr:to>
      <xdr:col>7</xdr:col>
      <xdr:colOff>561975</xdr:colOff>
      <xdr:row>1</xdr:row>
      <xdr:rowOff>466725</xdr:rowOff>
    </xdr:to>
    <xdr:sp macro="" textlink="">
      <xdr:nvSpPr>
        <xdr:cNvPr id="13" name="TBLSPACE"/>
        <xdr:cNvSpPr txBox="1">
          <a:spLocks noChangeArrowheads="1"/>
        </xdr:cNvSpPr>
      </xdr:nvSpPr>
      <xdr:spPr bwMode="auto">
        <a:xfrm>
          <a:off x="4343400" y="1076325"/>
          <a:ext cx="13239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endParaRPr lang="ja-JP"/>
        </a:p>
      </xdr:txBody>
    </xdr:sp>
    <xdr:clientData/>
  </xdr:twoCellAnchor>
  <xdr:twoCellAnchor editAs="absolute">
    <xdr:from>
      <xdr:col>7</xdr:col>
      <xdr:colOff>714375</xdr:colOff>
      <xdr:row>0</xdr:row>
      <xdr:rowOff>133350</xdr:rowOff>
    </xdr:from>
    <xdr:to>
      <xdr:col>16</xdr:col>
      <xdr:colOff>85725</xdr:colOff>
      <xdr:row>0</xdr:row>
      <xdr:rowOff>466725</xdr:rowOff>
    </xdr:to>
    <xdr:sp macro="" textlink="" fLocksText="0">
      <xdr:nvSpPr>
        <xdr:cNvPr id="14" name="工程名"/>
        <xdr:cNvSpPr txBox="1">
          <a:spLocks noChangeArrowheads="1"/>
        </xdr:cNvSpPr>
      </xdr:nvSpPr>
      <xdr:spPr bwMode="auto">
        <a:xfrm>
          <a:off x="5819775" y="133350"/>
          <a:ext cx="26955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外部設計</a:t>
          </a:r>
        </a:p>
      </xdr:txBody>
    </xdr:sp>
    <xdr:clientData/>
  </xdr:twoCellAnchor>
  <xdr:twoCellAnchor editAs="absolute">
    <xdr:from>
      <xdr:col>20</xdr:col>
      <xdr:colOff>2943225</xdr:colOff>
      <xdr:row>0</xdr:row>
      <xdr:rowOff>133350</xdr:rowOff>
    </xdr:from>
    <xdr:to>
      <xdr:col>21</xdr:col>
      <xdr:colOff>1171575</xdr:colOff>
      <xdr:row>0</xdr:row>
      <xdr:rowOff>800100</xdr:rowOff>
    </xdr:to>
    <xdr:sp macro="" textlink="" fLocksText="0">
      <xdr:nvSpPr>
        <xdr:cNvPr id="15" name="頁数"/>
        <xdr:cNvSpPr txBox="1">
          <a:spLocks noChangeArrowheads="1"/>
        </xdr:cNvSpPr>
      </xdr:nvSpPr>
      <xdr:spPr bwMode="auto">
        <a:xfrm>
          <a:off x="12172950" y="133350"/>
          <a:ext cx="1257300" cy="66675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18288" tIns="0" rIns="0" bIns="0" anchor="ctr" upright="1"/>
        <a:lstStyle/>
        <a:p>
          <a:endParaRPr lang="ja-JP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5</xdr:col>
      <xdr:colOff>857250</xdr:colOff>
      <xdr:row>0</xdr:row>
      <xdr:rowOff>800100</xdr:rowOff>
    </xdr:to>
    <xdr:sp macro="" textlink="">
      <xdr:nvSpPr>
        <xdr:cNvPr id="16" name="タイトルC"/>
        <xdr:cNvSpPr txBox="1">
          <a:spLocks noChangeArrowheads="1"/>
        </xdr:cNvSpPr>
      </xdr:nvSpPr>
      <xdr:spPr bwMode="auto">
        <a:xfrm>
          <a:off x="190500" y="133350"/>
          <a:ext cx="4381500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6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テーブル項目定義書</a:t>
          </a:r>
        </a:p>
      </xdr:txBody>
    </xdr:sp>
    <xdr:clientData/>
  </xdr:twoCellAnchor>
  <xdr:twoCellAnchor>
    <xdr:from>
      <xdr:col>5</xdr:col>
      <xdr:colOff>1095375</xdr:colOff>
      <xdr:row>0</xdr:row>
      <xdr:rowOff>133350</xdr:rowOff>
    </xdr:from>
    <xdr:to>
      <xdr:col>7</xdr:col>
      <xdr:colOff>933450</xdr:colOff>
      <xdr:row>0</xdr:row>
      <xdr:rowOff>466725</xdr:rowOff>
    </xdr:to>
    <xdr:sp macro="" textlink="">
      <xdr:nvSpPr>
        <xdr:cNvPr id="17" name="ヘッダ７"/>
        <xdr:cNvSpPr txBox="1">
          <a:spLocks noChangeArrowheads="1"/>
        </xdr:cNvSpPr>
      </xdr:nvSpPr>
      <xdr:spPr bwMode="auto">
        <a:xfrm>
          <a:off x="4638675" y="133350"/>
          <a:ext cx="14001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工程名称</a:t>
          </a:r>
        </a:p>
      </xdr:txBody>
    </xdr:sp>
    <xdr:clientData/>
  </xdr:twoCellAnchor>
  <xdr:twoCellAnchor>
    <xdr:from>
      <xdr:col>20</xdr:col>
      <xdr:colOff>1209675</xdr:colOff>
      <xdr:row>0</xdr:row>
      <xdr:rowOff>466725</xdr:rowOff>
    </xdr:from>
    <xdr:to>
      <xdr:col>21</xdr:col>
      <xdr:colOff>47625</xdr:colOff>
      <xdr:row>0</xdr:row>
      <xdr:rowOff>800100</xdr:rowOff>
    </xdr:to>
    <xdr:sp macro="" textlink="" fLocksText="0">
      <xdr:nvSpPr>
        <xdr:cNvPr id="18" name="改訂日"/>
        <xdr:cNvSpPr txBox="1">
          <a:spLocks noChangeArrowheads="1"/>
        </xdr:cNvSpPr>
      </xdr:nvSpPr>
      <xdr:spPr bwMode="auto">
        <a:xfrm>
          <a:off x="10439400" y="466725"/>
          <a:ext cx="186690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              </a:t>
          </a:r>
        </a:p>
      </xdr:txBody>
    </xdr:sp>
    <xdr:clientData/>
  </xdr:twoCellAnchor>
  <xdr:twoCellAnchor>
    <xdr:from>
      <xdr:col>20</xdr:col>
      <xdr:colOff>1209675</xdr:colOff>
      <xdr:row>0</xdr:row>
      <xdr:rowOff>133350</xdr:rowOff>
    </xdr:from>
    <xdr:to>
      <xdr:col>21</xdr:col>
      <xdr:colOff>47625</xdr:colOff>
      <xdr:row>0</xdr:row>
      <xdr:rowOff>466725</xdr:rowOff>
    </xdr:to>
    <xdr:sp macro="" textlink="" fLocksText="0">
      <xdr:nvSpPr>
        <xdr:cNvPr id="19" name="作成日"/>
        <xdr:cNvSpPr txBox="1">
          <a:spLocks noChangeArrowheads="1"/>
        </xdr:cNvSpPr>
      </xdr:nvSpPr>
      <xdr:spPr bwMode="auto">
        <a:xfrm>
          <a:off x="10439400" y="133350"/>
          <a:ext cx="186690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endParaRPr lang="ja-JP"/>
        </a:p>
      </xdr:txBody>
    </xdr:sp>
    <xdr:clientData/>
  </xdr:twoCellAnchor>
  <xdr:twoCellAnchor>
    <xdr:from>
      <xdr:col>18</xdr:col>
      <xdr:colOff>76200</xdr:colOff>
      <xdr:row>0</xdr:row>
      <xdr:rowOff>133350</xdr:rowOff>
    </xdr:from>
    <xdr:to>
      <xdr:col>20</xdr:col>
      <xdr:colOff>523875</xdr:colOff>
      <xdr:row>0</xdr:row>
      <xdr:rowOff>466725</xdr:rowOff>
    </xdr:to>
    <xdr:sp macro="" textlink="">
      <xdr:nvSpPr>
        <xdr:cNvPr id="20" name="ヘッダ３"/>
        <xdr:cNvSpPr txBox="1">
          <a:spLocks noChangeArrowheads="1"/>
        </xdr:cNvSpPr>
      </xdr:nvSpPr>
      <xdr:spPr bwMode="auto">
        <a:xfrm>
          <a:off x="8905875" y="133350"/>
          <a:ext cx="84772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初版作成</a:t>
          </a:r>
        </a:p>
      </xdr:txBody>
    </xdr:sp>
    <xdr:clientData/>
  </xdr:twoCellAnchor>
  <xdr:twoCellAnchor>
    <xdr:from>
      <xdr:col>18</xdr:col>
      <xdr:colOff>76200</xdr:colOff>
      <xdr:row>0</xdr:row>
      <xdr:rowOff>466725</xdr:rowOff>
    </xdr:from>
    <xdr:to>
      <xdr:col>20</xdr:col>
      <xdr:colOff>523875</xdr:colOff>
      <xdr:row>0</xdr:row>
      <xdr:rowOff>800100</xdr:rowOff>
    </xdr:to>
    <xdr:sp macro="" textlink="">
      <xdr:nvSpPr>
        <xdr:cNvPr id="21" name="ヘッダ４"/>
        <xdr:cNvSpPr txBox="1">
          <a:spLocks noChangeArrowheads="1"/>
        </xdr:cNvSpPr>
      </xdr:nvSpPr>
      <xdr:spPr bwMode="auto">
        <a:xfrm>
          <a:off x="8905875" y="466725"/>
          <a:ext cx="84772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改　訂</a:t>
          </a:r>
        </a:p>
      </xdr:txBody>
    </xdr:sp>
    <xdr:clientData/>
  </xdr:twoCellAnchor>
  <xdr:twoCellAnchor>
    <xdr:from>
      <xdr:col>20</xdr:col>
      <xdr:colOff>523875</xdr:colOff>
      <xdr:row>0</xdr:row>
      <xdr:rowOff>133350</xdr:rowOff>
    </xdr:from>
    <xdr:to>
      <xdr:col>20</xdr:col>
      <xdr:colOff>1209675</xdr:colOff>
      <xdr:row>0</xdr:row>
      <xdr:rowOff>466725</xdr:rowOff>
    </xdr:to>
    <xdr:sp macro="" textlink="" fLocksText="0">
      <xdr:nvSpPr>
        <xdr:cNvPr id="22" name="版数１"/>
        <xdr:cNvSpPr txBox="1">
          <a:spLocks noChangeArrowheads="1"/>
        </xdr:cNvSpPr>
      </xdr:nvSpPr>
      <xdr:spPr bwMode="auto">
        <a:xfrm>
          <a:off x="9753600" y="133350"/>
          <a:ext cx="68580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endParaRPr lang="ja-JP"/>
        </a:p>
      </xdr:txBody>
    </xdr:sp>
    <xdr:clientData/>
  </xdr:twoCellAnchor>
  <xdr:twoCellAnchor>
    <xdr:from>
      <xdr:col>20</xdr:col>
      <xdr:colOff>523875</xdr:colOff>
      <xdr:row>0</xdr:row>
      <xdr:rowOff>466725</xdr:rowOff>
    </xdr:from>
    <xdr:to>
      <xdr:col>20</xdr:col>
      <xdr:colOff>1209675</xdr:colOff>
      <xdr:row>0</xdr:row>
      <xdr:rowOff>800100</xdr:rowOff>
    </xdr:to>
    <xdr:sp macro="" textlink="" fLocksText="0">
      <xdr:nvSpPr>
        <xdr:cNvPr id="23" name="版数２"/>
        <xdr:cNvSpPr txBox="1">
          <a:spLocks noChangeArrowheads="1"/>
        </xdr:cNvSpPr>
      </xdr:nvSpPr>
      <xdr:spPr bwMode="auto">
        <a:xfrm>
          <a:off x="9753600" y="466725"/>
          <a:ext cx="68580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endParaRPr lang="ja-JP"/>
        </a:p>
      </xdr:txBody>
    </xdr:sp>
    <xdr:clientData/>
  </xdr:twoCellAnchor>
  <xdr:twoCellAnchor>
    <xdr:from>
      <xdr:col>20</xdr:col>
      <xdr:colOff>1209675</xdr:colOff>
      <xdr:row>0</xdr:row>
      <xdr:rowOff>133350</xdr:rowOff>
    </xdr:from>
    <xdr:to>
      <xdr:col>20</xdr:col>
      <xdr:colOff>1209675</xdr:colOff>
      <xdr:row>0</xdr:row>
      <xdr:rowOff>809625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0439400" y="133350"/>
          <a:ext cx="0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7</xdr:col>
      <xdr:colOff>714375</xdr:colOff>
      <xdr:row>0</xdr:row>
      <xdr:rowOff>466725</xdr:rowOff>
    </xdr:from>
    <xdr:to>
      <xdr:col>16</xdr:col>
      <xdr:colOff>85725</xdr:colOff>
      <xdr:row>0</xdr:row>
      <xdr:rowOff>800100</xdr:rowOff>
    </xdr:to>
    <xdr:sp macro="" textlink="" fLocksText="0">
      <xdr:nvSpPr>
        <xdr:cNvPr id="25" name="工程名"/>
        <xdr:cNvSpPr txBox="1">
          <a:spLocks noChangeArrowheads="1"/>
        </xdr:cNvSpPr>
      </xdr:nvSpPr>
      <xdr:spPr bwMode="auto">
        <a:xfrm>
          <a:off x="5819775" y="466725"/>
          <a:ext cx="26955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02-01-009</a:t>
          </a:r>
        </a:p>
      </xdr:txBody>
    </xdr:sp>
    <xdr:clientData/>
  </xdr:twoCellAnchor>
  <xdr:twoCellAnchor>
    <xdr:from>
      <xdr:col>6</xdr:col>
      <xdr:colOff>0</xdr:colOff>
      <xdr:row>0</xdr:row>
      <xdr:rowOff>466725</xdr:rowOff>
    </xdr:from>
    <xdr:to>
      <xdr:col>7</xdr:col>
      <xdr:colOff>933450</xdr:colOff>
      <xdr:row>0</xdr:row>
      <xdr:rowOff>800100</xdr:rowOff>
    </xdr:to>
    <xdr:sp macro="" textlink="">
      <xdr:nvSpPr>
        <xdr:cNvPr id="26" name="ヘッダ７"/>
        <xdr:cNvSpPr txBox="1">
          <a:spLocks noChangeArrowheads="1"/>
        </xdr:cNvSpPr>
      </xdr:nvSpPr>
      <xdr:spPr bwMode="auto">
        <a:xfrm>
          <a:off x="4638675" y="466725"/>
          <a:ext cx="14001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フォーム№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03;&#12525;&#12472;&#12455;&#12463;&#12488;&#23436;&#20102;&#22577;&#21578;&#26360;&#26360;&#24335;_200604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65332;&#65325;&#36039;&#26009;\&#26032;&#12486;&#12524;&#12510;(99shimo)\&#38283;&#30330;&#35336;&#30011;\OKADA\&#20491;&#20154;&#31649;&#29702;\95&#24180;&#24230;\95&#19979;&#35336;&#30011;\&#24403;&#21021;&#25237;&#2083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61.101\Ccms(Ccms-PJ_Internal_Use_Only)\650%20D&#12459;&#12540;&#12489;\050_&#20316;&#26989;&#12501;&#12457;&#12523;&#12480;\030_IF&#19968;&#35239;&#12539;IF&#12524;&#12452;&#12450;&#12454;&#12488;&#65288;&#20206;&#65289;\020_TIS&#29992;\215_&#12469;&#12540;&#12499;&#12473;&#20869;&#12452;&#12531;&#12479;&#12540;&#12501;&#12455;&#12540;&#12473;&#35373;&#35336;&#26360;_CCF721A33_CIC&#26085;&#27425;&#30331;&#37682;&#12510;&#12473;&#12479;&#29031;&#20250;&#38651;&#25991;&#65288;&#12522;&#12463;&#12456;&#12473;&#12488;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22;&#12473;&#12463;&#19968;&#35239;&#26360;&#24335;(2)20060123&#65288;&#12469;&#12531;&#12503;&#12523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プロジェクトプロフィール"/>
      <sheetName val="振り返り"/>
      <sheetName val="データ集計表≪新規開発・保守開発≫"/>
      <sheetName val="データ集計表≪保守≫"/>
      <sheetName val="データ集計表≪保守≫ (工数・規模・品質データ（案件明細）)"/>
      <sheetName val="分類(削除しないこと)"/>
      <sheetName val="選択肢(削除しないで下さい)"/>
    </sheetNames>
    <sheetDataSet>
      <sheetData sheetId="0"/>
      <sheetData sheetId="1"/>
      <sheetData sheetId="2"/>
      <sheetData sheetId="3"/>
      <sheetData sheetId="4"/>
      <sheetData sheetId="5" refreshError="1">
        <row r="2">
          <cell r="B2" t="str">
            <v>a：ワークフロー支援&amp;管理システム</v>
          </cell>
        </row>
        <row r="3">
          <cell r="B3" t="str">
            <v>b：ネットワーク管理システム</v>
          </cell>
        </row>
        <row r="4">
          <cell r="B4" t="str">
            <v>c：ジョブ管理・監視システム</v>
          </cell>
        </row>
        <row r="5">
          <cell r="B5" t="str">
            <v>d：プロセス制御システム</v>
          </cell>
        </row>
        <row r="6">
          <cell r="B6" t="str">
            <v>e：セキュリティシステム</v>
          </cell>
        </row>
        <row r="7">
          <cell r="B7" t="str">
            <v>f：金融取引処理システム</v>
          </cell>
        </row>
        <row r="8">
          <cell r="B8" t="str">
            <v>g：レポーティング</v>
          </cell>
        </row>
        <row r="9">
          <cell r="B9" t="str">
            <v>h：オンライン解析&amp;レポーティング</v>
          </cell>
        </row>
        <row r="10">
          <cell r="B10" t="str">
            <v>i：データ管理/マイニングシステム</v>
          </cell>
        </row>
        <row r="11">
          <cell r="B11" t="str">
            <v>j：Webポータルサイト</v>
          </cell>
        </row>
        <row r="12">
          <cell r="B12" t="str">
            <v>k：ERP</v>
          </cell>
        </row>
        <row r="13">
          <cell r="B13" t="str">
            <v>l：SCM</v>
          </cell>
        </row>
        <row r="14">
          <cell r="B14" t="str">
            <v>m：CRM/CTI</v>
          </cell>
        </row>
        <row r="15">
          <cell r="B15" t="str">
            <v>n：文書管理</v>
          </cell>
        </row>
        <row r="16">
          <cell r="B16" t="str">
            <v>o：ナレッジマネジメントシステム</v>
          </cell>
        </row>
        <row r="17">
          <cell r="B17" t="str">
            <v>p：カタログ処理・管理システム</v>
          </cell>
        </row>
        <row r="18">
          <cell r="B18" t="str">
            <v>q：数学モデリング(金融/工学)</v>
          </cell>
        </row>
        <row r="19">
          <cell r="B19" t="str">
            <v>r：3Dモデリング/アニメーション</v>
          </cell>
        </row>
        <row r="20">
          <cell r="B20" t="str">
            <v>s：地理/位置/空間情報システム</v>
          </cell>
        </row>
        <row r="21">
          <cell r="B21" t="str">
            <v>t：グラフィクス&amp;出版ツール/システム</v>
          </cell>
        </row>
        <row r="22">
          <cell r="B22" t="str">
            <v>u：画像</v>
          </cell>
        </row>
        <row r="23">
          <cell r="B23" t="str">
            <v>v：ビデオ</v>
          </cell>
        </row>
        <row r="24">
          <cell r="B24" t="str">
            <v>w：音声処理システム</v>
          </cell>
        </row>
        <row r="25">
          <cell r="B25" t="str">
            <v>x：組み込みソフトウェア(for 機械制御)</v>
          </cell>
        </row>
        <row r="26">
          <cell r="B26" t="str">
            <v>y：デバイスドライバ/インタフェースドライバ</v>
          </cell>
        </row>
        <row r="27">
          <cell r="B27" t="str">
            <v>z：OS/ソフトウェアユーティリティ</v>
          </cell>
        </row>
        <row r="28">
          <cell r="B28" t="str">
            <v>A：ソフトウェア開発ツール</v>
          </cell>
        </row>
        <row r="29">
          <cell r="B29" t="str">
            <v>B：個人向け製品(ワープロ，表計算ソフトなど)</v>
          </cell>
        </row>
        <row r="30">
          <cell r="B30" t="str">
            <v>C：EDI</v>
          </cell>
        </row>
        <row r="31">
          <cell r="B31" t="str">
            <v>D：EAI</v>
          </cell>
        </row>
        <row r="32">
          <cell r="B32" t="str">
            <v>E：エミュレータ</v>
          </cell>
        </row>
        <row r="33">
          <cell r="B33" t="str">
            <v>F：ファイル転送</v>
          </cell>
        </row>
        <row r="34">
          <cell r="B34" t="str">
            <v>G：その他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概略見積（資金）"/>
      <sheetName val="概略見積_資金_"/>
      <sheetName val="初期設定"/>
      <sheetName val="分類(削除しないこと)"/>
      <sheetName val="CRITERIA"/>
      <sheetName val="区分値"/>
      <sheetName val="当初投入"/>
      <sheetName val="リストボックス　バリューリスト"/>
      <sheetName val="リスト"/>
      <sheetName val="本番稼動体制oct_2nd"/>
      <sheetName val="DATA"/>
      <sheetName val="外部ﾃﾞｨｽｸ"/>
      <sheetName val="993Q"/>
      <sheetName val="AS120設定シート"/>
      <sheetName val="１．ジョブ実行ホスト一覧"/>
      <sheetName val="Sheet1"/>
      <sheetName val="#REF"/>
      <sheetName val="ＤＢ一覧"/>
      <sheetName val="会員"/>
      <sheetName val="F0BF8120ﾚｲｱｳﾄ"/>
    </sheetNames>
    <sheetDataSet>
      <sheetData sheetId="0" refreshError="1">
        <row r="1">
          <cell r="E1" t="str">
            <v>　</v>
          </cell>
          <cell r="F1" t="str">
            <v>　　　</v>
          </cell>
          <cell r="G1">
            <v>0</v>
          </cell>
          <cell r="H1">
            <v>0</v>
          </cell>
          <cell r="I1" t="str">
            <v>　</v>
          </cell>
          <cell r="J1" t="str">
            <v>　　　</v>
          </cell>
          <cell r="K1" t="str">
            <v>　　　　　　　　　　　単位:人日　　　　95/08/23　　　TIS</v>
          </cell>
          <cell r="L1" t="str">
            <v>　　　</v>
          </cell>
        </row>
        <row r="2">
          <cell r="A2" t="str">
            <v>NO</v>
          </cell>
          <cell r="B2" t="str">
            <v>案件名</v>
          </cell>
          <cell r="C2" t="str">
            <v>対応AP</v>
          </cell>
          <cell r="D2" t="str">
            <v>要件確認</v>
          </cell>
          <cell r="E2" t="str">
            <v>仕様確認</v>
          </cell>
          <cell r="F2" t="str">
            <v>内部設計</v>
          </cell>
          <cell r="G2" t="str">
            <v>製造</v>
          </cell>
          <cell r="H2" t="str">
            <v>単体ﾃｽﾄ</v>
          </cell>
          <cell r="I2" t="str">
            <v>接続ﾃｽﾄ</v>
          </cell>
          <cell r="J2" t="str">
            <v>工数合計</v>
          </cell>
          <cell r="K2" t="str">
            <v>備考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個社拡張"/>
      <sheetName val="インターフェース仕様"/>
      <sheetName val="レコード構成"/>
      <sheetName val="参照依頼データ（CIC日次）"/>
      <sheetName val="データ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データタイプ</v>
          </cell>
          <cell r="B1" t="str">
            <v>データタイプ【階層構造】</v>
          </cell>
          <cell r="C1" t="str">
            <v>授受方式</v>
          </cell>
          <cell r="D1" t="str">
            <v>文字コード</v>
          </cell>
          <cell r="E1" t="str">
            <v>プラガブルフォーム</v>
          </cell>
          <cell r="F1" t="str">
            <v>個社拡張</v>
          </cell>
          <cell r="G1" t="str">
            <v>プラガブルフォーム未使用以外</v>
          </cell>
        </row>
        <row r="3">
          <cell r="A3" t="str">
            <v>半角</v>
          </cell>
          <cell r="B3" t="str">
            <v>半角</v>
          </cell>
          <cell r="C3" t="str">
            <v>HULFT</v>
          </cell>
          <cell r="D3" t="str">
            <v>windows-31j</v>
          </cell>
          <cell r="E3" t="str">
            <v>○</v>
          </cell>
          <cell r="F3" t="str">
            <v>追加</v>
          </cell>
          <cell r="G3" t="str">
            <v>○</v>
          </cell>
        </row>
        <row r="4">
          <cell r="A4" t="str">
            <v>全角</v>
          </cell>
          <cell r="B4" t="str">
            <v>全角</v>
          </cell>
          <cell r="C4" t="str">
            <v>MQ</v>
          </cell>
          <cell r="D4" t="str">
            <v>UTF-8</v>
          </cell>
          <cell r="E4" t="str">
            <v>未使用</v>
          </cell>
          <cell r="F4" t="str">
            <v>変更</v>
          </cell>
        </row>
        <row r="5">
          <cell r="A5" t="str">
            <v>全半角</v>
          </cell>
          <cell r="B5" t="str">
            <v>全半角</v>
          </cell>
          <cell r="C5" t="str">
            <v>HTTP</v>
          </cell>
          <cell r="D5" t="str">
            <v>UTF-16LE</v>
          </cell>
          <cell r="F5" t="str">
            <v>削除</v>
          </cell>
        </row>
        <row r="6">
          <cell r="A6" t="str">
            <v>符号無ゾーン10進数</v>
          </cell>
          <cell r="B6" t="str">
            <v>符号無数値</v>
          </cell>
          <cell r="C6" t="str">
            <v>SOCKET</v>
          </cell>
          <cell r="D6" t="str">
            <v>UTF-16BE</v>
          </cell>
        </row>
        <row r="7">
          <cell r="A7" t="str">
            <v>符号付ゾーン10進数</v>
          </cell>
          <cell r="B7" t="str">
            <v>符号付数値</v>
          </cell>
          <cell r="C7" t="str">
            <v>SCP</v>
          </cell>
          <cell r="D7" t="str">
            <v>EUC-JP</v>
          </cell>
        </row>
        <row r="8">
          <cell r="A8" t="str">
            <v>符号無パック10進数</v>
          </cell>
          <cell r="B8" t="str">
            <v>オブジェクト</v>
          </cell>
        </row>
        <row r="9">
          <cell r="A9" t="str">
            <v>符号付パック10進数</v>
          </cell>
          <cell r="B9" t="str">
            <v>真偽値</v>
          </cell>
        </row>
        <row r="10">
          <cell r="A10" t="str">
            <v>符号無数値</v>
          </cell>
        </row>
        <row r="11">
          <cell r="A11" t="str">
            <v>符号付数値</v>
          </cell>
        </row>
        <row r="12">
          <cell r="A12" t="str">
            <v>バイナリ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ク一覧"/>
      <sheetName val="リスク区分（入力規則）"/>
      <sheetName val="リスク区分"/>
    </sheetNames>
    <sheetDataSet>
      <sheetData sheetId="0"/>
      <sheetData sheetId="1">
        <row r="2">
          <cell r="B2" t="str">
            <v>【リスク区分】</v>
          </cell>
        </row>
        <row r="3">
          <cell r="B3" t="str">
            <v>A   ビジネス</v>
          </cell>
        </row>
        <row r="4">
          <cell r="B4" t="str">
            <v>A1  ビジネス上の変化</v>
          </cell>
        </row>
        <row r="5">
          <cell r="B5" t="str">
            <v>A11 事業の合弁／撤退</v>
          </cell>
        </row>
        <row r="6">
          <cell r="B6" t="str">
            <v>A12 ビジネスモデルの変更(BPRの結果として)</v>
          </cell>
        </row>
        <row r="7">
          <cell r="B7" t="str">
            <v>A13 配置転換、早期退職、レイオフ</v>
          </cell>
        </row>
        <row r="8">
          <cell r="B8" t="str">
            <v>A14 法律や制度の変更</v>
          </cell>
        </row>
        <row r="9">
          <cell r="B9" t="str">
            <v>A15 訴訟</v>
          </cell>
        </row>
        <row r="10">
          <cell r="B10" t="str">
            <v>A16 自然災害、戦争等</v>
          </cell>
        </row>
        <row r="11">
          <cell r="B11" t="str">
            <v>A17 風評、噂</v>
          </cell>
        </row>
        <row r="12">
          <cell r="B12" t="str">
            <v>A19 その他</v>
          </cell>
        </row>
        <row r="13">
          <cell r="B13" t="str">
            <v>A9  その他</v>
          </cell>
        </row>
        <row r="14">
          <cell r="B14" t="str">
            <v>B   マネジメント／お客様</v>
          </cell>
        </row>
        <row r="15">
          <cell r="B15" t="str">
            <v>B1  コミュニケーション</v>
          </cell>
        </row>
        <row r="16">
          <cell r="B16" t="str">
            <v>B11 要件定義へのお客様参画度合・要件定義が不正確、不十分</v>
          </cell>
        </row>
        <row r="17">
          <cell r="B17" t="str">
            <v>B12 お客様側キーマンの継続的参画・キーマンの人事異動</v>
          </cell>
        </row>
        <row r="18">
          <cell r="B18" t="str">
            <v>B13 お客様の過剰要求</v>
          </cell>
        </row>
        <row r="19">
          <cell r="B19" t="str">
            <v>B14 要件変更</v>
          </cell>
        </row>
        <row r="20">
          <cell r="B20" t="str">
            <v>B15 重要な機能の大幅削減</v>
          </cell>
        </row>
        <row r="21">
          <cell r="B21" t="str">
            <v>B16 要件の確定度合い</v>
          </cell>
        </row>
        <row r="22">
          <cell r="B22" t="str">
            <v>B17 お客様と他ベンダーとの役割分担、責任範囲、ルール</v>
          </cell>
        </row>
        <row r="23">
          <cell r="B23" t="str">
            <v>B18 お客様の承認</v>
          </cell>
        </row>
        <row r="24">
          <cell r="B24" t="str">
            <v>B19 その他</v>
          </cell>
        </row>
        <row r="25">
          <cell r="B25" t="str">
            <v>B2  人、組織</v>
          </cell>
        </row>
        <row r="26">
          <cell r="B26" t="str">
            <v>B21 お客様企業の組織、文化、風土</v>
          </cell>
        </row>
        <row r="27">
          <cell r="B27" t="str">
            <v>B22 お客様側責任者の社内における政治力</v>
          </cell>
        </row>
        <row r="28">
          <cell r="B28" t="str">
            <v>B23 お客様側責任者、組織のコミットメント(積極的な協力)</v>
          </cell>
        </row>
        <row r="29">
          <cell r="B29" t="str">
            <v>B29 その他</v>
          </cell>
        </row>
        <row r="30">
          <cell r="B30" t="str">
            <v>B9  その他</v>
          </cell>
        </row>
        <row r="31">
          <cell r="B31" t="str">
            <v>C   技術／製品</v>
          </cell>
        </row>
        <row r="32">
          <cell r="B32" t="str">
            <v>C1  技術／製品</v>
          </cell>
        </row>
        <row r="33">
          <cell r="B33" t="str">
            <v>C11 技術／製品選定の方向性間違い</v>
          </cell>
        </row>
        <row r="34">
          <cell r="B34" t="str">
            <v>C12 新技術の採用</v>
          </cell>
        </row>
        <row r="35">
          <cell r="B35" t="str">
            <v>C13 製品／ツールの品質</v>
          </cell>
        </row>
        <row r="36">
          <cell r="B36" t="str">
            <v>C14 製品／ツールベンダーの方針転換、買収等</v>
          </cell>
        </row>
        <row r="37">
          <cell r="B37" t="str">
            <v>C19 その他</v>
          </cell>
        </row>
        <row r="38">
          <cell r="B38" t="str">
            <v>C9  その他</v>
          </cell>
        </row>
        <row r="39">
          <cell r="B39" t="str">
            <v>D   システム開発</v>
          </cell>
        </row>
        <row r="40">
          <cell r="B40" t="str">
            <v>D1  システム自体</v>
          </cell>
        </row>
        <row r="41">
          <cell r="B41" t="str">
            <v>D11 システムの規模</v>
          </cell>
        </row>
        <row r="42">
          <cell r="B42" t="str">
            <v>D12 システムの品質</v>
          </cell>
        </row>
        <row r="43">
          <cell r="B43" t="str">
            <v>D13 開発スケジュールの余裕度合い</v>
          </cell>
        </row>
        <row r="44">
          <cell r="B44" t="str">
            <v>D14 システム開発の先例性</v>
          </cell>
        </row>
        <row r="45">
          <cell r="B45" t="str">
            <v>D15 システム開発の柔軟性</v>
          </cell>
        </row>
        <row r="46">
          <cell r="B46" t="str">
            <v>D16 アーキテクチャ／リスクの解決度合い</v>
          </cell>
        </row>
        <row r="47">
          <cell r="B47" t="str">
            <v>D19 その他</v>
          </cell>
        </row>
        <row r="48">
          <cell r="B48" t="str">
            <v>D2  マネジメント</v>
          </cell>
        </row>
        <row r="49">
          <cell r="B49" t="str">
            <v>D21 開発チームの体制、人材の不足</v>
          </cell>
        </row>
        <row r="50">
          <cell r="B50" t="str">
            <v>D22 お客様側チームメンバーの管理</v>
          </cell>
        </row>
        <row r="51">
          <cell r="B51" t="str">
            <v>D23 開発チームメンバーのコミットメント(積極的参画)</v>
          </cell>
        </row>
        <row r="52">
          <cell r="B52" t="str">
            <v>D24 開発チームメンバーの健康不良、事故</v>
          </cell>
        </row>
        <row r="53">
          <cell r="B53" t="str">
            <v>D25 開発環境</v>
          </cell>
        </row>
        <row r="54">
          <cell r="B54" t="str">
            <v>D29 その他</v>
          </cell>
        </row>
        <row r="55">
          <cell r="B55" t="str">
            <v>D3  開発チームの能力</v>
          </cell>
        </row>
        <row r="56">
          <cell r="B56" t="str">
            <v>D31 規模、コスト見積り</v>
          </cell>
        </row>
        <row r="57">
          <cell r="B57" t="str">
            <v>D32 プロジェクトマネジメント</v>
          </cell>
        </row>
        <row r="58">
          <cell r="B58" t="str">
            <v>D33 システム開発標準</v>
          </cell>
        </row>
        <row r="59">
          <cell r="B59" t="str">
            <v>D34 システム開発手順の成熟度合い</v>
          </cell>
        </row>
        <row r="60">
          <cell r="B60" t="str">
            <v>D35 あいまいな改善目標</v>
          </cell>
        </row>
        <row r="61">
          <cell r="B61" t="str">
            <v>D36 システム開発技術のスキル、生産性</v>
          </cell>
        </row>
        <row r="62">
          <cell r="B62" t="str">
            <v>D37 開発チームの凝集度、統制</v>
          </cell>
        </row>
        <row r="63">
          <cell r="B63" t="str">
            <v>D38 協力会社の能力</v>
          </cell>
        </row>
        <row r="64">
          <cell r="B64" t="str">
            <v>D39 不適切な構成管理</v>
          </cell>
        </row>
        <row r="65">
          <cell r="B65" t="str">
            <v>D39 その他</v>
          </cell>
        </row>
        <row r="66">
          <cell r="B66" t="str">
            <v>D4  システム運用</v>
          </cell>
        </row>
        <row r="67">
          <cell r="B67" t="str">
            <v>D41 高い保守コスト</v>
          </cell>
        </row>
        <row r="68">
          <cell r="B68" t="str">
            <v>D42 リカバリー</v>
          </cell>
        </row>
        <row r="69">
          <cell r="B69" t="str">
            <v>D49 その他</v>
          </cell>
        </row>
        <row r="70">
          <cell r="B70" t="str">
            <v>D5  技術要素</v>
          </cell>
        </row>
        <row r="71">
          <cell r="B71" t="str">
            <v>D51 レスポンス</v>
          </cell>
        </row>
        <row r="72">
          <cell r="B72" t="str">
            <v>D52 セキュリティ</v>
          </cell>
        </row>
        <row r="73">
          <cell r="B73" t="str">
            <v>D53 他システム、既存システムとのI/F</v>
          </cell>
        </row>
        <row r="74">
          <cell r="B74" t="str">
            <v>D54 障害バックアップ対策</v>
          </cell>
        </row>
        <row r="75">
          <cell r="B75" t="str">
            <v>D59 その他</v>
          </cell>
        </row>
        <row r="76">
          <cell r="B76" t="str">
            <v>D9  その他</v>
          </cell>
        </row>
        <row r="77">
          <cell r="B77" t="str">
            <v>E   自社</v>
          </cell>
        </row>
        <row r="78">
          <cell r="B78" t="str">
            <v>E1  自社の企業文化・企業施策</v>
          </cell>
        </row>
        <row r="79">
          <cell r="B79" t="str">
            <v>E31 改革への抵抗</v>
          </cell>
        </row>
        <row r="80">
          <cell r="B80" t="str">
            <v>E32 技術導入の遅れ</v>
          </cell>
        </row>
        <row r="81">
          <cell r="B81" t="str">
            <v>E33 専門分化の不足／不適切な専門分化</v>
          </cell>
        </row>
        <row r="82">
          <cell r="B82" t="str">
            <v>E34 拙劣な技術投資</v>
          </cell>
        </row>
        <row r="83">
          <cell r="B83" t="str">
            <v>E35 不適切な報償制度</v>
          </cell>
        </row>
        <row r="84">
          <cell r="B84" t="str">
            <v>E39 その他</v>
          </cell>
        </row>
        <row r="85">
          <cell r="B85" t="str">
            <v>E9  その他</v>
          </cell>
        </row>
        <row r="86">
          <cell r="B86" t="str">
            <v>Z   その他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6"/>
  <sheetViews>
    <sheetView tabSelected="1" workbookViewId="0">
      <selection activeCell="D7" sqref="D7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39</v>
      </c>
      <c r="C2" s="1" t="s">
        <v>145</v>
      </c>
      <c r="D2" s="1" t="s">
        <v>36</v>
      </c>
    </row>
    <row r="3" spans="2:4">
      <c r="B3" s="1" t="s">
        <v>37</v>
      </c>
      <c r="C3" s="1" t="s">
        <v>1971</v>
      </c>
      <c r="D3" s="1" t="s">
        <v>38</v>
      </c>
    </row>
    <row r="4" spans="2:4">
      <c r="B4" s="1" t="s">
        <v>141</v>
      </c>
      <c r="C4" s="1" t="s">
        <v>143</v>
      </c>
      <c r="D4" s="1" t="s">
        <v>142</v>
      </c>
    </row>
    <row r="5" spans="2:4">
      <c r="B5" s="1" t="s">
        <v>153</v>
      </c>
      <c r="C5" s="1" t="s">
        <v>1967</v>
      </c>
      <c r="D5" s="1" t="s">
        <v>154</v>
      </c>
    </row>
    <row r="6" spans="2:4">
      <c r="B6" s="1" t="s">
        <v>1972</v>
      </c>
      <c r="C6" s="1" t="s">
        <v>1973</v>
      </c>
      <c r="D6" s="1" t="s">
        <v>1974</v>
      </c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6"/>
  <sheetViews>
    <sheetView topLeftCell="AJ1" workbookViewId="0">
      <selection sqref="A1:BH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464</v>
      </c>
      <c r="C2" s="1" t="s">
        <v>467</v>
      </c>
      <c r="D2" s="1" t="s">
        <v>466</v>
      </c>
    </row>
    <row r="3" spans="2:4">
      <c r="B3" s="1" t="s">
        <v>472</v>
      </c>
      <c r="C3" s="79" t="s">
        <v>479</v>
      </c>
      <c r="D3" s="1" t="s">
        <v>473</v>
      </c>
    </row>
    <row r="4" spans="2:4">
      <c r="B4" s="1" t="s">
        <v>474</v>
      </c>
      <c r="C4" s="1" t="s">
        <v>477</v>
      </c>
      <c r="D4" s="1" t="s">
        <v>476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B94"/>
  <sheetViews>
    <sheetView topLeftCell="B1" workbookViewId="0">
      <selection sqref="A1:BH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1968</v>
      </c>
    </row>
    <row r="6" spans="2:2">
      <c r="B6" s="1" t="s">
        <v>1969</v>
      </c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6"/>
  <sheetViews>
    <sheetView topLeftCell="B1" workbookViewId="0">
      <selection activeCell="D3" sqref="D3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5.375" bestFit="1" customWidth="1"/>
    <col min="5" max="5" width="79" bestFit="1" customWidth="1"/>
  </cols>
  <sheetData>
    <row r="1" spans="2:5">
      <c r="B1" s="2" t="s">
        <v>5</v>
      </c>
      <c r="C1" s="2" t="s">
        <v>6</v>
      </c>
      <c r="D1" s="2" t="s">
        <v>2</v>
      </c>
      <c r="E1" s="4" t="s">
        <v>152</v>
      </c>
    </row>
    <row r="2" spans="2:5">
      <c r="B2" s="1" t="s">
        <v>391</v>
      </c>
      <c r="C2" s="1"/>
      <c r="D2" s="1" t="s">
        <v>147</v>
      </c>
      <c r="E2" s="1" t="s">
        <v>397</v>
      </c>
    </row>
    <row r="3" spans="2:5">
      <c r="B3" s="1" t="s">
        <v>167</v>
      </c>
      <c r="C3" s="1" t="s">
        <v>1970</v>
      </c>
      <c r="D3" s="1" t="s">
        <v>148</v>
      </c>
      <c r="E3" s="1" t="s">
        <v>397</v>
      </c>
    </row>
    <row r="4" spans="2:5">
      <c r="B4" s="1"/>
      <c r="C4" s="1"/>
      <c r="D4" s="1"/>
      <c r="E4" s="1"/>
    </row>
    <row r="5" spans="2:5">
      <c r="B5" s="1" t="s">
        <v>168</v>
      </c>
      <c r="C5" s="1"/>
      <c r="D5" s="1" t="s">
        <v>155</v>
      </c>
      <c r="E5" s="1" t="s">
        <v>398</v>
      </c>
    </row>
    <row r="6" spans="2:5">
      <c r="B6" s="1"/>
      <c r="C6" s="1"/>
      <c r="D6" s="1"/>
      <c r="E6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F49"/>
  <sheetViews>
    <sheetView view="pageBreakPreview" zoomScaleNormal="75" zoomScaleSheetLayoutView="100" workbookViewId="0">
      <selection activeCell="R12" sqref="R12:S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58" width="3.125" style="30"/>
    <col min="59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246" t="s">
        <v>353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V1" s="243" t="s">
        <v>7</v>
      </c>
      <c r="W1" s="243"/>
      <c r="X1" s="243"/>
      <c r="Y1" s="243"/>
      <c r="Z1" s="243"/>
      <c r="AA1" s="248" t="s">
        <v>354</v>
      </c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50"/>
      <c r="AP1" s="6"/>
      <c r="AQ1" s="243" t="s">
        <v>8</v>
      </c>
      <c r="AR1" s="243"/>
      <c r="AS1" s="243"/>
      <c r="AT1" s="243"/>
      <c r="AU1" s="243"/>
      <c r="AV1" s="254"/>
      <c r="AW1" s="243"/>
      <c r="AX1" s="243"/>
      <c r="AY1" s="243"/>
      <c r="AZ1" s="243"/>
      <c r="BA1" s="243"/>
      <c r="BB1" s="243"/>
      <c r="BC1" s="243"/>
      <c r="BD1" s="243"/>
      <c r="BE1" s="243"/>
    </row>
    <row r="2" spans="1:58" ht="15" customHeight="1">
      <c r="A2" s="247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V2" s="243"/>
      <c r="W2" s="243"/>
      <c r="X2" s="243"/>
      <c r="Y2" s="243"/>
      <c r="Z2" s="243"/>
      <c r="AA2" s="251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3"/>
      <c r="AP2" s="6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</row>
    <row r="3" spans="1:58" ht="15" customHeight="1">
      <c r="A3" s="247"/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V3" s="243" t="s">
        <v>9</v>
      </c>
      <c r="W3" s="243"/>
      <c r="X3" s="243"/>
      <c r="Y3" s="243"/>
      <c r="Z3" s="243"/>
      <c r="AA3" s="243"/>
      <c r="AB3" s="243"/>
      <c r="AC3" s="243"/>
      <c r="AD3" s="243"/>
      <c r="AE3" s="243"/>
      <c r="AF3" s="243"/>
      <c r="AG3" s="243"/>
      <c r="AH3" s="243"/>
      <c r="AI3" s="243"/>
      <c r="AJ3" s="243"/>
      <c r="AK3" s="243"/>
      <c r="AL3" s="243"/>
      <c r="AM3" s="243"/>
      <c r="AN3" s="243"/>
      <c r="AO3" s="243"/>
      <c r="AP3" s="6"/>
      <c r="AQ3" s="243" t="s">
        <v>10</v>
      </c>
      <c r="AR3" s="243"/>
      <c r="AS3" s="243"/>
      <c r="AT3" s="243"/>
      <c r="AU3" s="243"/>
      <c r="AV3" s="254"/>
      <c r="AW3" s="243"/>
      <c r="AX3" s="243"/>
      <c r="AY3" s="243"/>
      <c r="AZ3" s="243"/>
      <c r="BA3" s="243"/>
      <c r="BB3" s="243"/>
      <c r="BC3" s="243"/>
      <c r="BD3" s="243"/>
      <c r="BE3" s="243"/>
    </row>
    <row r="4" spans="1:58" ht="15" customHeight="1">
      <c r="A4" s="247"/>
      <c r="B4" s="247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V4" s="243"/>
      <c r="W4" s="243"/>
      <c r="X4" s="243"/>
      <c r="Y4" s="243"/>
      <c r="Z4" s="243"/>
      <c r="AA4" s="243"/>
      <c r="AB4" s="243"/>
      <c r="AC4" s="243"/>
      <c r="AD4" s="243"/>
      <c r="AE4" s="243"/>
      <c r="AF4" s="243"/>
      <c r="AG4" s="243"/>
      <c r="AH4" s="243"/>
      <c r="AI4" s="243"/>
      <c r="AJ4" s="243"/>
      <c r="AK4" s="243"/>
      <c r="AL4" s="243"/>
      <c r="AM4" s="243"/>
      <c r="AN4" s="243"/>
      <c r="AO4" s="243"/>
      <c r="AP4" s="6"/>
      <c r="AQ4" s="243"/>
      <c r="AR4" s="243"/>
      <c r="AS4" s="243"/>
      <c r="AT4" s="243"/>
      <c r="AU4" s="243"/>
      <c r="AV4" s="243"/>
      <c r="AW4" s="243"/>
      <c r="AX4" s="243"/>
      <c r="AY4" s="243"/>
      <c r="AZ4" s="243"/>
      <c r="BA4" s="243"/>
      <c r="BB4" s="243"/>
      <c r="BC4" s="243"/>
      <c r="BD4" s="243"/>
      <c r="BE4" s="243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243" t="s">
        <v>144</v>
      </c>
      <c r="C7" s="243"/>
      <c r="D7" s="243"/>
      <c r="E7" s="243"/>
      <c r="F7" s="243"/>
      <c r="G7" s="243"/>
      <c r="H7" s="243"/>
      <c r="I7" s="244" t="s">
        <v>355</v>
      </c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4"/>
      <c r="V7" s="244"/>
      <c r="W7" s="245"/>
      <c r="X7" s="245"/>
      <c r="Y7" s="245"/>
      <c r="Z7" s="245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  <c r="AL7" s="245"/>
      <c r="AM7" s="245"/>
      <c r="AN7" s="245"/>
      <c r="AO7" s="245"/>
      <c r="AP7" s="245"/>
      <c r="AQ7" s="245"/>
      <c r="AR7" s="245"/>
      <c r="AS7" s="245"/>
      <c r="AT7" s="245"/>
      <c r="AU7" s="245"/>
      <c r="AV7" s="245"/>
      <c r="AW7" s="245"/>
      <c r="AX7" s="245"/>
      <c r="AY7" s="243" t="s">
        <v>12</v>
      </c>
      <c r="AZ7" s="243"/>
      <c r="BA7" s="243"/>
      <c r="BB7" s="243">
        <f>X41-1</f>
        <v>165</v>
      </c>
      <c r="BC7" s="243"/>
      <c r="BD7" s="243"/>
      <c r="BE7" s="11"/>
      <c r="BF7" s="31"/>
    </row>
    <row r="8" spans="1:58" s="6" customFormat="1" ht="15" customHeight="1">
      <c r="A8" s="10"/>
      <c r="B8" s="243" t="s">
        <v>40</v>
      </c>
      <c r="C8" s="243"/>
      <c r="D8" s="243"/>
      <c r="E8" s="243"/>
      <c r="F8" s="243"/>
      <c r="G8" s="243"/>
      <c r="H8" s="243"/>
      <c r="I8" s="244" t="s">
        <v>356</v>
      </c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4"/>
      <c r="V8" s="244"/>
      <c r="W8" s="243" t="s">
        <v>11</v>
      </c>
      <c r="X8" s="243"/>
      <c r="Y8" s="243"/>
      <c r="Z8" s="243"/>
      <c r="AA8" s="243"/>
      <c r="AB8" s="243"/>
      <c r="AC8" s="243"/>
      <c r="AD8" s="244"/>
      <c r="AE8" s="244"/>
      <c r="AF8" s="244"/>
      <c r="AG8" s="244"/>
      <c r="AH8" s="244"/>
      <c r="AI8" s="244"/>
      <c r="AJ8" s="244"/>
      <c r="AK8" s="244"/>
      <c r="AL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11"/>
      <c r="BF8" s="31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  <c r="BF9" s="32"/>
    </row>
    <row r="10" spans="1:58" s="13" customFormat="1" ht="15" customHeight="1">
      <c r="A10" s="14"/>
      <c r="B10" s="243" t="s">
        <v>156</v>
      </c>
      <c r="C10" s="243" t="s">
        <v>13</v>
      </c>
      <c r="D10" s="243"/>
      <c r="E10" s="243"/>
      <c r="F10" s="243"/>
      <c r="G10" s="243"/>
      <c r="H10" s="243"/>
      <c r="I10" s="243"/>
      <c r="J10" s="243"/>
      <c r="K10" s="243"/>
      <c r="L10" s="243" t="s">
        <v>14</v>
      </c>
      <c r="M10" s="243"/>
      <c r="N10" s="243"/>
      <c r="O10" s="243"/>
      <c r="P10" s="243"/>
      <c r="Q10" s="243"/>
      <c r="R10" s="243" t="s">
        <v>15</v>
      </c>
      <c r="S10" s="243"/>
      <c r="T10" s="243" t="s">
        <v>16</v>
      </c>
      <c r="U10" s="243"/>
      <c r="V10" s="243" t="s">
        <v>17</v>
      </c>
      <c r="W10" s="243"/>
      <c r="X10" s="243" t="s">
        <v>18</v>
      </c>
      <c r="Y10" s="243"/>
      <c r="Z10" s="255" t="s">
        <v>357</v>
      </c>
      <c r="AA10" s="243"/>
      <c r="AB10" s="255" t="s">
        <v>41</v>
      </c>
      <c r="AC10" s="243"/>
      <c r="AD10" s="243" t="s">
        <v>157</v>
      </c>
      <c r="AE10" s="243"/>
      <c r="AF10" s="243" t="s">
        <v>178</v>
      </c>
      <c r="AG10" s="243"/>
      <c r="AH10" s="243"/>
      <c r="AI10" s="243"/>
      <c r="AJ10" s="243"/>
      <c r="AK10" s="243"/>
      <c r="AL10" s="243"/>
      <c r="AM10" s="243"/>
      <c r="AN10" s="243"/>
      <c r="AO10" s="243"/>
      <c r="AP10" s="243" t="s">
        <v>149</v>
      </c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3"/>
      <c r="BE10" s="11"/>
      <c r="BF10" s="32"/>
    </row>
    <row r="11" spans="1:58" s="13" customFormat="1" ht="15" customHeight="1">
      <c r="A11" s="14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43"/>
      <c r="AC11" s="243"/>
      <c r="AD11" s="243"/>
      <c r="AE11" s="243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11"/>
      <c r="BF11" s="32"/>
    </row>
    <row r="12" spans="1:58" s="13" customFormat="1" ht="15" customHeight="1">
      <c r="A12" s="10"/>
      <c r="B12" s="18">
        <v>1</v>
      </c>
      <c r="C12" s="261" t="s">
        <v>358</v>
      </c>
      <c r="D12" s="262"/>
      <c r="E12" s="262"/>
      <c r="F12" s="262"/>
      <c r="G12" s="262"/>
      <c r="H12" s="262"/>
      <c r="I12" s="262"/>
      <c r="J12" s="262"/>
      <c r="K12" s="263"/>
      <c r="L12" s="261" t="s">
        <v>359</v>
      </c>
      <c r="M12" s="262"/>
      <c r="N12" s="262"/>
      <c r="O12" s="262"/>
      <c r="P12" s="262"/>
      <c r="Q12" s="263"/>
      <c r="R12" s="256" t="s">
        <v>19</v>
      </c>
      <c r="S12" s="257"/>
      <c r="T12" s="256">
        <v>20</v>
      </c>
      <c r="U12" s="257"/>
      <c r="V12" s="256">
        <f t="shared" ref="V12:V41" si="0">IF(R12&lt;&gt;"",IF(R12="N",T12*2,IF(R12="DATE",8,IF(R12="TIME",6,T12))),"")</f>
        <v>20</v>
      </c>
      <c r="W12" s="257"/>
      <c r="X12" s="256">
        <f>IF(C12&lt;&gt;"",1,"")</f>
        <v>1</v>
      </c>
      <c r="Y12" s="257"/>
      <c r="Z12" s="256" t="s">
        <v>180</v>
      </c>
      <c r="AA12" s="257"/>
      <c r="AB12" s="256"/>
      <c r="AC12" s="257"/>
      <c r="AD12" s="256">
        <v>1</v>
      </c>
      <c r="AE12" s="257"/>
      <c r="AF12" s="19"/>
      <c r="AG12" s="20"/>
      <c r="AH12" s="20"/>
      <c r="AI12" s="20"/>
      <c r="AJ12" s="20"/>
      <c r="AK12" s="20"/>
      <c r="AL12" s="20"/>
      <c r="AM12" s="20"/>
      <c r="AN12" s="20"/>
      <c r="AO12" s="21"/>
      <c r="AP12" s="258"/>
      <c r="AQ12" s="259"/>
      <c r="AR12" s="259"/>
      <c r="AS12" s="259"/>
      <c r="AT12" s="259"/>
      <c r="AU12" s="259"/>
      <c r="AV12" s="259"/>
      <c r="AW12" s="259"/>
      <c r="AX12" s="259"/>
      <c r="AY12" s="259"/>
      <c r="AZ12" s="259"/>
      <c r="BA12" s="259"/>
      <c r="BB12" s="259"/>
      <c r="BC12" s="259"/>
      <c r="BD12" s="260"/>
      <c r="BE12" s="11"/>
      <c r="BF12" s="32"/>
    </row>
    <row r="13" spans="1:58" s="13" customFormat="1" ht="15" customHeight="1">
      <c r="A13" s="10"/>
      <c r="B13" s="18">
        <f>B12+1</f>
        <v>2</v>
      </c>
      <c r="C13" s="261" t="s">
        <v>158</v>
      </c>
      <c r="D13" s="262"/>
      <c r="E13" s="262"/>
      <c r="F13" s="262"/>
      <c r="G13" s="262"/>
      <c r="H13" s="262"/>
      <c r="I13" s="262"/>
      <c r="J13" s="262"/>
      <c r="K13" s="263"/>
      <c r="L13" s="261" t="s">
        <v>159</v>
      </c>
      <c r="M13" s="262"/>
      <c r="N13" s="262"/>
      <c r="O13" s="262"/>
      <c r="P13" s="262"/>
      <c r="Q13" s="263"/>
      <c r="R13" s="256" t="s">
        <v>19</v>
      </c>
      <c r="S13" s="257"/>
      <c r="T13" s="256">
        <v>3</v>
      </c>
      <c r="U13" s="257"/>
      <c r="V13" s="256">
        <f t="shared" si="0"/>
        <v>3</v>
      </c>
      <c r="W13" s="257"/>
      <c r="X13" s="256">
        <f>IF(C13&lt;&gt;"",IF(V12="",X12,V12+X12),"")</f>
        <v>21</v>
      </c>
      <c r="Y13" s="257"/>
      <c r="Z13" s="256" t="s">
        <v>180</v>
      </c>
      <c r="AA13" s="257"/>
      <c r="AB13" s="256"/>
      <c r="AC13" s="257"/>
      <c r="AD13" s="256">
        <v>2</v>
      </c>
      <c r="AE13" s="257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264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6"/>
      <c r="BE13" s="11"/>
      <c r="BF13" s="32" t="s">
        <v>160</v>
      </c>
    </row>
    <row r="14" spans="1:58" s="13" customFormat="1" ht="15" customHeight="1">
      <c r="A14" s="10"/>
      <c r="B14" s="18">
        <f t="shared" ref="B14:B40" si="1">B13+1</f>
        <v>3</v>
      </c>
      <c r="C14" s="261" t="s">
        <v>109</v>
      </c>
      <c r="D14" s="262"/>
      <c r="E14" s="262"/>
      <c r="F14" s="262"/>
      <c r="G14" s="262"/>
      <c r="H14" s="262"/>
      <c r="I14" s="262"/>
      <c r="J14" s="262"/>
      <c r="K14" s="263"/>
      <c r="L14" s="261" t="s">
        <v>110</v>
      </c>
      <c r="M14" s="262"/>
      <c r="N14" s="262"/>
      <c r="O14" s="262"/>
      <c r="P14" s="262"/>
      <c r="Q14" s="263"/>
      <c r="R14" s="256" t="s">
        <v>19</v>
      </c>
      <c r="S14" s="257"/>
      <c r="T14" s="256">
        <v>2</v>
      </c>
      <c r="U14" s="257"/>
      <c r="V14" s="256">
        <f t="shared" si="0"/>
        <v>2</v>
      </c>
      <c r="W14" s="257"/>
      <c r="X14" s="256">
        <f t="shared" ref="X14:X40" si="2">IF(C14&lt;&gt;"",IF(V13="",X13,V13+X13),"")</f>
        <v>24</v>
      </c>
      <c r="Y14" s="257"/>
      <c r="Z14" s="256"/>
      <c r="AA14" s="257"/>
      <c r="AB14" s="256" t="s">
        <v>44</v>
      </c>
      <c r="AC14" s="257"/>
      <c r="AD14" s="256"/>
      <c r="AE14" s="257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264"/>
      <c r="AQ14" s="265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6"/>
      <c r="BE14" s="11"/>
      <c r="BF14" s="32"/>
    </row>
    <row r="15" spans="1:58" s="13" customFormat="1" ht="15" customHeight="1">
      <c r="A15" s="10"/>
      <c r="B15" s="18">
        <f t="shared" si="1"/>
        <v>4</v>
      </c>
      <c r="C15" s="261" t="s">
        <v>111</v>
      </c>
      <c r="D15" s="262"/>
      <c r="E15" s="262"/>
      <c r="F15" s="262"/>
      <c r="G15" s="262"/>
      <c r="H15" s="262"/>
      <c r="I15" s="262"/>
      <c r="J15" s="262"/>
      <c r="K15" s="263"/>
      <c r="L15" s="261" t="s">
        <v>112</v>
      </c>
      <c r="M15" s="262"/>
      <c r="N15" s="262"/>
      <c r="O15" s="262"/>
      <c r="P15" s="262"/>
      <c r="Q15" s="263"/>
      <c r="R15" s="256" t="s">
        <v>19</v>
      </c>
      <c r="S15" s="257"/>
      <c r="T15" s="256">
        <v>8</v>
      </c>
      <c r="U15" s="257"/>
      <c r="V15" s="256">
        <f t="shared" si="0"/>
        <v>8</v>
      </c>
      <c r="W15" s="257"/>
      <c r="X15" s="256">
        <f t="shared" si="2"/>
        <v>26</v>
      </c>
      <c r="Y15" s="257"/>
      <c r="Z15" s="256"/>
      <c r="AA15" s="257"/>
      <c r="AB15" s="256" t="s">
        <v>44</v>
      </c>
      <c r="AC15" s="257"/>
      <c r="AD15" s="256"/>
      <c r="AE15" s="257"/>
      <c r="AF15" s="19"/>
      <c r="AG15" s="20"/>
      <c r="AH15" s="20"/>
      <c r="AI15" s="20"/>
      <c r="AJ15" s="20"/>
      <c r="AK15" s="20"/>
      <c r="AL15" s="20"/>
      <c r="AM15" s="20"/>
      <c r="AN15" s="20"/>
      <c r="AO15" s="21"/>
      <c r="AP15" s="264"/>
      <c r="AQ15" s="265"/>
      <c r="AR15" s="265"/>
      <c r="AS15" s="265"/>
      <c r="AT15" s="265"/>
      <c r="AU15" s="265"/>
      <c r="AV15" s="265"/>
      <c r="AW15" s="265"/>
      <c r="AX15" s="265"/>
      <c r="AY15" s="265"/>
      <c r="AZ15" s="265"/>
      <c r="BA15" s="265"/>
      <c r="BB15" s="265"/>
      <c r="BC15" s="265"/>
      <c r="BD15" s="266"/>
      <c r="BE15" s="11"/>
      <c r="BF15" s="32"/>
    </row>
    <row r="16" spans="1:58" s="13" customFormat="1" ht="15" customHeight="1">
      <c r="A16" s="10"/>
      <c r="B16" s="18">
        <f t="shared" si="1"/>
        <v>5</v>
      </c>
      <c r="C16" s="261" t="s">
        <v>360</v>
      </c>
      <c r="D16" s="262"/>
      <c r="E16" s="262"/>
      <c r="F16" s="262"/>
      <c r="G16" s="262"/>
      <c r="H16" s="262"/>
      <c r="I16" s="262"/>
      <c r="J16" s="262"/>
      <c r="K16" s="263"/>
      <c r="L16" s="261" t="s">
        <v>361</v>
      </c>
      <c r="M16" s="262"/>
      <c r="N16" s="262"/>
      <c r="O16" s="262"/>
      <c r="P16" s="262"/>
      <c r="Q16" s="263"/>
      <c r="R16" s="256" t="s">
        <v>19</v>
      </c>
      <c r="S16" s="257"/>
      <c r="T16" s="256">
        <v>8</v>
      </c>
      <c r="U16" s="257"/>
      <c r="V16" s="256">
        <f t="shared" si="0"/>
        <v>8</v>
      </c>
      <c r="W16" s="257"/>
      <c r="X16" s="256">
        <f t="shared" si="2"/>
        <v>34</v>
      </c>
      <c r="Y16" s="257"/>
      <c r="Z16" s="256"/>
      <c r="AA16" s="257"/>
      <c r="AB16" s="256" t="s">
        <v>44</v>
      </c>
      <c r="AC16" s="257"/>
      <c r="AD16" s="256"/>
      <c r="AE16" s="257"/>
      <c r="AF16" s="19"/>
      <c r="AG16" s="20"/>
      <c r="AH16" s="20"/>
      <c r="AI16" s="20"/>
      <c r="AJ16" s="20"/>
      <c r="AK16" s="20"/>
      <c r="AL16" s="20"/>
      <c r="AM16" s="20"/>
      <c r="AN16" s="20"/>
      <c r="AO16" s="21"/>
      <c r="AP16" s="264"/>
      <c r="AQ16" s="265"/>
      <c r="AR16" s="265"/>
      <c r="AS16" s="265"/>
      <c r="AT16" s="265"/>
      <c r="AU16" s="265"/>
      <c r="AV16" s="265"/>
      <c r="AW16" s="265"/>
      <c r="AX16" s="265"/>
      <c r="AY16" s="265"/>
      <c r="AZ16" s="265"/>
      <c r="BA16" s="265"/>
      <c r="BB16" s="265"/>
      <c r="BC16" s="265"/>
      <c r="BD16" s="266"/>
      <c r="BE16" s="11"/>
      <c r="BF16" s="32"/>
    </row>
    <row r="17" spans="1:58" s="13" customFormat="1" ht="15" customHeight="1">
      <c r="A17" s="10"/>
      <c r="B17" s="18">
        <f t="shared" si="1"/>
        <v>6</v>
      </c>
      <c r="C17" s="261" t="s">
        <v>113</v>
      </c>
      <c r="D17" s="262"/>
      <c r="E17" s="262"/>
      <c r="F17" s="262"/>
      <c r="G17" s="262"/>
      <c r="H17" s="262"/>
      <c r="I17" s="262"/>
      <c r="J17" s="262"/>
      <c r="K17" s="263"/>
      <c r="L17" s="261" t="s">
        <v>362</v>
      </c>
      <c r="M17" s="262"/>
      <c r="N17" s="262"/>
      <c r="O17" s="262"/>
      <c r="P17" s="262"/>
      <c r="Q17" s="263"/>
      <c r="R17" s="267" t="s">
        <v>19</v>
      </c>
      <c r="S17" s="268"/>
      <c r="T17" s="267">
        <v>2</v>
      </c>
      <c r="U17" s="268"/>
      <c r="V17" s="256">
        <f t="shared" si="0"/>
        <v>2</v>
      </c>
      <c r="W17" s="257"/>
      <c r="X17" s="256">
        <f t="shared" si="2"/>
        <v>42</v>
      </c>
      <c r="Y17" s="257"/>
      <c r="Z17" s="267"/>
      <c r="AA17" s="268"/>
      <c r="AB17" s="267" t="s">
        <v>44</v>
      </c>
      <c r="AC17" s="268"/>
      <c r="AD17" s="267"/>
      <c r="AE17" s="268"/>
      <c r="AF17" s="19"/>
      <c r="AG17" s="20"/>
      <c r="AH17" s="20"/>
      <c r="AI17" s="20"/>
      <c r="AJ17" s="20"/>
      <c r="AK17" s="20"/>
      <c r="AL17" s="20"/>
      <c r="AM17" s="20"/>
      <c r="AN17" s="20"/>
      <c r="AO17" s="21"/>
      <c r="AP17" s="264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  <c r="BD17" s="266"/>
      <c r="BE17" s="11"/>
      <c r="BF17" s="32"/>
    </row>
    <row r="18" spans="1:58" s="13" customFormat="1" ht="15" customHeight="1">
      <c r="A18" s="10"/>
      <c r="B18" s="18">
        <f t="shared" si="1"/>
        <v>7</v>
      </c>
      <c r="C18" s="261" t="s">
        <v>114</v>
      </c>
      <c r="D18" s="262"/>
      <c r="E18" s="262"/>
      <c r="F18" s="262"/>
      <c r="G18" s="262"/>
      <c r="H18" s="262"/>
      <c r="I18" s="262"/>
      <c r="J18" s="262"/>
      <c r="K18" s="263"/>
      <c r="L18" s="261" t="s">
        <v>363</v>
      </c>
      <c r="M18" s="262"/>
      <c r="N18" s="262"/>
      <c r="O18" s="262"/>
      <c r="P18" s="262"/>
      <c r="Q18" s="263"/>
      <c r="R18" s="267" t="s">
        <v>19</v>
      </c>
      <c r="S18" s="268"/>
      <c r="T18" s="267">
        <v>8</v>
      </c>
      <c r="U18" s="268"/>
      <c r="V18" s="256">
        <f t="shared" si="0"/>
        <v>8</v>
      </c>
      <c r="W18" s="257"/>
      <c r="X18" s="256">
        <f t="shared" si="2"/>
        <v>44</v>
      </c>
      <c r="Y18" s="257"/>
      <c r="Z18" s="267"/>
      <c r="AA18" s="268"/>
      <c r="AB18" s="267" t="s">
        <v>44</v>
      </c>
      <c r="AC18" s="268"/>
      <c r="AD18" s="267"/>
      <c r="AE18" s="268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264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  <c r="BD18" s="266"/>
      <c r="BE18" s="11"/>
      <c r="BF18" s="32"/>
    </row>
    <row r="19" spans="1:58" s="13" customFormat="1" ht="15" customHeight="1">
      <c r="A19" s="10"/>
      <c r="B19" s="18">
        <f t="shared" si="1"/>
        <v>8</v>
      </c>
      <c r="C19" s="261" t="s">
        <v>115</v>
      </c>
      <c r="D19" s="262"/>
      <c r="E19" s="262"/>
      <c r="F19" s="262"/>
      <c r="G19" s="262"/>
      <c r="H19" s="262"/>
      <c r="I19" s="262"/>
      <c r="J19" s="262"/>
      <c r="K19" s="263"/>
      <c r="L19" s="261" t="s">
        <v>364</v>
      </c>
      <c r="M19" s="262"/>
      <c r="N19" s="262"/>
      <c r="O19" s="262"/>
      <c r="P19" s="262"/>
      <c r="Q19" s="263"/>
      <c r="R19" s="267" t="s">
        <v>19</v>
      </c>
      <c r="S19" s="268"/>
      <c r="T19" s="267">
        <v>2</v>
      </c>
      <c r="U19" s="268"/>
      <c r="V19" s="256">
        <f t="shared" si="0"/>
        <v>2</v>
      </c>
      <c r="W19" s="257"/>
      <c r="X19" s="256">
        <f t="shared" si="2"/>
        <v>52</v>
      </c>
      <c r="Y19" s="257"/>
      <c r="Z19" s="267"/>
      <c r="AA19" s="268"/>
      <c r="AB19" s="267" t="s">
        <v>44</v>
      </c>
      <c r="AC19" s="268"/>
      <c r="AD19" s="267"/>
      <c r="AE19" s="268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264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  <c r="BD19" s="266"/>
      <c r="BE19" s="11"/>
      <c r="BF19" s="32"/>
    </row>
    <row r="20" spans="1:58" s="13" customFormat="1" ht="15" customHeight="1">
      <c r="A20" s="10"/>
      <c r="B20" s="18">
        <f t="shared" si="1"/>
        <v>9</v>
      </c>
      <c r="C20" s="261" t="s">
        <v>116</v>
      </c>
      <c r="D20" s="262"/>
      <c r="E20" s="262"/>
      <c r="F20" s="262"/>
      <c r="G20" s="262"/>
      <c r="H20" s="262"/>
      <c r="I20" s="262"/>
      <c r="J20" s="262"/>
      <c r="K20" s="263"/>
      <c r="L20" s="261" t="s">
        <v>365</v>
      </c>
      <c r="M20" s="262"/>
      <c r="N20" s="262"/>
      <c r="O20" s="262"/>
      <c r="P20" s="262"/>
      <c r="Q20" s="263"/>
      <c r="R20" s="267" t="s">
        <v>19</v>
      </c>
      <c r="S20" s="268"/>
      <c r="T20" s="267">
        <v>8</v>
      </c>
      <c r="U20" s="268"/>
      <c r="V20" s="256">
        <f t="shared" si="0"/>
        <v>8</v>
      </c>
      <c r="W20" s="257"/>
      <c r="X20" s="256">
        <f t="shared" si="2"/>
        <v>54</v>
      </c>
      <c r="Y20" s="257"/>
      <c r="Z20" s="267"/>
      <c r="AA20" s="268"/>
      <c r="AB20" s="267" t="s">
        <v>44</v>
      </c>
      <c r="AC20" s="268"/>
      <c r="AD20" s="267"/>
      <c r="AE20" s="268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264"/>
      <c r="AQ20" s="265"/>
      <c r="AR20" s="265"/>
      <c r="AS20" s="265"/>
      <c r="AT20" s="265"/>
      <c r="AU20" s="265"/>
      <c r="AV20" s="265"/>
      <c r="AW20" s="265"/>
      <c r="AX20" s="265"/>
      <c r="AY20" s="265"/>
      <c r="AZ20" s="265"/>
      <c r="BA20" s="265"/>
      <c r="BB20" s="265"/>
      <c r="BC20" s="265"/>
      <c r="BD20" s="266"/>
      <c r="BE20" s="11"/>
      <c r="BF20" s="32"/>
    </row>
    <row r="21" spans="1:58" s="13" customFormat="1" ht="15" customHeight="1">
      <c r="A21" s="10"/>
      <c r="B21" s="18">
        <f t="shared" si="1"/>
        <v>10</v>
      </c>
      <c r="C21" s="261" t="s">
        <v>117</v>
      </c>
      <c r="D21" s="262"/>
      <c r="E21" s="262"/>
      <c r="F21" s="262"/>
      <c r="G21" s="262"/>
      <c r="H21" s="262"/>
      <c r="I21" s="262"/>
      <c r="J21" s="262"/>
      <c r="K21" s="263"/>
      <c r="L21" s="261" t="s">
        <v>366</v>
      </c>
      <c r="M21" s="262"/>
      <c r="N21" s="262"/>
      <c r="O21" s="262"/>
      <c r="P21" s="262"/>
      <c r="Q21" s="263"/>
      <c r="R21" s="267" t="s">
        <v>19</v>
      </c>
      <c r="S21" s="268"/>
      <c r="T21" s="267">
        <v>2</v>
      </c>
      <c r="U21" s="268"/>
      <c r="V21" s="256">
        <f t="shared" si="0"/>
        <v>2</v>
      </c>
      <c r="W21" s="257"/>
      <c r="X21" s="256">
        <f t="shared" si="2"/>
        <v>62</v>
      </c>
      <c r="Y21" s="257"/>
      <c r="Z21" s="267"/>
      <c r="AA21" s="268"/>
      <c r="AB21" s="267" t="s">
        <v>44</v>
      </c>
      <c r="AC21" s="268"/>
      <c r="AD21" s="267"/>
      <c r="AE21" s="268"/>
      <c r="AF21" s="19"/>
      <c r="AG21" s="20"/>
      <c r="AH21" s="20"/>
      <c r="AI21" s="20"/>
      <c r="AJ21" s="20"/>
      <c r="AK21" s="20"/>
      <c r="AL21" s="20"/>
      <c r="AM21" s="20"/>
      <c r="AN21" s="20"/>
      <c r="AO21" s="21"/>
      <c r="AP21" s="264"/>
      <c r="AQ21" s="265"/>
      <c r="AR21" s="265"/>
      <c r="AS21" s="265"/>
      <c r="AT21" s="265"/>
      <c r="AU21" s="265"/>
      <c r="AV21" s="265"/>
      <c r="AW21" s="265"/>
      <c r="AX21" s="265"/>
      <c r="AY21" s="265"/>
      <c r="AZ21" s="265"/>
      <c r="BA21" s="265"/>
      <c r="BB21" s="265"/>
      <c r="BC21" s="265"/>
      <c r="BD21" s="266"/>
      <c r="BE21" s="11"/>
      <c r="BF21" s="32"/>
    </row>
    <row r="22" spans="1:58" s="13" customFormat="1" ht="15" customHeight="1">
      <c r="A22" s="10"/>
      <c r="B22" s="18">
        <f t="shared" si="1"/>
        <v>11</v>
      </c>
      <c r="C22" s="261" t="s">
        <v>118</v>
      </c>
      <c r="D22" s="262"/>
      <c r="E22" s="262"/>
      <c r="F22" s="262"/>
      <c r="G22" s="262"/>
      <c r="H22" s="262"/>
      <c r="I22" s="262"/>
      <c r="J22" s="262"/>
      <c r="K22" s="263"/>
      <c r="L22" s="261" t="s">
        <v>367</v>
      </c>
      <c r="M22" s="262"/>
      <c r="N22" s="262"/>
      <c r="O22" s="262"/>
      <c r="P22" s="262"/>
      <c r="Q22" s="263"/>
      <c r="R22" s="267" t="s">
        <v>19</v>
      </c>
      <c r="S22" s="268"/>
      <c r="T22" s="267">
        <v>8</v>
      </c>
      <c r="U22" s="268"/>
      <c r="V22" s="256">
        <f t="shared" si="0"/>
        <v>8</v>
      </c>
      <c r="W22" s="257"/>
      <c r="X22" s="256">
        <f t="shared" si="2"/>
        <v>64</v>
      </c>
      <c r="Y22" s="257"/>
      <c r="Z22" s="267"/>
      <c r="AA22" s="268"/>
      <c r="AB22" s="267" t="s">
        <v>44</v>
      </c>
      <c r="AC22" s="268"/>
      <c r="AD22" s="267"/>
      <c r="AE22" s="268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264"/>
      <c r="AQ22" s="265"/>
      <c r="AR22" s="265"/>
      <c r="AS22" s="265"/>
      <c r="AT22" s="265"/>
      <c r="AU22" s="265"/>
      <c r="AV22" s="265"/>
      <c r="AW22" s="265"/>
      <c r="AX22" s="265"/>
      <c r="AY22" s="265"/>
      <c r="AZ22" s="265"/>
      <c r="BA22" s="265"/>
      <c r="BB22" s="265"/>
      <c r="BC22" s="265"/>
      <c r="BD22" s="266"/>
      <c r="BE22" s="11"/>
      <c r="BF22" s="32"/>
    </row>
    <row r="23" spans="1:58" s="13" customFormat="1" ht="15" customHeight="1">
      <c r="A23" s="10"/>
      <c r="B23" s="18">
        <f t="shared" si="1"/>
        <v>12</v>
      </c>
      <c r="C23" s="261" t="s">
        <v>119</v>
      </c>
      <c r="D23" s="262"/>
      <c r="E23" s="262"/>
      <c r="F23" s="262"/>
      <c r="G23" s="262"/>
      <c r="H23" s="262"/>
      <c r="I23" s="262"/>
      <c r="J23" s="262"/>
      <c r="K23" s="263"/>
      <c r="L23" s="261" t="s">
        <v>368</v>
      </c>
      <c r="M23" s="262"/>
      <c r="N23" s="262"/>
      <c r="O23" s="262"/>
      <c r="P23" s="262"/>
      <c r="Q23" s="263"/>
      <c r="R23" s="267" t="s">
        <v>19</v>
      </c>
      <c r="S23" s="268"/>
      <c r="T23" s="267">
        <v>2</v>
      </c>
      <c r="U23" s="268"/>
      <c r="V23" s="256">
        <f t="shared" si="0"/>
        <v>2</v>
      </c>
      <c r="W23" s="257"/>
      <c r="X23" s="256">
        <f t="shared" si="2"/>
        <v>72</v>
      </c>
      <c r="Y23" s="257"/>
      <c r="Z23" s="267"/>
      <c r="AA23" s="268"/>
      <c r="AB23" s="267" t="s">
        <v>44</v>
      </c>
      <c r="AC23" s="268"/>
      <c r="AD23" s="267"/>
      <c r="AE23" s="268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264"/>
      <c r="AQ23" s="265"/>
      <c r="AR23" s="265"/>
      <c r="AS23" s="265"/>
      <c r="AT23" s="265"/>
      <c r="AU23" s="265"/>
      <c r="AV23" s="265"/>
      <c r="AW23" s="265"/>
      <c r="AX23" s="265"/>
      <c r="AY23" s="265"/>
      <c r="AZ23" s="265"/>
      <c r="BA23" s="265"/>
      <c r="BB23" s="265"/>
      <c r="BC23" s="265"/>
      <c r="BD23" s="266"/>
      <c r="BE23" s="11"/>
      <c r="BF23" s="32"/>
    </row>
    <row r="24" spans="1:58" s="13" customFormat="1" ht="15" customHeight="1">
      <c r="A24" s="10"/>
      <c r="B24" s="18">
        <f t="shared" si="1"/>
        <v>13</v>
      </c>
      <c r="C24" s="261" t="s">
        <v>120</v>
      </c>
      <c r="D24" s="262"/>
      <c r="E24" s="262"/>
      <c r="F24" s="262"/>
      <c r="G24" s="262"/>
      <c r="H24" s="262"/>
      <c r="I24" s="262"/>
      <c r="J24" s="262"/>
      <c r="K24" s="263"/>
      <c r="L24" s="261" t="s">
        <v>369</v>
      </c>
      <c r="M24" s="262"/>
      <c r="N24" s="262"/>
      <c r="O24" s="262"/>
      <c r="P24" s="262"/>
      <c r="Q24" s="263"/>
      <c r="R24" s="267" t="s">
        <v>19</v>
      </c>
      <c r="S24" s="268"/>
      <c r="T24" s="267">
        <v>8</v>
      </c>
      <c r="U24" s="268"/>
      <c r="V24" s="256">
        <f t="shared" si="0"/>
        <v>8</v>
      </c>
      <c r="W24" s="257"/>
      <c r="X24" s="256">
        <f t="shared" si="2"/>
        <v>74</v>
      </c>
      <c r="Y24" s="257"/>
      <c r="Z24" s="267"/>
      <c r="AA24" s="268"/>
      <c r="AB24" s="267" t="s">
        <v>44</v>
      </c>
      <c r="AC24" s="268"/>
      <c r="AD24" s="267"/>
      <c r="AE24" s="268"/>
      <c r="AF24" s="19"/>
      <c r="AG24" s="20"/>
      <c r="AH24" s="20"/>
      <c r="AI24" s="20"/>
      <c r="AJ24" s="20"/>
      <c r="AK24" s="20"/>
      <c r="AL24" s="20"/>
      <c r="AM24" s="20"/>
      <c r="AN24" s="20"/>
      <c r="AO24" s="21"/>
      <c r="AP24" s="264"/>
      <c r="AQ24" s="265"/>
      <c r="AR24" s="265"/>
      <c r="AS24" s="265"/>
      <c r="AT24" s="265"/>
      <c r="AU24" s="265"/>
      <c r="AV24" s="265"/>
      <c r="AW24" s="265"/>
      <c r="AX24" s="265"/>
      <c r="AY24" s="265"/>
      <c r="AZ24" s="265"/>
      <c r="BA24" s="265"/>
      <c r="BB24" s="265"/>
      <c r="BC24" s="265"/>
      <c r="BD24" s="266"/>
      <c r="BE24" s="11"/>
      <c r="BF24" s="32"/>
    </row>
    <row r="25" spans="1:58" s="13" customFormat="1" ht="15" customHeight="1">
      <c r="A25" s="10"/>
      <c r="B25" s="18">
        <f t="shared" si="1"/>
        <v>14</v>
      </c>
      <c r="C25" s="261" t="s">
        <v>121</v>
      </c>
      <c r="D25" s="262"/>
      <c r="E25" s="262"/>
      <c r="F25" s="262"/>
      <c r="G25" s="262"/>
      <c r="H25" s="262"/>
      <c r="I25" s="262"/>
      <c r="J25" s="262"/>
      <c r="K25" s="263"/>
      <c r="L25" s="261" t="s">
        <v>370</v>
      </c>
      <c r="M25" s="262"/>
      <c r="N25" s="262"/>
      <c r="O25" s="262"/>
      <c r="P25" s="262"/>
      <c r="Q25" s="263"/>
      <c r="R25" s="267" t="s">
        <v>19</v>
      </c>
      <c r="S25" s="268"/>
      <c r="T25" s="267">
        <v>2</v>
      </c>
      <c r="U25" s="268"/>
      <c r="V25" s="256">
        <f t="shared" si="0"/>
        <v>2</v>
      </c>
      <c r="W25" s="257"/>
      <c r="X25" s="256">
        <f t="shared" si="2"/>
        <v>82</v>
      </c>
      <c r="Y25" s="257"/>
      <c r="Z25" s="267"/>
      <c r="AA25" s="268"/>
      <c r="AB25" s="267" t="s">
        <v>44</v>
      </c>
      <c r="AC25" s="268"/>
      <c r="AD25" s="267"/>
      <c r="AE25" s="268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264"/>
      <c r="AQ25" s="265"/>
      <c r="AR25" s="265"/>
      <c r="AS25" s="265"/>
      <c r="AT25" s="265"/>
      <c r="AU25" s="265"/>
      <c r="AV25" s="265"/>
      <c r="AW25" s="265"/>
      <c r="AX25" s="265"/>
      <c r="AY25" s="265"/>
      <c r="AZ25" s="265"/>
      <c r="BA25" s="265"/>
      <c r="BB25" s="265"/>
      <c r="BC25" s="265"/>
      <c r="BD25" s="266"/>
      <c r="BE25" s="11"/>
      <c r="BF25" s="32"/>
    </row>
    <row r="26" spans="1:58" s="13" customFormat="1" ht="15" customHeight="1">
      <c r="A26" s="10"/>
      <c r="B26" s="18">
        <f t="shared" si="1"/>
        <v>15</v>
      </c>
      <c r="C26" s="261" t="s">
        <v>122</v>
      </c>
      <c r="D26" s="262"/>
      <c r="E26" s="262"/>
      <c r="F26" s="262"/>
      <c r="G26" s="262"/>
      <c r="H26" s="262"/>
      <c r="I26" s="262"/>
      <c r="J26" s="262"/>
      <c r="K26" s="263"/>
      <c r="L26" s="261" t="s">
        <v>371</v>
      </c>
      <c r="M26" s="262"/>
      <c r="N26" s="262"/>
      <c r="O26" s="262"/>
      <c r="P26" s="262"/>
      <c r="Q26" s="263"/>
      <c r="R26" s="267" t="s">
        <v>19</v>
      </c>
      <c r="S26" s="268"/>
      <c r="T26" s="267">
        <v>8</v>
      </c>
      <c r="U26" s="268"/>
      <c r="V26" s="256">
        <f t="shared" si="0"/>
        <v>8</v>
      </c>
      <c r="W26" s="257"/>
      <c r="X26" s="256">
        <f t="shared" si="2"/>
        <v>84</v>
      </c>
      <c r="Y26" s="257"/>
      <c r="Z26" s="267"/>
      <c r="AA26" s="268"/>
      <c r="AB26" s="267" t="s">
        <v>44</v>
      </c>
      <c r="AC26" s="268"/>
      <c r="AD26" s="267"/>
      <c r="AE26" s="268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264"/>
      <c r="AQ26" s="265"/>
      <c r="AR26" s="265"/>
      <c r="AS26" s="265"/>
      <c r="AT26" s="265"/>
      <c r="AU26" s="265"/>
      <c r="AV26" s="265"/>
      <c r="AW26" s="265"/>
      <c r="AX26" s="265"/>
      <c r="AY26" s="265"/>
      <c r="AZ26" s="265"/>
      <c r="BA26" s="265"/>
      <c r="BB26" s="265"/>
      <c r="BC26" s="265"/>
      <c r="BD26" s="266"/>
      <c r="BE26" s="11"/>
      <c r="BF26" s="32"/>
    </row>
    <row r="27" spans="1:58" s="13" customFormat="1" ht="15" customHeight="1">
      <c r="A27" s="10"/>
      <c r="B27" s="18">
        <f t="shared" si="1"/>
        <v>16</v>
      </c>
      <c r="C27" s="261" t="s">
        <v>123</v>
      </c>
      <c r="D27" s="262"/>
      <c r="E27" s="262"/>
      <c r="F27" s="262"/>
      <c r="G27" s="262"/>
      <c r="H27" s="262"/>
      <c r="I27" s="262"/>
      <c r="J27" s="262"/>
      <c r="K27" s="263"/>
      <c r="L27" s="261" t="s">
        <v>372</v>
      </c>
      <c r="M27" s="262"/>
      <c r="N27" s="262"/>
      <c r="O27" s="262"/>
      <c r="P27" s="262"/>
      <c r="Q27" s="263"/>
      <c r="R27" s="267" t="s">
        <v>19</v>
      </c>
      <c r="S27" s="268"/>
      <c r="T27" s="267">
        <v>2</v>
      </c>
      <c r="U27" s="268"/>
      <c r="V27" s="256">
        <f t="shared" si="0"/>
        <v>2</v>
      </c>
      <c r="W27" s="257"/>
      <c r="X27" s="256">
        <f t="shared" si="2"/>
        <v>92</v>
      </c>
      <c r="Y27" s="257"/>
      <c r="Z27" s="267"/>
      <c r="AA27" s="268"/>
      <c r="AB27" s="267" t="s">
        <v>44</v>
      </c>
      <c r="AC27" s="268"/>
      <c r="AD27" s="267"/>
      <c r="AE27" s="268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264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6"/>
      <c r="BE27" s="11"/>
      <c r="BF27" s="32"/>
    </row>
    <row r="28" spans="1:58" s="13" customFormat="1" ht="15" customHeight="1">
      <c r="A28" s="10"/>
      <c r="B28" s="18">
        <f t="shared" si="1"/>
        <v>17</v>
      </c>
      <c r="C28" s="261" t="s">
        <v>124</v>
      </c>
      <c r="D28" s="262"/>
      <c r="E28" s="262"/>
      <c r="F28" s="262"/>
      <c r="G28" s="262"/>
      <c r="H28" s="262"/>
      <c r="I28" s="262"/>
      <c r="J28" s="262"/>
      <c r="K28" s="263"/>
      <c r="L28" s="261" t="s">
        <v>373</v>
      </c>
      <c r="M28" s="262"/>
      <c r="N28" s="262"/>
      <c r="O28" s="262"/>
      <c r="P28" s="262"/>
      <c r="Q28" s="263"/>
      <c r="R28" s="267" t="s">
        <v>19</v>
      </c>
      <c r="S28" s="268"/>
      <c r="T28" s="267">
        <v>8</v>
      </c>
      <c r="U28" s="268"/>
      <c r="V28" s="256">
        <f t="shared" si="0"/>
        <v>8</v>
      </c>
      <c r="W28" s="257"/>
      <c r="X28" s="256">
        <f t="shared" si="2"/>
        <v>94</v>
      </c>
      <c r="Y28" s="257"/>
      <c r="Z28" s="267"/>
      <c r="AA28" s="268"/>
      <c r="AB28" s="267" t="s">
        <v>44</v>
      </c>
      <c r="AC28" s="268"/>
      <c r="AD28" s="267"/>
      <c r="AE28" s="268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264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  <c r="BD28" s="266"/>
      <c r="BE28" s="11"/>
      <c r="BF28" s="32"/>
    </row>
    <row r="29" spans="1:58" s="13" customFormat="1" ht="15" customHeight="1">
      <c r="A29" s="10"/>
      <c r="B29" s="18">
        <f t="shared" si="1"/>
        <v>18</v>
      </c>
      <c r="C29" s="261" t="s">
        <v>125</v>
      </c>
      <c r="D29" s="262"/>
      <c r="E29" s="262"/>
      <c r="F29" s="262"/>
      <c r="G29" s="262"/>
      <c r="H29" s="262"/>
      <c r="I29" s="262"/>
      <c r="J29" s="262"/>
      <c r="K29" s="263"/>
      <c r="L29" s="261" t="s">
        <v>374</v>
      </c>
      <c r="M29" s="262"/>
      <c r="N29" s="262"/>
      <c r="O29" s="262"/>
      <c r="P29" s="262"/>
      <c r="Q29" s="263"/>
      <c r="R29" s="267" t="s">
        <v>19</v>
      </c>
      <c r="S29" s="268"/>
      <c r="T29" s="267">
        <v>2</v>
      </c>
      <c r="U29" s="268"/>
      <c r="V29" s="256">
        <f t="shared" si="0"/>
        <v>2</v>
      </c>
      <c r="W29" s="257"/>
      <c r="X29" s="256">
        <f t="shared" si="2"/>
        <v>102</v>
      </c>
      <c r="Y29" s="257"/>
      <c r="Z29" s="267"/>
      <c r="AA29" s="268"/>
      <c r="AB29" s="267" t="s">
        <v>44</v>
      </c>
      <c r="AC29" s="268"/>
      <c r="AD29" s="267"/>
      <c r="AE29" s="268"/>
      <c r="AF29" s="19"/>
      <c r="AG29" s="20"/>
      <c r="AH29" s="20"/>
      <c r="AI29" s="20"/>
      <c r="AJ29" s="20"/>
      <c r="AK29" s="20"/>
      <c r="AL29" s="20"/>
      <c r="AM29" s="20"/>
      <c r="AN29" s="20"/>
      <c r="AO29" s="21"/>
      <c r="AP29" s="264"/>
      <c r="AQ29" s="265"/>
      <c r="AR29" s="265"/>
      <c r="AS29" s="265"/>
      <c r="AT29" s="265"/>
      <c r="AU29" s="265"/>
      <c r="AV29" s="265"/>
      <c r="AW29" s="265"/>
      <c r="AX29" s="265"/>
      <c r="AY29" s="265"/>
      <c r="AZ29" s="265"/>
      <c r="BA29" s="265"/>
      <c r="BB29" s="265"/>
      <c r="BC29" s="265"/>
      <c r="BD29" s="266"/>
      <c r="BE29" s="11"/>
      <c r="BF29" s="32"/>
    </row>
    <row r="30" spans="1:58" s="13" customFormat="1" ht="15" customHeight="1">
      <c r="A30" s="10"/>
      <c r="B30" s="18">
        <f t="shared" si="1"/>
        <v>19</v>
      </c>
      <c r="C30" s="261" t="s">
        <v>126</v>
      </c>
      <c r="D30" s="262"/>
      <c r="E30" s="262"/>
      <c r="F30" s="262"/>
      <c r="G30" s="262"/>
      <c r="H30" s="262"/>
      <c r="I30" s="262"/>
      <c r="J30" s="262"/>
      <c r="K30" s="263"/>
      <c r="L30" s="261" t="s">
        <v>375</v>
      </c>
      <c r="M30" s="262"/>
      <c r="N30" s="262"/>
      <c r="O30" s="262"/>
      <c r="P30" s="262"/>
      <c r="Q30" s="263"/>
      <c r="R30" s="267" t="s">
        <v>19</v>
      </c>
      <c r="S30" s="268"/>
      <c r="T30" s="267">
        <v>8</v>
      </c>
      <c r="U30" s="268"/>
      <c r="V30" s="256">
        <f t="shared" si="0"/>
        <v>8</v>
      </c>
      <c r="W30" s="257"/>
      <c r="X30" s="256">
        <f t="shared" si="2"/>
        <v>104</v>
      </c>
      <c r="Y30" s="257"/>
      <c r="Z30" s="267"/>
      <c r="AA30" s="268"/>
      <c r="AB30" s="267" t="s">
        <v>44</v>
      </c>
      <c r="AC30" s="268"/>
      <c r="AD30" s="267"/>
      <c r="AE30" s="268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264"/>
      <c r="AQ30" s="265"/>
      <c r="AR30" s="265"/>
      <c r="AS30" s="265"/>
      <c r="AT30" s="265"/>
      <c r="AU30" s="265"/>
      <c r="AV30" s="265"/>
      <c r="AW30" s="265"/>
      <c r="AX30" s="265"/>
      <c r="AY30" s="265"/>
      <c r="AZ30" s="265"/>
      <c r="BA30" s="265"/>
      <c r="BB30" s="265"/>
      <c r="BC30" s="265"/>
      <c r="BD30" s="266"/>
      <c r="BE30" s="11"/>
      <c r="BF30" s="32"/>
    </row>
    <row r="31" spans="1:58" s="13" customFormat="1" ht="15" customHeight="1">
      <c r="A31" s="10"/>
      <c r="B31" s="18">
        <f t="shared" si="1"/>
        <v>20</v>
      </c>
      <c r="C31" s="261" t="s">
        <v>127</v>
      </c>
      <c r="D31" s="262"/>
      <c r="E31" s="262"/>
      <c r="F31" s="262"/>
      <c r="G31" s="262"/>
      <c r="H31" s="262"/>
      <c r="I31" s="262"/>
      <c r="J31" s="262"/>
      <c r="K31" s="263"/>
      <c r="L31" s="261" t="s">
        <v>376</v>
      </c>
      <c r="M31" s="262"/>
      <c r="N31" s="262"/>
      <c r="O31" s="262"/>
      <c r="P31" s="262"/>
      <c r="Q31" s="263"/>
      <c r="R31" s="267" t="s">
        <v>19</v>
      </c>
      <c r="S31" s="268"/>
      <c r="T31" s="267">
        <v>2</v>
      </c>
      <c r="U31" s="268"/>
      <c r="V31" s="256">
        <f t="shared" si="0"/>
        <v>2</v>
      </c>
      <c r="W31" s="257"/>
      <c r="X31" s="256">
        <f t="shared" si="2"/>
        <v>112</v>
      </c>
      <c r="Y31" s="257"/>
      <c r="Z31" s="267"/>
      <c r="AA31" s="268"/>
      <c r="AB31" s="267" t="s">
        <v>44</v>
      </c>
      <c r="AC31" s="268"/>
      <c r="AD31" s="267"/>
      <c r="AE31" s="268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264"/>
      <c r="AQ31" s="265"/>
      <c r="AR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  <c r="BD31" s="266"/>
      <c r="BE31" s="11"/>
      <c r="BF31" s="32"/>
    </row>
    <row r="32" spans="1:58" s="13" customFormat="1" ht="15" customHeight="1">
      <c r="A32" s="10"/>
      <c r="B32" s="18">
        <f t="shared" si="1"/>
        <v>21</v>
      </c>
      <c r="C32" s="261" t="s">
        <v>128</v>
      </c>
      <c r="D32" s="262"/>
      <c r="E32" s="262"/>
      <c r="F32" s="262"/>
      <c r="G32" s="262"/>
      <c r="H32" s="262"/>
      <c r="I32" s="262"/>
      <c r="J32" s="262"/>
      <c r="K32" s="263"/>
      <c r="L32" s="261" t="s">
        <v>377</v>
      </c>
      <c r="M32" s="262"/>
      <c r="N32" s="262"/>
      <c r="O32" s="262"/>
      <c r="P32" s="262"/>
      <c r="Q32" s="263"/>
      <c r="R32" s="267" t="s">
        <v>19</v>
      </c>
      <c r="S32" s="268"/>
      <c r="T32" s="267">
        <v>8</v>
      </c>
      <c r="U32" s="268"/>
      <c r="V32" s="256">
        <f t="shared" si="0"/>
        <v>8</v>
      </c>
      <c r="W32" s="257"/>
      <c r="X32" s="256">
        <f t="shared" si="2"/>
        <v>114</v>
      </c>
      <c r="Y32" s="257"/>
      <c r="Z32" s="267"/>
      <c r="AA32" s="268"/>
      <c r="AB32" s="267" t="s">
        <v>44</v>
      </c>
      <c r="AC32" s="268"/>
      <c r="AD32" s="267"/>
      <c r="AE32" s="268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264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  <c r="BD32" s="266"/>
      <c r="BE32" s="11"/>
      <c r="BF32" s="32"/>
    </row>
    <row r="33" spans="1:58" s="13" customFormat="1" ht="15" customHeight="1">
      <c r="A33" s="10"/>
      <c r="B33" s="18">
        <f t="shared" si="1"/>
        <v>22</v>
      </c>
      <c r="C33" s="261" t="s">
        <v>129</v>
      </c>
      <c r="D33" s="262"/>
      <c r="E33" s="262"/>
      <c r="F33" s="262"/>
      <c r="G33" s="262"/>
      <c r="H33" s="262"/>
      <c r="I33" s="262"/>
      <c r="J33" s="262"/>
      <c r="K33" s="263"/>
      <c r="L33" s="261" t="s">
        <v>378</v>
      </c>
      <c r="M33" s="262"/>
      <c r="N33" s="262"/>
      <c r="O33" s="262"/>
      <c r="P33" s="262"/>
      <c r="Q33" s="263"/>
      <c r="R33" s="267" t="s">
        <v>19</v>
      </c>
      <c r="S33" s="268"/>
      <c r="T33" s="267">
        <v>2</v>
      </c>
      <c r="U33" s="268"/>
      <c r="V33" s="256">
        <f t="shared" si="0"/>
        <v>2</v>
      </c>
      <c r="W33" s="257"/>
      <c r="X33" s="256">
        <f t="shared" si="2"/>
        <v>122</v>
      </c>
      <c r="Y33" s="257"/>
      <c r="Z33" s="267"/>
      <c r="AA33" s="268"/>
      <c r="AB33" s="267" t="s">
        <v>44</v>
      </c>
      <c r="AC33" s="268"/>
      <c r="AD33" s="267"/>
      <c r="AE33" s="268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264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6"/>
      <c r="BE33" s="11"/>
      <c r="BF33" s="32"/>
    </row>
    <row r="34" spans="1:58" s="13" customFormat="1" ht="15" customHeight="1">
      <c r="A34" s="10"/>
      <c r="B34" s="18">
        <f t="shared" si="1"/>
        <v>23</v>
      </c>
      <c r="C34" s="261" t="s">
        <v>130</v>
      </c>
      <c r="D34" s="262"/>
      <c r="E34" s="262"/>
      <c r="F34" s="262"/>
      <c r="G34" s="262"/>
      <c r="H34" s="262"/>
      <c r="I34" s="262"/>
      <c r="J34" s="262"/>
      <c r="K34" s="263"/>
      <c r="L34" s="261" t="s">
        <v>379</v>
      </c>
      <c r="M34" s="262"/>
      <c r="N34" s="262"/>
      <c r="O34" s="262"/>
      <c r="P34" s="262"/>
      <c r="Q34" s="263"/>
      <c r="R34" s="267" t="s">
        <v>19</v>
      </c>
      <c r="S34" s="268"/>
      <c r="T34" s="267">
        <v>8</v>
      </c>
      <c r="U34" s="268"/>
      <c r="V34" s="256">
        <f t="shared" si="0"/>
        <v>8</v>
      </c>
      <c r="W34" s="257"/>
      <c r="X34" s="256">
        <f t="shared" si="2"/>
        <v>124</v>
      </c>
      <c r="Y34" s="257"/>
      <c r="Z34" s="267"/>
      <c r="AA34" s="268"/>
      <c r="AB34" s="267" t="s">
        <v>44</v>
      </c>
      <c r="AC34" s="268"/>
      <c r="AD34" s="267"/>
      <c r="AE34" s="268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264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6"/>
      <c r="BE34" s="11"/>
      <c r="BF34" s="32"/>
    </row>
    <row r="35" spans="1:58" s="13" customFormat="1" ht="15" customHeight="1">
      <c r="A35" s="10"/>
      <c r="B35" s="18">
        <f t="shared" si="1"/>
        <v>24</v>
      </c>
      <c r="C35" s="261" t="s">
        <v>380</v>
      </c>
      <c r="D35" s="262"/>
      <c r="E35" s="262"/>
      <c r="F35" s="262"/>
      <c r="G35" s="262"/>
      <c r="H35" s="262"/>
      <c r="I35" s="262"/>
      <c r="J35" s="262"/>
      <c r="K35" s="263"/>
      <c r="L35" s="261" t="s">
        <v>381</v>
      </c>
      <c r="M35" s="262"/>
      <c r="N35" s="262"/>
      <c r="O35" s="262"/>
      <c r="P35" s="262"/>
      <c r="Q35" s="263"/>
      <c r="R35" s="267" t="s">
        <v>19</v>
      </c>
      <c r="S35" s="268"/>
      <c r="T35" s="267">
        <v>2</v>
      </c>
      <c r="U35" s="268"/>
      <c r="V35" s="256">
        <f t="shared" si="0"/>
        <v>2</v>
      </c>
      <c r="W35" s="257"/>
      <c r="X35" s="256">
        <f t="shared" si="2"/>
        <v>132</v>
      </c>
      <c r="Y35" s="257"/>
      <c r="Z35" s="267"/>
      <c r="AA35" s="268"/>
      <c r="AB35" s="267" t="s">
        <v>44</v>
      </c>
      <c r="AC35" s="268"/>
      <c r="AD35" s="267"/>
      <c r="AE35" s="268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264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6"/>
      <c r="BE35" s="11"/>
      <c r="BF35" s="32"/>
    </row>
    <row r="36" spans="1:58" s="13" customFormat="1" ht="15" customHeight="1">
      <c r="A36" s="10"/>
      <c r="B36" s="18">
        <f t="shared" si="1"/>
        <v>25</v>
      </c>
      <c r="C36" s="261" t="s">
        <v>382</v>
      </c>
      <c r="D36" s="262"/>
      <c r="E36" s="262"/>
      <c r="F36" s="262"/>
      <c r="G36" s="262"/>
      <c r="H36" s="262"/>
      <c r="I36" s="262"/>
      <c r="J36" s="262"/>
      <c r="K36" s="263"/>
      <c r="L36" s="261" t="s">
        <v>383</v>
      </c>
      <c r="M36" s="262"/>
      <c r="N36" s="262"/>
      <c r="O36" s="262"/>
      <c r="P36" s="262"/>
      <c r="Q36" s="263"/>
      <c r="R36" s="267" t="s">
        <v>19</v>
      </c>
      <c r="S36" s="268"/>
      <c r="T36" s="267">
        <v>8</v>
      </c>
      <c r="U36" s="268"/>
      <c r="V36" s="256">
        <f t="shared" si="0"/>
        <v>8</v>
      </c>
      <c r="W36" s="257"/>
      <c r="X36" s="256">
        <f t="shared" si="2"/>
        <v>134</v>
      </c>
      <c r="Y36" s="257"/>
      <c r="Z36" s="267"/>
      <c r="AA36" s="268"/>
      <c r="AB36" s="267" t="s">
        <v>44</v>
      </c>
      <c r="AC36" s="268"/>
      <c r="AD36" s="267"/>
      <c r="AE36" s="268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264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6"/>
      <c r="BE36" s="11"/>
      <c r="BF36" s="32"/>
    </row>
    <row r="37" spans="1:58" s="13" customFormat="1" ht="15" customHeight="1">
      <c r="A37" s="10"/>
      <c r="B37" s="18">
        <f t="shared" si="1"/>
        <v>26</v>
      </c>
      <c r="C37" s="261" t="s">
        <v>384</v>
      </c>
      <c r="D37" s="262"/>
      <c r="E37" s="262"/>
      <c r="F37" s="262"/>
      <c r="G37" s="262"/>
      <c r="H37" s="262"/>
      <c r="I37" s="262"/>
      <c r="J37" s="262"/>
      <c r="K37" s="263"/>
      <c r="L37" s="261" t="s">
        <v>385</v>
      </c>
      <c r="M37" s="262"/>
      <c r="N37" s="262"/>
      <c r="O37" s="262"/>
      <c r="P37" s="262"/>
      <c r="Q37" s="263"/>
      <c r="R37" s="267" t="s">
        <v>19</v>
      </c>
      <c r="S37" s="268"/>
      <c r="T37" s="267">
        <v>2</v>
      </c>
      <c r="U37" s="268"/>
      <c r="V37" s="256">
        <f t="shared" si="0"/>
        <v>2</v>
      </c>
      <c r="W37" s="257"/>
      <c r="X37" s="256">
        <f t="shared" si="2"/>
        <v>142</v>
      </c>
      <c r="Y37" s="257"/>
      <c r="Z37" s="267"/>
      <c r="AA37" s="268"/>
      <c r="AB37" s="267" t="s">
        <v>44</v>
      </c>
      <c r="AC37" s="268"/>
      <c r="AD37" s="267"/>
      <c r="AE37" s="268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264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6"/>
      <c r="BE37" s="11"/>
      <c r="BF37" s="32"/>
    </row>
    <row r="38" spans="1:58" s="13" customFormat="1" ht="15" customHeight="1">
      <c r="A38" s="10"/>
      <c r="B38" s="18">
        <f t="shared" si="1"/>
        <v>27</v>
      </c>
      <c r="C38" s="261" t="s">
        <v>386</v>
      </c>
      <c r="D38" s="262"/>
      <c r="E38" s="262"/>
      <c r="F38" s="262"/>
      <c r="G38" s="262"/>
      <c r="H38" s="262"/>
      <c r="I38" s="262"/>
      <c r="J38" s="262"/>
      <c r="K38" s="263"/>
      <c r="L38" s="261" t="s">
        <v>387</v>
      </c>
      <c r="M38" s="262"/>
      <c r="N38" s="262"/>
      <c r="O38" s="262"/>
      <c r="P38" s="262"/>
      <c r="Q38" s="263"/>
      <c r="R38" s="267" t="s">
        <v>19</v>
      </c>
      <c r="S38" s="268"/>
      <c r="T38" s="267">
        <v>8</v>
      </c>
      <c r="U38" s="268"/>
      <c r="V38" s="256">
        <f t="shared" si="0"/>
        <v>8</v>
      </c>
      <c r="W38" s="257"/>
      <c r="X38" s="256">
        <f t="shared" si="2"/>
        <v>144</v>
      </c>
      <c r="Y38" s="257"/>
      <c r="Z38" s="267"/>
      <c r="AA38" s="268"/>
      <c r="AB38" s="267" t="s">
        <v>44</v>
      </c>
      <c r="AC38" s="268"/>
      <c r="AD38" s="267"/>
      <c r="AE38" s="268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264"/>
      <c r="AQ38" s="265"/>
      <c r="AR38" s="265"/>
      <c r="AS38" s="265"/>
      <c r="AT38" s="265"/>
      <c r="AU38" s="265"/>
      <c r="AV38" s="265"/>
      <c r="AW38" s="265"/>
      <c r="AX38" s="265"/>
      <c r="AY38" s="265"/>
      <c r="AZ38" s="265"/>
      <c r="BA38" s="265"/>
      <c r="BB38" s="265"/>
      <c r="BC38" s="265"/>
      <c r="BD38" s="266"/>
      <c r="BE38" s="11"/>
      <c r="BF38" s="32"/>
    </row>
    <row r="39" spans="1:58" s="13" customFormat="1" ht="15" customHeight="1">
      <c r="A39" s="10"/>
      <c r="B39" s="18">
        <f t="shared" si="1"/>
        <v>28</v>
      </c>
      <c r="C39" s="261" t="s">
        <v>162</v>
      </c>
      <c r="D39" s="262"/>
      <c r="E39" s="262"/>
      <c r="F39" s="262"/>
      <c r="G39" s="262"/>
      <c r="H39" s="262"/>
      <c r="I39" s="262"/>
      <c r="J39" s="262"/>
      <c r="K39" s="263"/>
      <c r="L39" s="261" t="s">
        <v>163</v>
      </c>
      <c r="M39" s="262"/>
      <c r="N39" s="262"/>
      <c r="O39" s="262"/>
      <c r="P39" s="262"/>
      <c r="Q39" s="263"/>
      <c r="R39" s="267" t="s">
        <v>388</v>
      </c>
      <c r="S39" s="268"/>
      <c r="T39" s="267"/>
      <c r="U39" s="268"/>
      <c r="V39" s="256">
        <f t="shared" si="0"/>
        <v>8</v>
      </c>
      <c r="W39" s="257"/>
      <c r="X39" s="256">
        <f t="shared" si="2"/>
        <v>152</v>
      </c>
      <c r="Y39" s="257"/>
      <c r="Z39" s="267"/>
      <c r="AA39" s="268"/>
      <c r="AB39" s="267"/>
      <c r="AC39" s="268"/>
      <c r="AD39" s="267"/>
      <c r="AE39" s="268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264"/>
      <c r="AQ39" s="265"/>
      <c r="AR39" s="265"/>
      <c r="AS39" s="265"/>
      <c r="AT39" s="265"/>
      <c r="AU39" s="265"/>
      <c r="AV39" s="265"/>
      <c r="AW39" s="265"/>
      <c r="AX39" s="265"/>
      <c r="AY39" s="265"/>
      <c r="AZ39" s="265"/>
      <c r="BA39" s="265"/>
      <c r="BB39" s="265"/>
      <c r="BC39" s="265"/>
      <c r="BD39" s="266"/>
      <c r="BE39" s="11"/>
      <c r="BF39" s="33" t="s">
        <v>389</v>
      </c>
    </row>
    <row r="40" spans="1:58" s="13" customFormat="1" ht="15" customHeight="1">
      <c r="A40" s="10"/>
      <c r="B40" s="18">
        <f t="shared" si="1"/>
        <v>29</v>
      </c>
      <c r="C40" s="261" t="s">
        <v>164</v>
      </c>
      <c r="D40" s="262"/>
      <c r="E40" s="262"/>
      <c r="F40" s="262"/>
      <c r="G40" s="262"/>
      <c r="H40" s="262"/>
      <c r="I40" s="262"/>
      <c r="J40" s="262"/>
      <c r="K40" s="263"/>
      <c r="L40" s="261" t="s">
        <v>165</v>
      </c>
      <c r="M40" s="262"/>
      <c r="N40" s="262"/>
      <c r="O40" s="262"/>
      <c r="P40" s="262"/>
      <c r="Q40" s="263"/>
      <c r="R40" s="267" t="s">
        <v>390</v>
      </c>
      <c r="S40" s="268"/>
      <c r="T40" s="267"/>
      <c r="U40" s="268"/>
      <c r="V40" s="256">
        <f t="shared" si="0"/>
        <v>6</v>
      </c>
      <c r="W40" s="257"/>
      <c r="X40" s="256">
        <f t="shared" si="2"/>
        <v>160</v>
      </c>
      <c r="Y40" s="257"/>
      <c r="Z40" s="267"/>
      <c r="AA40" s="268"/>
      <c r="AB40" s="267"/>
      <c r="AC40" s="268"/>
      <c r="AD40" s="267"/>
      <c r="AE40" s="268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264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6"/>
      <c r="BE40" s="11"/>
      <c r="BF40" s="33" t="s">
        <v>389</v>
      </c>
    </row>
    <row r="41" spans="1:58" s="13" customFormat="1" ht="15" customHeight="1">
      <c r="A41" s="10"/>
      <c r="B41" s="18"/>
      <c r="C41" s="261" t="s">
        <v>352</v>
      </c>
      <c r="D41" s="262"/>
      <c r="E41" s="262"/>
      <c r="F41" s="262"/>
      <c r="G41" s="262"/>
      <c r="H41" s="262"/>
      <c r="I41" s="262"/>
      <c r="J41" s="262"/>
      <c r="K41" s="263"/>
      <c r="L41" s="261"/>
      <c r="M41" s="262"/>
      <c r="N41" s="262"/>
      <c r="O41" s="262"/>
      <c r="P41" s="262"/>
      <c r="Q41" s="263"/>
      <c r="R41" s="269"/>
      <c r="S41" s="269"/>
      <c r="T41" s="256"/>
      <c r="U41" s="257"/>
      <c r="V41" s="256" t="str">
        <f t="shared" si="0"/>
        <v/>
      </c>
      <c r="W41" s="257"/>
      <c r="X41" s="256">
        <f>IF(C41&lt;&gt;"",IF(V40="",X40,V40+X40),"")</f>
        <v>166</v>
      </c>
      <c r="Y41" s="257"/>
      <c r="Z41" s="256"/>
      <c r="AA41" s="257"/>
      <c r="AB41" s="256"/>
      <c r="AC41" s="257"/>
      <c r="AD41" s="256"/>
      <c r="AE41" s="257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264"/>
      <c r="AQ41" s="265"/>
      <c r="AR41" s="265"/>
      <c r="AS41" s="265"/>
      <c r="AT41" s="265"/>
      <c r="AU41" s="265"/>
      <c r="AV41" s="265"/>
      <c r="AW41" s="265"/>
      <c r="AX41" s="265"/>
      <c r="AY41" s="265"/>
      <c r="AZ41" s="265"/>
      <c r="BA41" s="265"/>
      <c r="BB41" s="265"/>
      <c r="BC41" s="265"/>
      <c r="BD41" s="266"/>
      <c r="BE41" s="11"/>
      <c r="BF41" s="32"/>
    </row>
    <row r="42" spans="1:58" s="13" customFormat="1" ht="15" customHeight="1">
      <c r="A42" s="10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1"/>
      <c r="BF42" s="32"/>
    </row>
    <row r="43" spans="1:58" s="13" customFormat="1" ht="15" customHeight="1">
      <c r="A43" s="10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1"/>
      <c r="BF43" s="32"/>
    </row>
    <row r="44" spans="1:58" s="13" customFormat="1" ht="15" customHeight="1">
      <c r="A44" s="10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1"/>
      <c r="BF44" s="32"/>
    </row>
    <row r="45" spans="1:58" s="13" customFormat="1" ht="15" customHeight="1">
      <c r="A45" s="10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1"/>
      <c r="BF45" s="32"/>
    </row>
    <row r="46" spans="1:58" s="13" customFormat="1" ht="15" customHeight="1">
      <c r="A46" s="10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1"/>
      <c r="BF46" s="32"/>
    </row>
    <row r="47" spans="1:58" s="13" customFormat="1" ht="15" customHeight="1">
      <c r="A47" s="10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1"/>
      <c r="BF47" s="32"/>
    </row>
    <row r="48" spans="1:58" s="13" customFormat="1" ht="15" customHeight="1">
      <c r="A48" s="10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1"/>
      <c r="BF48" s="30"/>
    </row>
    <row r="49" spans="1:58" s="13" customFormat="1" ht="15" customHeight="1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7"/>
      <c r="BF49" s="30"/>
    </row>
  </sheetData>
  <mergeCells count="332">
    <mergeCell ref="AP41:BD41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1:AA41"/>
    <mergeCell ref="AB41:AC41"/>
    <mergeCell ref="AD41:AE41"/>
    <mergeCell ref="AP38:BD38"/>
    <mergeCell ref="C39:K39"/>
    <mergeCell ref="L39:Q39"/>
    <mergeCell ref="R39:S39"/>
    <mergeCell ref="T39:U39"/>
    <mergeCell ref="V39:W39"/>
    <mergeCell ref="X39:Y39"/>
    <mergeCell ref="Z39:AA39"/>
    <mergeCell ref="AB39:AC39"/>
    <mergeCell ref="AD39:AE39"/>
    <mergeCell ref="AP39:BD39"/>
    <mergeCell ref="C38:K38"/>
    <mergeCell ref="L38:Q38"/>
    <mergeCell ref="R38:S38"/>
    <mergeCell ref="T38:U38"/>
    <mergeCell ref="V38:W38"/>
    <mergeCell ref="X38:Y38"/>
    <mergeCell ref="Z38:AA38"/>
    <mergeCell ref="AB38:AC38"/>
    <mergeCell ref="AD38:AE38"/>
    <mergeCell ref="AP36:BD36"/>
    <mergeCell ref="C37:K37"/>
    <mergeCell ref="L37:Q37"/>
    <mergeCell ref="R37:S37"/>
    <mergeCell ref="T37:U37"/>
    <mergeCell ref="V37:W37"/>
    <mergeCell ref="X37:Y37"/>
    <mergeCell ref="Z37:AA37"/>
    <mergeCell ref="AB37:AC37"/>
    <mergeCell ref="AD37:AE37"/>
    <mergeCell ref="AP37:BD37"/>
    <mergeCell ref="C36:K36"/>
    <mergeCell ref="L36:Q36"/>
    <mergeCell ref="R36:S36"/>
    <mergeCell ref="T36:U36"/>
    <mergeCell ref="V36:W36"/>
    <mergeCell ref="X36:Y36"/>
    <mergeCell ref="Z36:AA36"/>
    <mergeCell ref="AB36:AC36"/>
    <mergeCell ref="AD36:AE36"/>
    <mergeCell ref="AP34:BD34"/>
    <mergeCell ref="C35:K35"/>
    <mergeCell ref="L35:Q35"/>
    <mergeCell ref="R35:S35"/>
    <mergeCell ref="T35:U35"/>
    <mergeCell ref="V35:W35"/>
    <mergeCell ref="X35:Y35"/>
    <mergeCell ref="Z35:AA35"/>
    <mergeCell ref="AB35:AC35"/>
    <mergeCell ref="AD35:AE35"/>
    <mergeCell ref="AP35:BD35"/>
    <mergeCell ref="C34:K34"/>
    <mergeCell ref="L34:Q34"/>
    <mergeCell ref="R34:S34"/>
    <mergeCell ref="T34:U34"/>
    <mergeCell ref="V34:W34"/>
    <mergeCell ref="X34:Y34"/>
    <mergeCell ref="Z34:AA34"/>
    <mergeCell ref="AB34:AC34"/>
    <mergeCell ref="AD34:AE34"/>
    <mergeCell ref="AP32:BD32"/>
    <mergeCell ref="C33:K33"/>
    <mergeCell ref="L33:Q33"/>
    <mergeCell ref="R33:S33"/>
    <mergeCell ref="T33:U33"/>
    <mergeCell ref="V33:W33"/>
    <mergeCell ref="X33:Y33"/>
    <mergeCell ref="Z33:AA33"/>
    <mergeCell ref="AB33:AC33"/>
    <mergeCell ref="AD33:AE33"/>
    <mergeCell ref="AP33:BD33"/>
    <mergeCell ref="C32:K32"/>
    <mergeCell ref="L32:Q32"/>
    <mergeCell ref="R32:S32"/>
    <mergeCell ref="T32:U32"/>
    <mergeCell ref="V32:W32"/>
    <mergeCell ref="X32:Y32"/>
    <mergeCell ref="Z32:AA32"/>
    <mergeCell ref="AB32:AC32"/>
    <mergeCell ref="AD32:AE32"/>
    <mergeCell ref="AP30:BD30"/>
    <mergeCell ref="C31:K31"/>
    <mergeCell ref="L31:Q31"/>
    <mergeCell ref="R31:S31"/>
    <mergeCell ref="T31:U31"/>
    <mergeCell ref="V31:W31"/>
    <mergeCell ref="X31:Y31"/>
    <mergeCell ref="Z31:AA31"/>
    <mergeCell ref="AB31:AC31"/>
    <mergeCell ref="AD31:AE31"/>
    <mergeCell ref="AP31:BD31"/>
    <mergeCell ref="C30:K30"/>
    <mergeCell ref="L30:Q30"/>
    <mergeCell ref="R30:S30"/>
    <mergeCell ref="T30:U30"/>
    <mergeCell ref="V30:W30"/>
    <mergeCell ref="X30:Y30"/>
    <mergeCell ref="Z30:AA30"/>
    <mergeCell ref="AB30:AC30"/>
    <mergeCell ref="AD30:AE30"/>
    <mergeCell ref="AP28:BD28"/>
    <mergeCell ref="C29:K29"/>
    <mergeCell ref="L29:Q29"/>
    <mergeCell ref="R29:S29"/>
    <mergeCell ref="T29:U29"/>
    <mergeCell ref="V29:W29"/>
    <mergeCell ref="X29:Y29"/>
    <mergeCell ref="Z29:AA29"/>
    <mergeCell ref="AB29:AC29"/>
    <mergeCell ref="AD29:AE29"/>
    <mergeCell ref="AP29:BD29"/>
    <mergeCell ref="C28:K28"/>
    <mergeCell ref="L28:Q28"/>
    <mergeCell ref="R28:S28"/>
    <mergeCell ref="T28:U28"/>
    <mergeCell ref="V28:W28"/>
    <mergeCell ref="X28:Y28"/>
    <mergeCell ref="Z28:AA28"/>
    <mergeCell ref="AB28:AC28"/>
    <mergeCell ref="AD28:AE28"/>
    <mergeCell ref="AP26:BD26"/>
    <mergeCell ref="C27:K27"/>
    <mergeCell ref="L27:Q27"/>
    <mergeCell ref="R27:S27"/>
    <mergeCell ref="T27:U27"/>
    <mergeCell ref="V27:W27"/>
    <mergeCell ref="X27:Y27"/>
    <mergeCell ref="Z27:AA27"/>
    <mergeCell ref="AB27:AC27"/>
    <mergeCell ref="AD27:AE27"/>
    <mergeCell ref="AP27:BD27"/>
    <mergeCell ref="C26:K26"/>
    <mergeCell ref="L26:Q26"/>
    <mergeCell ref="R26:S26"/>
    <mergeCell ref="T26:U26"/>
    <mergeCell ref="V26:W26"/>
    <mergeCell ref="X26:Y26"/>
    <mergeCell ref="Z26:AA26"/>
    <mergeCell ref="AB26:AC26"/>
    <mergeCell ref="AD26:AE26"/>
    <mergeCell ref="AP24:BD24"/>
    <mergeCell ref="C25:K25"/>
    <mergeCell ref="L25:Q25"/>
    <mergeCell ref="R25:S25"/>
    <mergeCell ref="T25:U25"/>
    <mergeCell ref="V25:W25"/>
    <mergeCell ref="X25:Y25"/>
    <mergeCell ref="Z25:AA25"/>
    <mergeCell ref="AB25:AC25"/>
    <mergeCell ref="AD25:AE25"/>
    <mergeCell ref="AP25:BD25"/>
    <mergeCell ref="C24:K24"/>
    <mergeCell ref="L24:Q24"/>
    <mergeCell ref="R24:S24"/>
    <mergeCell ref="T24:U24"/>
    <mergeCell ref="V24:W24"/>
    <mergeCell ref="X24:Y24"/>
    <mergeCell ref="Z24:AA24"/>
    <mergeCell ref="AB24:AC24"/>
    <mergeCell ref="AD24:AE24"/>
    <mergeCell ref="AP22:BD22"/>
    <mergeCell ref="C23:K23"/>
    <mergeCell ref="L23:Q23"/>
    <mergeCell ref="R23:S23"/>
    <mergeCell ref="T23:U23"/>
    <mergeCell ref="V23:W23"/>
    <mergeCell ref="X23:Y23"/>
    <mergeCell ref="Z23:AA23"/>
    <mergeCell ref="AB23:AC23"/>
    <mergeCell ref="AD23:AE23"/>
    <mergeCell ref="AP23:BD23"/>
    <mergeCell ref="C22:K22"/>
    <mergeCell ref="L22:Q22"/>
    <mergeCell ref="R22:S22"/>
    <mergeCell ref="T22:U22"/>
    <mergeCell ref="V22:W22"/>
    <mergeCell ref="X22:Y22"/>
    <mergeCell ref="Z22:AA22"/>
    <mergeCell ref="AB22:AC22"/>
    <mergeCell ref="AD22:AE22"/>
    <mergeCell ref="AP20:BD20"/>
    <mergeCell ref="C21:K21"/>
    <mergeCell ref="L21:Q21"/>
    <mergeCell ref="R21:S21"/>
    <mergeCell ref="T21:U21"/>
    <mergeCell ref="V21:W21"/>
    <mergeCell ref="X21:Y21"/>
    <mergeCell ref="Z21:AA21"/>
    <mergeCell ref="AB21:AC21"/>
    <mergeCell ref="AD21:AE21"/>
    <mergeCell ref="AP21:BD21"/>
    <mergeCell ref="C20:K20"/>
    <mergeCell ref="L20:Q20"/>
    <mergeCell ref="R20:S20"/>
    <mergeCell ref="T20:U20"/>
    <mergeCell ref="V20:W20"/>
    <mergeCell ref="X20:Y20"/>
    <mergeCell ref="Z20:AA20"/>
    <mergeCell ref="AB20:AC20"/>
    <mergeCell ref="AD20:AE20"/>
    <mergeCell ref="AP18:BD18"/>
    <mergeCell ref="C19:K19"/>
    <mergeCell ref="L19:Q19"/>
    <mergeCell ref="R19:S19"/>
    <mergeCell ref="T19:U19"/>
    <mergeCell ref="V19:W19"/>
    <mergeCell ref="X19:Y19"/>
    <mergeCell ref="Z19:AA19"/>
    <mergeCell ref="AB19:AC19"/>
    <mergeCell ref="AD19:AE19"/>
    <mergeCell ref="AP19:BD19"/>
    <mergeCell ref="C18:K18"/>
    <mergeCell ref="L18:Q18"/>
    <mergeCell ref="R18:S18"/>
    <mergeCell ref="T18:U18"/>
    <mergeCell ref="V18:W18"/>
    <mergeCell ref="X18:Y18"/>
    <mergeCell ref="Z18:AA18"/>
    <mergeCell ref="AB18:AC18"/>
    <mergeCell ref="AD18:AE18"/>
    <mergeCell ref="AP16:BD16"/>
    <mergeCell ref="C17:K17"/>
    <mergeCell ref="L17:Q17"/>
    <mergeCell ref="R17:S17"/>
    <mergeCell ref="T17:U17"/>
    <mergeCell ref="V17:W17"/>
    <mergeCell ref="X17:Y17"/>
    <mergeCell ref="Z17:AA17"/>
    <mergeCell ref="AB17:AC17"/>
    <mergeCell ref="AD17:AE17"/>
    <mergeCell ref="AP17:BD17"/>
    <mergeCell ref="C16:K16"/>
    <mergeCell ref="L16:Q16"/>
    <mergeCell ref="R16:S16"/>
    <mergeCell ref="T16:U16"/>
    <mergeCell ref="V16:W16"/>
    <mergeCell ref="X16:Y16"/>
    <mergeCell ref="Z16:AA16"/>
    <mergeCell ref="AB16:AC16"/>
    <mergeCell ref="AD16:AE16"/>
    <mergeCell ref="AP14:BD14"/>
    <mergeCell ref="C15:K15"/>
    <mergeCell ref="L15:Q15"/>
    <mergeCell ref="R15:S15"/>
    <mergeCell ref="T15:U15"/>
    <mergeCell ref="V15:W15"/>
    <mergeCell ref="X15:Y15"/>
    <mergeCell ref="Z15:AA15"/>
    <mergeCell ref="AB15:AC15"/>
    <mergeCell ref="AD15:AE15"/>
    <mergeCell ref="AP15:BD15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464</v>
      </c>
      <c r="C2" s="1" t="s">
        <v>465</v>
      </c>
      <c r="D2" s="1" t="s">
        <v>466</v>
      </c>
    </row>
    <row r="3" spans="2:4">
      <c r="B3" s="1" t="s">
        <v>472</v>
      </c>
      <c r="C3" s="79" t="s">
        <v>478</v>
      </c>
      <c r="D3" s="1" t="s">
        <v>473</v>
      </c>
    </row>
    <row r="4" spans="2:4">
      <c r="B4" s="1" t="s">
        <v>474</v>
      </c>
      <c r="C4" s="1" t="s">
        <v>475</v>
      </c>
      <c r="D4" s="1" t="s">
        <v>476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53"/>
  <sheetViews>
    <sheetView topLeftCell="B39" workbookViewId="0">
      <selection activeCell="B54" sqref="B5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421</v>
      </c>
    </row>
    <row r="6" spans="2:2">
      <c r="B6" s="1" t="s">
        <v>422</v>
      </c>
    </row>
    <row r="7" spans="2:2">
      <c r="B7" s="1" t="s">
        <v>423</v>
      </c>
    </row>
    <row r="8" spans="2:2">
      <c r="B8" s="1" t="s">
        <v>424</v>
      </c>
    </row>
    <row r="9" spans="2:2">
      <c r="B9" s="1" t="s">
        <v>425</v>
      </c>
    </row>
    <row r="10" spans="2:2">
      <c r="B10" s="1" t="s">
        <v>426</v>
      </c>
    </row>
    <row r="11" spans="2:2">
      <c r="B11" s="1" t="s">
        <v>427</v>
      </c>
    </row>
    <row r="12" spans="2:2">
      <c r="B12" s="1" t="s">
        <v>428</v>
      </c>
    </row>
    <row r="13" spans="2:2">
      <c r="B13" s="1" t="s">
        <v>429</v>
      </c>
    </row>
    <row r="14" spans="2:2">
      <c r="B14" s="1" t="s">
        <v>430</v>
      </c>
    </row>
    <row r="15" spans="2:2">
      <c r="B15" s="1" t="s">
        <v>431</v>
      </c>
    </row>
    <row r="16" spans="2:2">
      <c r="B16" s="1" t="s">
        <v>432</v>
      </c>
    </row>
    <row r="17" spans="2:2">
      <c r="B17" s="1" t="s">
        <v>433</v>
      </c>
    </row>
    <row r="18" spans="2:2">
      <c r="B18" s="1" t="s">
        <v>434</v>
      </c>
    </row>
    <row r="19" spans="2:2">
      <c r="B19" s="1" t="s">
        <v>435</v>
      </c>
    </row>
    <row r="20" spans="2:2">
      <c r="B20" s="1" t="s">
        <v>436</v>
      </c>
    </row>
    <row r="21" spans="2:2">
      <c r="B21" s="1" t="s">
        <v>437</v>
      </c>
    </row>
    <row r="22" spans="2:2">
      <c r="B22" s="1" t="s">
        <v>438</v>
      </c>
    </row>
    <row r="23" spans="2:2">
      <c r="B23" s="1" t="s">
        <v>439</v>
      </c>
    </row>
    <row r="24" spans="2:2">
      <c r="B24" s="1" t="s">
        <v>440</v>
      </c>
    </row>
    <row r="25" spans="2:2">
      <c r="B25" s="1" t="s">
        <v>441</v>
      </c>
    </row>
    <row r="26" spans="2:2">
      <c r="B26" s="1" t="s">
        <v>442</v>
      </c>
    </row>
    <row r="27" spans="2:2">
      <c r="B27" s="1" t="s">
        <v>443</v>
      </c>
    </row>
    <row r="28" spans="2:2">
      <c r="B28" s="1" t="s">
        <v>444</v>
      </c>
    </row>
    <row r="29" spans="2:2">
      <c r="B29" s="1" t="s">
        <v>445</v>
      </c>
    </row>
    <row r="30" spans="2:2">
      <c r="B30" s="1" t="s">
        <v>446</v>
      </c>
    </row>
    <row r="31" spans="2:2">
      <c r="B31" s="1" t="s">
        <v>447</v>
      </c>
    </row>
    <row r="32" spans="2:2">
      <c r="B32" s="1" t="s">
        <v>448</v>
      </c>
    </row>
    <row r="33" spans="2:2">
      <c r="B33" s="1" t="s">
        <v>449</v>
      </c>
    </row>
    <row r="34" spans="2:2">
      <c r="B34" s="1" t="s">
        <v>450</v>
      </c>
    </row>
    <row r="35" spans="2:2">
      <c r="B35" s="1" t="s">
        <v>451</v>
      </c>
    </row>
    <row r="36" spans="2:2">
      <c r="B36" s="1" t="s">
        <v>452</v>
      </c>
    </row>
    <row r="37" spans="2:2">
      <c r="B37" s="1" t="s">
        <v>453</v>
      </c>
    </row>
    <row r="38" spans="2:2">
      <c r="B38" s="1" t="s">
        <v>454</v>
      </c>
    </row>
    <row r="39" spans="2:2">
      <c r="B39" s="1" t="s">
        <v>455</v>
      </c>
    </row>
    <row r="40" spans="2:2">
      <c r="B40" s="1" t="s">
        <v>456</v>
      </c>
    </row>
    <row r="41" spans="2:2">
      <c r="B41" s="1" t="s">
        <v>457</v>
      </c>
    </row>
    <row r="42" spans="2:2">
      <c r="B42" s="1" t="s">
        <v>458</v>
      </c>
    </row>
    <row r="43" spans="2:2">
      <c r="B43" s="1" t="s">
        <v>459</v>
      </c>
    </row>
    <row r="44" spans="2:2">
      <c r="B44" s="1" t="s">
        <v>460</v>
      </c>
    </row>
    <row r="45" spans="2:2">
      <c r="B45" s="1" t="s">
        <v>461</v>
      </c>
    </row>
    <row r="46" spans="2:2">
      <c r="B46" s="1" t="s">
        <v>462</v>
      </c>
    </row>
    <row r="47" spans="2:2">
      <c r="B47" s="1" t="s">
        <v>463</v>
      </c>
    </row>
    <row r="48" spans="2:2">
      <c r="B48" s="1" t="s">
        <v>468</v>
      </c>
    </row>
    <row r="49" spans="2:2">
      <c r="B49" s="1" t="s">
        <v>469</v>
      </c>
    </row>
    <row r="50" spans="2:2">
      <c r="B50" s="1" t="s">
        <v>470</v>
      </c>
    </row>
    <row r="51" spans="2:2">
      <c r="B51" s="1" t="s">
        <v>471</v>
      </c>
    </row>
    <row r="52" spans="2:2">
      <c r="B52" s="1" t="s">
        <v>480</v>
      </c>
    </row>
    <row r="53" spans="2:2">
      <c r="B53" s="1" t="s">
        <v>1965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6"/>
  <sheetViews>
    <sheetView workbookViewId="0">
      <selection activeCell="C5" sqref="A5:XFD5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152</v>
      </c>
    </row>
    <row r="2" spans="2:6">
      <c r="B2" s="1" t="s">
        <v>166</v>
      </c>
      <c r="C2" s="1"/>
      <c r="D2" s="1" t="s">
        <v>392</v>
      </c>
      <c r="E2" s="1" t="s">
        <v>147</v>
      </c>
      <c r="F2" s="1" t="s">
        <v>394</v>
      </c>
    </row>
    <row r="3" spans="2:6">
      <c r="B3" s="1" t="s">
        <v>167</v>
      </c>
      <c r="C3" s="1" t="s">
        <v>146</v>
      </c>
      <c r="D3" s="1" t="s">
        <v>392</v>
      </c>
      <c r="E3" s="1" t="s">
        <v>148</v>
      </c>
      <c r="F3" s="1" t="s">
        <v>394</v>
      </c>
    </row>
    <row r="4" spans="2:6">
      <c r="B4" s="1"/>
      <c r="C4" s="1"/>
      <c r="D4" s="1"/>
      <c r="E4" s="1"/>
      <c r="F4" s="1"/>
    </row>
    <row r="5" spans="2:6">
      <c r="B5" s="1" t="s">
        <v>168</v>
      </c>
      <c r="C5" s="1"/>
      <c r="D5" s="1" t="s">
        <v>393</v>
      </c>
      <c r="E5" s="1" t="s">
        <v>155</v>
      </c>
      <c r="F5" s="1" t="s">
        <v>395</v>
      </c>
    </row>
    <row r="6" spans="2:6">
      <c r="B6" s="1"/>
      <c r="C6" s="1"/>
      <c r="D6" s="1"/>
      <c r="E6" s="1"/>
      <c r="F6" s="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F163"/>
  <sheetViews>
    <sheetView view="pageBreakPreview" zoomScale="90" zoomScaleNormal="75" zoomScaleSheetLayoutView="90" workbookViewId="0">
      <selection activeCell="T12" sqref="T12:U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246" t="s">
        <v>169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V1" s="243" t="s">
        <v>7</v>
      </c>
      <c r="W1" s="243"/>
      <c r="X1" s="243"/>
      <c r="Y1" s="243"/>
      <c r="Z1" s="243"/>
      <c r="AA1" s="248" t="s">
        <v>170</v>
      </c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50"/>
      <c r="AP1" s="6"/>
      <c r="AQ1" s="243" t="s">
        <v>8</v>
      </c>
      <c r="AR1" s="243"/>
      <c r="AS1" s="243"/>
      <c r="AT1" s="243"/>
      <c r="AU1" s="243"/>
      <c r="AV1" s="254" t="s">
        <v>171</v>
      </c>
      <c r="AW1" s="243"/>
      <c r="AX1" s="243"/>
      <c r="AY1" s="270">
        <v>40847</v>
      </c>
      <c r="AZ1" s="243"/>
      <c r="BA1" s="243"/>
      <c r="BB1" s="243"/>
      <c r="BC1" s="243"/>
      <c r="BD1" s="243"/>
      <c r="BE1" s="243"/>
    </row>
    <row r="2" spans="1:58" ht="15" customHeight="1">
      <c r="A2" s="247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V2" s="243"/>
      <c r="W2" s="243"/>
      <c r="X2" s="243"/>
      <c r="Y2" s="243"/>
      <c r="Z2" s="243"/>
      <c r="AA2" s="251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3"/>
      <c r="AP2" s="6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</row>
    <row r="3" spans="1:58" ht="15" customHeight="1">
      <c r="A3" s="247"/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V3" s="243" t="s">
        <v>9</v>
      </c>
      <c r="W3" s="243"/>
      <c r="X3" s="243"/>
      <c r="Y3" s="243"/>
      <c r="Z3" s="243"/>
      <c r="AA3" s="243" t="s">
        <v>172</v>
      </c>
      <c r="AB3" s="243"/>
      <c r="AC3" s="243"/>
      <c r="AD3" s="243"/>
      <c r="AE3" s="243"/>
      <c r="AF3" s="243"/>
      <c r="AG3" s="243"/>
      <c r="AH3" s="243"/>
      <c r="AI3" s="243"/>
      <c r="AJ3" s="243"/>
      <c r="AK3" s="243"/>
      <c r="AL3" s="243"/>
      <c r="AM3" s="243"/>
      <c r="AN3" s="243"/>
      <c r="AO3" s="243"/>
      <c r="AP3" s="6"/>
      <c r="AQ3" s="243" t="s">
        <v>10</v>
      </c>
      <c r="AR3" s="243"/>
      <c r="AS3" s="243"/>
      <c r="AT3" s="243"/>
      <c r="AU3" s="243"/>
      <c r="AV3" s="254"/>
      <c r="AW3" s="243"/>
      <c r="AX3" s="243"/>
      <c r="AY3" s="243"/>
      <c r="AZ3" s="243"/>
      <c r="BA3" s="243"/>
      <c r="BB3" s="243"/>
      <c r="BC3" s="243"/>
      <c r="BD3" s="243"/>
      <c r="BE3" s="243"/>
    </row>
    <row r="4" spans="1:58" ht="15" customHeight="1">
      <c r="A4" s="247"/>
      <c r="B4" s="247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V4" s="243"/>
      <c r="W4" s="243"/>
      <c r="X4" s="243"/>
      <c r="Y4" s="243"/>
      <c r="Z4" s="243"/>
      <c r="AA4" s="243"/>
      <c r="AB4" s="243"/>
      <c r="AC4" s="243"/>
      <c r="AD4" s="243"/>
      <c r="AE4" s="243"/>
      <c r="AF4" s="243"/>
      <c r="AG4" s="243"/>
      <c r="AH4" s="243"/>
      <c r="AI4" s="243"/>
      <c r="AJ4" s="243"/>
      <c r="AK4" s="243"/>
      <c r="AL4" s="243"/>
      <c r="AM4" s="243"/>
      <c r="AN4" s="243"/>
      <c r="AO4" s="243"/>
      <c r="AP4" s="6"/>
      <c r="AQ4" s="243"/>
      <c r="AR4" s="243"/>
      <c r="AS4" s="243"/>
      <c r="AT4" s="243"/>
      <c r="AU4" s="243"/>
      <c r="AV4" s="243"/>
      <c r="AW4" s="243"/>
      <c r="AX4" s="243"/>
      <c r="AY4" s="243"/>
      <c r="AZ4" s="243"/>
      <c r="BA4" s="243"/>
      <c r="BB4" s="243"/>
      <c r="BC4" s="243"/>
      <c r="BD4" s="243"/>
      <c r="BE4" s="243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243" t="s">
        <v>173</v>
      </c>
      <c r="C7" s="243"/>
      <c r="D7" s="243"/>
      <c r="E7" s="243"/>
      <c r="F7" s="243"/>
      <c r="G7" s="243"/>
      <c r="H7" s="243"/>
      <c r="I7" s="244" t="s">
        <v>174</v>
      </c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4"/>
      <c r="V7" s="244"/>
      <c r="W7" s="245"/>
      <c r="X7" s="245"/>
      <c r="Y7" s="245"/>
      <c r="Z7" s="245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  <c r="AL7" s="245"/>
      <c r="AM7" s="245"/>
      <c r="AN7" s="245"/>
      <c r="AO7" s="245"/>
      <c r="AP7" s="245"/>
      <c r="AQ7" s="245"/>
      <c r="AR7" s="245"/>
      <c r="AS7" s="245"/>
      <c r="AT7" s="245"/>
      <c r="AU7" s="245"/>
      <c r="AV7" s="245"/>
      <c r="AW7" s="245"/>
      <c r="AX7" s="245"/>
      <c r="AY7" s="243" t="s">
        <v>12</v>
      </c>
      <c r="AZ7" s="243"/>
      <c r="BA7" s="243"/>
      <c r="BB7" s="243">
        <f>X147-1</f>
        <v>1175</v>
      </c>
      <c r="BC7" s="243"/>
      <c r="BD7" s="243"/>
      <c r="BE7" s="11"/>
    </row>
    <row r="8" spans="1:58" s="6" customFormat="1" ht="15" customHeight="1">
      <c r="A8" s="10"/>
      <c r="B8" s="243" t="s">
        <v>40</v>
      </c>
      <c r="C8" s="243"/>
      <c r="D8" s="243"/>
      <c r="E8" s="243"/>
      <c r="F8" s="243"/>
      <c r="G8" s="243"/>
      <c r="H8" s="243"/>
      <c r="I8" s="244" t="s">
        <v>175</v>
      </c>
      <c r="J8" s="244"/>
      <c r="K8" s="244"/>
      <c r="L8" s="244"/>
      <c r="M8" s="244"/>
      <c r="N8" s="244"/>
      <c r="O8" s="244"/>
      <c r="P8" s="244"/>
      <c r="Q8" s="244"/>
      <c r="R8" s="244"/>
      <c r="S8" s="244"/>
      <c r="T8" s="244"/>
      <c r="U8" s="244"/>
      <c r="V8" s="244"/>
      <c r="W8" s="243" t="s">
        <v>11</v>
      </c>
      <c r="X8" s="243"/>
      <c r="Y8" s="243"/>
      <c r="Z8" s="243"/>
      <c r="AA8" s="243"/>
      <c r="AB8" s="243"/>
      <c r="AC8" s="243"/>
      <c r="AD8" s="244"/>
      <c r="AE8" s="244"/>
      <c r="AF8" s="244"/>
      <c r="AG8" s="244"/>
      <c r="AH8" s="244"/>
      <c r="AI8" s="244"/>
      <c r="AJ8" s="244"/>
      <c r="AK8" s="244"/>
      <c r="AL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11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</row>
    <row r="10" spans="1:58" s="13" customFormat="1" ht="15" customHeight="1">
      <c r="A10" s="14"/>
      <c r="B10" s="243" t="s">
        <v>156</v>
      </c>
      <c r="C10" s="243" t="s">
        <v>13</v>
      </c>
      <c r="D10" s="243"/>
      <c r="E10" s="243"/>
      <c r="F10" s="243"/>
      <c r="G10" s="243"/>
      <c r="H10" s="243"/>
      <c r="I10" s="243"/>
      <c r="J10" s="243"/>
      <c r="K10" s="243"/>
      <c r="L10" s="243" t="s">
        <v>14</v>
      </c>
      <c r="M10" s="243"/>
      <c r="N10" s="243"/>
      <c r="O10" s="243"/>
      <c r="P10" s="243"/>
      <c r="Q10" s="243"/>
      <c r="R10" s="243" t="s">
        <v>15</v>
      </c>
      <c r="S10" s="243"/>
      <c r="T10" s="243" t="s">
        <v>16</v>
      </c>
      <c r="U10" s="243"/>
      <c r="V10" s="243" t="s">
        <v>17</v>
      </c>
      <c r="W10" s="243"/>
      <c r="X10" s="243" t="s">
        <v>18</v>
      </c>
      <c r="Y10" s="243"/>
      <c r="Z10" s="255" t="s">
        <v>176</v>
      </c>
      <c r="AA10" s="243"/>
      <c r="AB10" s="255" t="s">
        <v>41</v>
      </c>
      <c r="AC10" s="243"/>
      <c r="AD10" s="243" t="s">
        <v>177</v>
      </c>
      <c r="AE10" s="243"/>
      <c r="AF10" s="243" t="s">
        <v>178</v>
      </c>
      <c r="AG10" s="243"/>
      <c r="AH10" s="243"/>
      <c r="AI10" s="243"/>
      <c r="AJ10" s="243"/>
      <c r="AK10" s="243"/>
      <c r="AL10" s="243"/>
      <c r="AM10" s="243"/>
      <c r="AN10" s="243"/>
      <c r="AO10" s="243"/>
      <c r="AP10" s="243" t="s">
        <v>149</v>
      </c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3"/>
      <c r="BE10" s="11"/>
    </row>
    <row r="11" spans="1:58" s="13" customFormat="1" ht="15" customHeight="1">
      <c r="A11" s="14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43"/>
      <c r="AC11" s="243"/>
      <c r="AD11" s="243"/>
      <c r="AE11" s="243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11"/>
    </row>
    <row r="12" spans="1:58" s="13" customFormat="1" ht="15" customHeight="1">
      <c r="A12" s="10"/>
      <c r="B12" s="18">
        <v>1</v>
      </c>
      <c r="C12" s="261" t="s">
        <v>179</v>
      </c>
      <c r="D12" s="262"/>
      <c r="E12" s="262"/>
      <c r="F12" s="262"/>
      <c r="G12" s="262"/>
      <c r="H12" s="262"/>
      <c r="I12" s="262"/>
      <c r="J12" s="262"/>
      <c r="K12" s="263"/>
      <c r="L12" s="261" t="s">
        <v>42</v>
      </c>
      <c r="M12" s="262"/>
      <c r="N12" s="262"/>
      <c r="O12" s="262"/>
      <c r="P12" s="262"/>
      <c r="Q12" s="263"/>
      <c r="R12" s="256" t="s">
        <v>19</v>
      </c>
      <c r="S12" s="257"/>
      <c r="T12" s="256">
        <v>3</v>
      </c>
      <c r="U12" s="257"/>
      <c r="V12" s="269">
        <f>IF(R12&lt;&gt;"",IF(R12="N",T12*2,IF(R12="DATE",8,IF(R12="TIMESTAMP",26,T12))),"")</f>
        <v>3</v>
      </c>
      <c r="W12" s="269"/>
      <c r="X12" s="256">
        <f>IF(C12&lt;&gt;"",1,"")</f>
        <v>1</v>
      </c>
      <c r="Y12" s="257"/>
      <c r="Z12" s="256" t="s">
        <v>180</v>
      </c>
      <c r="AA12" s="257"/>
      <c r="AB12" s="256"/>
      <c r="AC12" s="257"/>
      <c r="AD12" s="256">
        <v>1</v>
      </c>
      <c r="AE12" s="257"/>
      <c r="AF12" s="19">
        <v>1</v>
      </c>
      <c r="AG12" s="20"/>
      <c r="AH12" s="20">
        <v>1</v>
      </c>
      <c r="AI12" s="20">
        <v>1</v>
      </c>
      <c r="AJ12" s="20">
        <v>1</v>
      </c>
      <c r="AK12" s="20"/>
      <c r="AL12" s="20"/>
      <c r="AM12" s="20">
        <v>1</v>
      </c>
      <c r="AN12" s="20">
        <v>1</v>
      </c>
      <c r="AO12" s="21">
        <v>1</v>
      </c>
      <c r="AP12" s="258"/>
      <c r="AQ12" s="259"/>
      <c r="AR12" s="259"/>
      <c r="AS12" s="259"/>
      <c r="AT12" s="259"/>
      <c r="AU12" s="259"/>
      <c r="AV12" s="259"/>
      <c r="AW12" s="259"/>
      <c r="AX12" s="259"/>
      <c r="AY12" s="259"/>
      <c r="AZ12" s="259"/>
      <c r="BA12" s="259"/>
      <c r="BB12" s="259"/>
      <c r="BC12" s="259"/>
      <c r="BD12" s="260"/>
      <c r="BE12" s="11"/>
      <c r="BF12" s="13" t="s">
        <v>181</v>
      </c>
    </row>
    <row r="13" spans="1:58" s="13" customFormat="1" ht="15" customHeight="1">
      <c r="A13" s="10"/>
      <c r="B13" s="18">
        <f>B12+1</f>
        <v>2</v>
      </c>
      <c r="C13" s="261" t="s">
        <v>182</v>
      </c>
      <c r="D13" s="262"/>
      <c r="E13" s="262"/>
      <c r="F13" s="262"/>
      <c r="G13" s="262"/>
      <c r="H13" s="262"/>
      <c r="I13" s="262"/>
      <c r="J13" s="262"/>
      <c r="K13" s="263"/>
      <c r="L13" s="261" t="s">
        <v>43</v>
      </c>
      <c r="M13" s="262"/>
      <c r="N13" s="262"/>
      <c r="O13" s="262"/>
      <c r="P13" s="262"/>
      <c r="Q13" s="263"/>
      <c r="R13" s="256" t="s">
        <v>19</v>
      </c>
      <c r="S13" s="257"/>
      <c r="T13" s="256">
        <v>11</v>
      </c>
      <c r="U13" s="257"/>
      <c r="V13" s="256">
        <f>IF(R13&lt;&gt;"",IF(R13="N",T13*2,IF(R13="DATE",8,IF(R13="TIMESTAMP",26,T13))),"")</f>
        <v>11</v>
      </c>
      <c r="W13" s="257"/>
      <c r="X13" s="256">
        <f>IF(C13&lt;&gt;"",IF(V12="",X12,V12+X12),"")</f>
        <v>4</v>
      </c>
      <c r="Y13" s="257"/>
      <c r="Z13" s="256"/>
      <c r="AA13" s="257"/>
      <c r="AB13" s="256"/>
      <c r="AC13" s="257"/>
      <c r="AD13" s="256"/>
      <c r="AE13" s="257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264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6"/>
      <c r="BE13" s="11"/>
    </row>
    <row r="14" spans="1:58" s="13" customFormat="1" ht="15" customHeight="1">
      <c r="A14" s="10"/>
      <c r="B14" s="18">
        <f t="shared" ref="B14:B77" si="0">B13+1</f>
        <v>3</v>
      </c>
      <c r="C14" s="261" t="s">
        <v>183</v>
      </c>
      <c r="D14" s="262"/>
      <c r="E14" s="262"/>
      <c r="F14" s="262"/>
      <c r="G14" s="262"/>
      <c r="H14" s="262"/>
      <c r="I14" s="262"/>
      <c r="J14" s="262"/>
      <c r="K14" s="263"/>
      <c r="L14" s="261" t="s">
        <v>45</v>
      </c>
      <c r="M14" s="262"/>
      <c r="N14" s="262"/>
      <c r="O14" s="262"/>
      <c r="P14" s="262"/>
      <c r="Q14" s="263"/>
      <c r="R14" s="256" t="s">
        <v>19</v>
      </c>
      <c r="S14" s="257"/>
      <c r="T14" s="256">
        <v>3</v>
      </c>
      <c r="U14" s="257"/>
      <c r="V14" s="256">
        <f t="shared" ref="V14:V78" si="1">IF(R14&lt;&gt;"",IF(R14="N",T14*2,IF(R14="DATE",8,IF(R14="TIMESTAMP",26,T14))),"")</f>
        <v>3</v>
      </c>
      <c r="W14" s="257"/>
      <c r="X14" s="256">
        <f t="shared" ref="X14:X77" si="2">IF(C14&lt;&gt;"",IF(V13="",X13,V13+X13),"")</f>
        <v>15</v>
      </c>
      <c r="Y14" s="257"/>
      <c r="Z14" s="256"/>
      <c r="AA14" s="257"/>
      <c r="AB14" s="256"/>
      <c r="AC14" s="257"/>
      <c r="AD14" s="256"/>
      <c r="AE14" s="257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264"/>
      <c r="AQ14" s="265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6"/>
      <c r="BE14" s="11"/>
    </row>
    <row r="15" spans="1:58" s="13" customFormat="1" ht="15" customHeight="1">
      <c r="A15" s="10"/>
      <c r="B15" s="18">
        <f t="shared" si="0"/>
        <v>4</v>
      </c>
      <c r="C15" s="261" t="s">
        <v>184</v>
      </c>
      <c r="D15" s="262"/>
      <c r="E15" s="262"/>
      <c r="F15" s="262"/>
      <c r="G15" s="262"/>
      <c r="H15" s="262"/>
      <c r="I15" s="262"/>
      <c r="J15" s="262"/>
      <c r="K15" s="263"/>
      <c r="L15" s="261" t="s">
        <v>46</v>
      </c>
      <c r="M15" s="262"/>
      <c r="N15" s="262"/>
      <c r="O15" s="262"/>
      <c r="P15" s="262"/>
      <c r="Q15" s="263"/>
      <c r="R15" s="256" t="s">
        <v>19</v>
      </c>
      <c r="S15" s="257"/>
      <c r="T15" s="256">
        <v>20</v>
      </c>
      <c r="U15" s="257"/>
      <c r="V15" s="256">
        <f t="shared" si="1"/>
        <v>20</v>
      </c>
      <c r="W15" s="257"/>
      <c r="X15" s="256">
        <f t="shared" si="2"/>
        <v>18</v>
      </c>
      <c r="Y15" s="257"/>
      <c r="Z15" s="256"/>
      <c r="AA15" s="257"/>
      <c r="AB15" s="256"/>
      <c r="AC15" s="257"/>
      <c r="AD15" s="256"/>
      <c r="AE15" s="257"/>
      <c r="AF15" s="19">
        <v>2</v>
      </c>
      <c r="AG15" s="20"/>
      <c r="AH15" s="20"/>
      <c r="AI15" s="20">
        <v>4</v>
      </c>
      <c r="AJ15" s="20">
        <v>4</v>
      </c>
      <c r="AK15" s="20">
        <v>1</v>
      </c>
      <c r="AL15" s="20">
        <v>2</v>
      </c>
      <c r="AM15" s="20">
        <v>2</v>
      </c>
      <c r="AN15" s="20">
        <v>2</v>
      </c>
      <c r="AO15" s="21">
        <v>2</v>
      </c>
      <c r="AP15" s="264"/>
      <c r="AQ15" s="265"/>
      <c r="AR15" s="265"/>
      <c r="AS15" s="265"/>
      <c r="AT15" s="265"/>
      <c r="AU15" s="265"/>
      <c r="AV15" s="265"/>
      <c r="AW15" s="265"/>
      <c r="AX15" s="265"/>
      <c r="AY15" s="265"/>
      <c r="AZ15" s="265"/>
      <c r="BA15" s="265"/>
      <c r="BB15" s="265"/>
      <c r="BC15" s="265"/>
      <c r="BD15" s="266"/>
      <c r="BE15" s="11"/>
      <c r="BF15" s="13" t="s">
        <v>181</v>
      </c>
    </row>
    <row r="16" spans="1:58" s="13" customFormat="1" ht="15" customHeight="1">
      <c r="A16" s="10"/>
      <c r="B16" s="18">
        <f t="shared" si="0"/>
        <v>5</v>
      </c>
      <c r="C16" s="261" t="s">
        <v>185</v>
      </c>
      <c r="D16" s="262"/>
      <c r="E16" s="262"/>
      <c r="F16" s="262"/>
      <c r="G16" s="262"/>
      <c r="H16" s="262"/>
      <c r="I16" s="262"/>
      <c r="J16" s="262"/>
      <c r="K16" s="263"/>
      <c r="L16" s="261" t="s">
        <v>47</v>
      </c>
      <c r="M16" s="262"/>
      <c r="N16" s="262"/>
      <c r="O16" s="262"/>
      <c r="P16" s="262"/>
      <c r="Q16" s="263"/>
      <c r="R16" s="256" t="s">
        <v>19</v>
      </c>
      <c r="S16" s="257"/>
      <c r="T16" s="267">
        <v>2</v>
      </c>
      <c r="U16" s="268"/>
      <c r="V16" s="256">
        <f t="shared" si="1"/>
        <v>2</v>
      </c>
      <c r="W16" s="257"/>
      <c r="X16" s="256">
        <f t="shared" si="2"/>
        <v>38</v>
      </c>
      <c r="Y16" s="257"/>
      <c r="Z16" s="256"/>
      <c r="AA16" s="257"/>
      <c r="AB16" s="256"/>
      <c r="AC16" s="257"/>
      <c r="AD16" s="256"/>
      <c r="AE16" s="257"/>
      <c r="AF16" s="19">
        <v>3</v>
      </c>
      <c r="AG16" s="20"/>
      <c r="AH16" s="20"/>
      <c r="AI16" s="20">
        <v>5</v>
      </c>
      <c r="AJ16" s="20">
        <v>5</v>
      </c>
      <c r="AK16" s="20">
        <v>2</v>
      </c>
      <c r="AL16" s="20">
        <v>3</v>
      </c>
      <c r="AM16" s="20">
        <v>3</v>
      </c>
      <c r="AN16" s="20">
        <v>3</v>
      </c>
      <c r="AO16" s="21">
        <v>3</v>
      </c>
      <c r="AP16" s="264"/>
      <c r="AQ16" s="265"/>
      <c r="AR16" s="265"/>
      <c r="AS16" s="265"/>
      <c r="AT16" s="265"/>
      <c r="AU16" s="265"/>
      <c r="AV16" s="265"/>
      <c r="AW16" s="265"/>
      <c r="AX16" s="265"/>
      <c r="AY16" s="265"/>
      <c r="AZ16" s="265"/>
      <c r="BA16" s="265"/>
      <c r="BB16" s="265"/>
      <c r="BC16" s="265"/>
      <c r="BD16" s="266"/>
      <c r="BE16" s="11"/>
    </row>
    <row r="17" spans="1:58" s="13" customFormat="1" ht="15" customHeight="1">
      <c r="A17" s="10"/>
      <c r="B17" s="18">
        <f t="shared" si="0"/>
        <v>6</v>
      </c>
      <c r="C17" s="261" t="s">
        <v>27</v>
      </c>
      <c r="D17" s="262"/>
      <c r="E17" s="262"/>
      <c r="F17" s="262"/>
      <c r="G17" s="262"/>
      <c r="H17" s="262"/>
      <c r="I17" s="262"/>
      <c r="J17" s="262"/>
      <c r="K17" s="263"/>
      <c r="L17" s="261" t="s">
        <v>186</v>
      </c>
      <c r="M17" s="262"/>
      <c r="N17" s="262"/>
      <c r="O17" s="262"/>
      <c r="P17" s="262"/>
      <c r="Q17" s="263"/>
      <c r="R17" s="267" t="s">
        <v>19</v>
      </c>
      <c r="S17" s="268"/>
      <c r="T17" s="267">
        <v>8</v>
      </c>
      <c r="U17" s="268"/>
      <c r="V17" s="256">
        <f t="shared" si="1"/>
        <v>8</v>
      </c>
      <c r="W17" s="257"/>
      <c r="X17" s="256">
        <f t="shared" si="2"/>
        <v>40</v>
      </c>
      <c r="Y17" s="257"/>
      <c r="Z17" s="256" t="s">
        <v>180</v>
      </c>
      <c r="AA17" s="257"/>
      <c r="AB17" s="256"/>
      <c r="AC17" s="257"/>
      <c r="AD17" s="256">
        <v>3</v>
      </c>
      <c r="AE17" s="257"/>
      <c r="AF17" s="19">
        <v>4</v>
      </c>
      <c r="AG17" s="20"/>
      <c r="AH17" s="20"/>
      <c r="AI17" s="20"/>
      <c r="AJ17" s="20">
        <v>7</v>
      </c>
      <c r="AK17" s="20"/>
      <c r="AL17" s="20">
        <v>1</v>
      </c>
      <c r="AM17" s="20"/>
      <c r="AN17" s="20">
        <v>7</v>
      </c>
      <c r="AO17" s="21"/>
      <c r="AP17" s="264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  <c r="BD17" s="266"/>
      <c r="BE17" s="11"/>
    </row>
    <row r="18" spans="1:58" s="13" customFormat="1" ht="15" customHeight="1">
      <c r="A18" s="10"/>
      <c r="B18" s="22">
        <f t="shared" si="0"/>
        <v>7</v>
      </c>
      <c r="C18" s="271" t="s">
        <v>187</v>
      </c>
      <c r="D18" s="272"/>
      <c r="E18" s="272"/>
      <c r="F18" s="272"/>
      <c r="G18" s="272"/>
      <c r="H18" s="272"/>
      <c r="I18" s="272"/>
      <c r="J18" s="272"/>
      <c r="K18" s="273"/>
      <c r="L18" s="271" t="s">
        <v>188</v>
      </c>
      <c r="M18" s="272"/>
      <c r="N18" s="272"/>
      <c r="O18" s="272"/>
      <c r="P18" s="272"/>
      <c r="Q18" s="273"/>
      <c r="R18" s="274">
        <v>9</v>
      </c>
      <c r="S18" s="275"/>
      <c r="T18" s="274">
        <v>1</v>
      </c>
      <c r="U18" s="275"/>
      <c r="V18" s="276">
        <f t="shared" si="1"/>
        <v>1</v>
      </c>
      <c r="W18" s="277"/>
      <c r="X18" s="276">
        <f t="shared" si="2"/>
        <v>48</v>
      </c>
      <c r="Y18" s="277"/>
      <c r="Z18" s="274" t="s">
        <v>180</v>
      </c>
      <c r="AA18" s="275"/>
      <c r="AB18" s="267"/>
      <c r="AC18" s="268"/>
      <c r="AD18" s="276">
        <v>4</v>
      </c>
      <c r="AE18" s="277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264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  <c r="BD18" s="266"/>
      <c r="BE18" s="11"/>
      <c r="BF18" s="23" t="s">
        <v>189</v>
      </c>
    </row>
    <row r="19" spans="1:58" s="13" customFormat="1" ht="15" customHeight="1">
      <c r="A19" s="10"/>
      <c r="B19" s="18">
        <f t="shared" si="0"/>
        <v>8</v>
      </c>
      <c r="C19" s="261" t="s">
        <v>190</v>
      </c>
      <c r="D19" s="262"/>
      <c r="E19" s="262"/>
      <c r="F19" s="262"/>
      <c r="G19" s="262"/>
      <c r="H19" s="262"/>
      <c r="I19" s="262"/>
      <c r="J19" s="262"/>
      <c r="K19" s="263"/>
      <c r="L19" s="261" t="s">
        <v>48</v>
      </c>
      <c r="M19" s="262"/>
      <c r="N19" s="262"/>
      <c r="O19" s="262"/>
      <c r="P19" s="262"/>
      <c r="Q19" s="263"/>
      <c r="R19" s="267" t="s">
        <v>19</v>
      </c>
      <c r="S19" s="268"/>
      <c r="T19" s="267">
        <v>1</v>
      </c>
      <c r="U19" s="268"/>
      <c r="V19" s="256">
        <f t="shared" si="1"/>
        <v>1</v>
      </c>
      <c r="W19" s="257"/>
      <c r="X19" s="256">
        <f t="shared" si="2"/>
        <v>49</v>
      </c>
      <c r="Y19" s="257"/>
      <c r="Z19" s="267"/>
      <c r="AA19" s="268"/>
      <c r="AB19" s="267"/>
      <c r="AC19" s="268"/>
      <c r="AD19" s="256"/>
      <c r="AE19" s="257"/>
      <c r="AF19" s="19"/>
      <c r="AG19" s="20"/>
      <c r="AH19" s="20">
        <v>3</v>
      </c>
      <c r="AI19" s="20">
        <v>3</v>
      </c>
      <c r="AJ19" s="20">
        <v>3</v>
      </c>
      <c r="AK19" s="20"/>
      <c r="AL19" s="20"/>
      <c r="AM19" s="20"/>
      <c r="AN19" s="20"/>
      <c r="AO19" s="21"/>
      <c r="AP19" s="264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  <c r="BD19" s="266"/>
      <c r="BE19" s="11"/>
    </row>
    <row r="20" spans="1:58" s="13" customFormat="1" ht="15" customHeight="1">
      <c r="A20" s="10"/>
      <c r="B20" s="18">
        <f t="shared" si="0"/>
        <v>9</v>
      </c>
      <c r="C20" s="261" t="s">
        <v>191</v>
      </c>
      <c r="D20" s="262"/>
      <c r="E20" s="262"/>
      <c r="F20" s="262"/>
      <c r="G20" s="262"/>
      <c r="H20" s="262"/>
      <c r="I20" s="262"/>
      <c r="J20" s="262"/>
      <c r="K20" s="263"/>
      <c r="L20" s="261" t="s">
        <v>192</v>
      </c>
      <c r="M20" s="262"/>
      <c r="N20" s="262"/>
      <c r="O20" s="262"/>
      <c r="P20" s="262"/>
      <c r="Q20" s="263"/>
      <c r="R20" s="267" t="s">
        <v>19</v>
      </c>
      <c r="S20" s="268"/>
      <c r="T20" s="278">
        <v>2</v>
      </c>
      <c r="U20" s="279"/>
      <c r="V20" s="256">
        <f t="shared" si="1"/>
        <v>2</v>
      </c>
      <c r="W20" s="257"/>
      <c r="X20" s="256">
        <f t="shared" si="2"/>
        <v>50</v>
      </c>
      <c r="Y20" s="257"/>
      <c r="Z20" s="256" t="s">
        <v>180</v>
      </c>
      <c r="AA20" s="257"/>
      <c r="AB20" s="256"/>
      <c r="AC20" s="257"/>
      <c r="AD20" s="276">
        <v>6</v>
      </c>
      <c r="AE20" s="277"/>
      <c r="AF20" s="19"/>
      <c r="AG20" s="20">
        <v>1</v>
      </c>
      <c r="AH20" s="20"/>
      <c r="AI20" s="20"/>
      <c r="AJ20" s="20"/>
      <c r="AK20" s="20"/>
      <c r="AL20" s="20"/>
      <c r="AM20" s="20"/>
      <c r="AN20" s="20"/>
      <c r="AO20" s="21"/>
      <c r="AP20" s="264"/>
      <c r="AQ20" s="265"/>
      <c r="AR20" s="265"/>
      <c r="AS20" s="265"/>
      <c r="AT20" s="265"/>
      <c r="AU20" s="265"/>
      <c r="AV20" s="265"/>
      <c r="AW20" s="265"/>
      <c r="AX20" s="265"/>
      <c r="AY20" s="265"/>
      <c r="AZ20" s="265"/>
      <c r="BA20" s="265"/>
      <c r="BB20" s="265"/>
      <c r="BC20" s="265"/>
      <c r="BD20" s="266"/>
      <c r="BE20" s="11"/>
      <c r="BF20" s="23" t="s">
        <v>189</v>
      </c>
    </row>
    <row r="21" spans="1:58" s="13" customFormat="1" ht="15" customHeight="1">
      <c r="A21" s="10"/>
      <c r="B21" s="18">
        <f t="shared" si="0"/>
        <v>10</v>
      </c>
      <c r="C21" s="261" t="s">
        <v>193</v>
      </c>
      <c r="D21" s="262"/>
      <c r="E21" s="262"/>
      <c r="F21" s="262"/>
      <c r="G21" s="262"/>
      <c r="H21" s="262"/>
      <c r="I21" s="262"/>
      <c r="J21" s="262"/>
      <c r="K21" s="263"/>
      <c r="L21" s="261" t="s">
        <v>194</v>
      </c>
      <c r="M21" s="262"/>
      <c r="N21" s="262"/>
      <c r="O21" s="262"/>
      <c r="P21" s="262"/>
      <c r="Q21" s="263"/>
      <c r="R21" s="267">
        <v>9</v>
      </c>
      <c r="S21" s="268"/>
      <c r="T21" s="278">
        <v>8</v>
      </c>
      <c r="U21" s="279"/>
      <c r="V21" s="256">
        <f t="shared" si="1"/>
        <v>8</v>
      </c>
      <c r="W21" s="257"/>
      <c r="X21" s="256">
        <f t="shared" si="2"/>
        <v>52</v>
      </c>
      <c r="Y21" s="257"/>
      <c r="Z21" s="256" t="s">
        <v>180</v>
      </c>
      <c r="AA21" s="257"/>
      <c r="AB21" s="256"/>
      <c r="AC21" s="257"/>
      <c r="AD21" s="276">
        <v>5</v>
      </c>
      <c r="AE21" s="277"/>
      <c r="AF21" s="19">
        <v>5</v>
      </c>
      <c r="AG21" s="20"/>
      <c r="AH21" s="20"/>
      <c r="AI21" s="20"/>
      <c r="AJ21" s="20"/>
      <c r="AK21" s="20"/>
      <c r="AL21" s="20"/>
      <c r="AM21" s="20"/>
      <c r="AN21" s="20"/>
      <c r="AO21" s="21"/>
      <c r="AP21" s="264"/>
      <c r="AQ21" s="265"/>
      <c r="AR21" s="265"/>
      <c r="AS21" s="265"/>
      <c r="AT21" s="265"/>
      <c r="AU21" s="265"/>
      <c r="AV21" s="265"/>
      <c r="AW21" s="265"/>
      <c r="AX21" s="265"/>
      <c r="AY21" s="265"/>
      <c r="AZ21" s="265"/>
      <c r="BA21" s="265"/>
      <c r="BB21" s="265"/>
      <c r="BC21" s="265"/>
      <c r="BD21" s="266"/>
      <c r="BE21" s="11"/>
      <c r="BF21" s="23" t="s">
        <v>189</v>
      </c>
    </row>
    <row r="22" spans="1:58" s="13" customFormat="1" ht="15" customHeight="1">
      <c r="A22" s="10"/>
      <c r="B22" s="18">
        <f t="shared" si="0"/>
        <v>11</v>
      </c>
      <c r="C22" s="261" t="s">
        <v>195</v>
      </c>
      <c r="D22" s="262"/>
      <c r="E22" s="262"/>
      <c r="F22" s="262"/>
      <c r="G22" s="262"/>
      <c r="H22" s="262"/>
      <c r="I22" s="262"/>
      <c r="J22" s="262"/>
      <c r="K22" s="263"/>
      <c r="L22" s="261" t="s">
        <v>196</v>
      </c>
      <c r="M22" s="262"/>
      <c r="N22" s="262"/>
      <c r="O22" s="262"/>
      <c r="P22" s="262"/>
      <c r="Q22" s="263"/>
      <c r="R22" s="267" t="s">
        <v>19</v>
      </c>
      <c r="S22" s="268"/>
      <c r="T22" s="278">
        <v>1</v>
      </c>
      <c r="U22" s="279"/>
      <c r="V22" s="256">
        <f t="shared" si="1"/>
        <v>1</v>
      </c>
      <c r="W22" s="257"/>
      <c r="X22" s="256">
        <f t="shared" si="2"/>
        <v>60</v>
      </c>
      <c r="Y22" s="257"/>
      <c r="Z22" s="256" t="s">
        <v>180</v>
      </c>
      <c r="AA22" s="257"/>
      <c r="AB22" s="256"/>
      <c r="AC22" s="257"/>
      <c r="AD22" s="256">
        <v>2</v>
      </c>
      <c r="AE22" s="257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264"/>
      <c r="AQ22" s="265"/>
      <c r="AR22" s="265"/>
      <c r="AS22" s="265"/>
      <c r="AT22" s="265"/>
      <c r="AU22" s="265"/>
      <c r="AV22" s="265"/>
      <c r="AW22" s="265"/>
      <c r="AX22" s="265"/>
      <c r="AY22" s="265"/>
      <c r="AZ22" s="265"/>
      <c r="BA22" s="265"/>
      <c r="BB22" s="265"/>
      <c r="BC22" s="265"/>
      <c r="BD22" s="266"/>
      <c r="BE22" s="11"/>
    </row>
    <row r="23" spans="1:58" s="13" customFormat="1" ht="15" customHeight="1">
      <c r="A23" s="10"/>
      <c r="B23" s="18">
        <f t="shared" si="0"/>
        <v>12</v>
      </c>
      <c r="C23" s="261" t="s">
        <v>197</v>
      </c>
      <c r="D23" s="262"/>
      <c r="E23" s="262"/>
      <c r="F23" s="262"/>
      <c r="G23" s="262"/>
      <c r="H23" s="262"/>
      <c r="I23" s="262"/>
      <c r="J23" s="262"/>
      <c r="K23" s="263"/>
      <c r="L23" s="261" t="s">
        <v>198</v>
      </c>
      <c r="M23" s="262"/>
      <c r="N23" s="262"/>
      <c r="O23" s="262"/>
      <c r="P23" s="262"/>
      <c r="Q23" s="263"/>
      <c r="R23" s="267" t="s">
        <v>19</v>
      </c>
      <c r="S23" s="268"/>
      <c r="T23" s="278">
        <v>2</v>
      </c>
      <c r="U23" s="279"/>
      <c r="V23" s="256">
        <f t="shared" si="1"/>
        <v>2</v>
      </c>
      <c r="W23" s="257"/>
      <c r="X23" s="256">
        <f t="shared" si="2"/>
        <v>61</v>
      </c>
      <c r="Y23" s="257"/>
      <c r="Z23" s="256"/>
      <c r="AA23" s="257"/>
      <c r="AB23" s="256"/>
      <c r="AC23" s="257"/>
      <c r="AD23" s="256"/>
      <c r="AE23" s="257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264"/>
      <c r="AQ23" s="265"/>
      <c r="AR23" s="265"/>
      <c r="AS23" s="265"/>
      <c r="AT23" s="265"/>
      <c r="AU23" s="265"/>
      <c r="AV23" s="265"/>
      <c r="AW23" s="265"/>
      <c r="AX23" s="265"/>
      <c r="AY23" s="265"/>
      <c r="AZ23" s="265"/>
      <c r="BA23" s="265"/>
      <c r="BB23" s="265"/>
      <c r="BC23" s="265"/>
      <c r="BD23" s="266"/>
      <c r="BE23" s="11"/>
    </row>
    <row r="24" spans="1:58" s="13" customFormat="1" ht="15" customHeight="1">
      <c r="A24" s="10"/>
      <c r="B24" s="18">
        <f t="shared" si="0"/>
        <v>13</v>
      </c>
      <c r="C24" s="261" t="s">
        <v>199</v>
      </c>
      <c r="D24" s="262"/>
      <c r="E24" s="262"/>
      <c r="F24" s="262"/>
      <c r="G24" s="262"/>
      <c r="H24" s="262"/>
      <c r="I24" s="262"/>
      <c r="J24" s="262"/>
      <c r="K24" s="263"/>
      <c r="L24" s="261" t="s">
        <v>200</v>
      </c>
      <c r="M24" s="262"/>
      <c r="N24" s="262"/>
      <c r="O24" s="262"/>
      <c r="P24" s="262"/>
      <c r="Q24" s="263"/>
      <c r="R24" s="267" t="s">
        <v>19</v>
      </c>
      <c r="S24" s="268"/>
      <c r="T24" s="278">
        <v>2</v>
      </c>
      <c r="U24" s="279"/>
      <c r="V24" s="256">
        <f t="shared" si="1"/>
        <v>2</v>
      </c>
      <c r="W24" s="257"/>
      <c r="X24" s="256">
        <f t="shared" si="2"/>
        <v>63</v>
      </c>
      <c r="Y24" s="257"/>
      <c r="Z24" s="256"/>
      <c r="AA24" s="257"/>
      <c r="AB24" s="256"/>
      <c r="AC24" s="257"/>
      <c r="AD24" s="256"/>
      <c r="AE24" s="257"/>
      <c r="AF24" s="19"/>
      <c r="AG24" s="20"/>
      <c r="AH24" s="20"/>
      <c r="AI24" s="20"/>
      <c r="AJ24" s="20"/>
      <c r="AK24" s="20"/>
      <c r="AL24" s="20"/>
      <c r="AM24" s="20"/>
      <c r="AN24" s="20">
        <v>5</v>
      </c>
      <c r="AO24" s="21"/>
      <c r="AP24" s="264"/>
      <c r="AQ24" s="265"/>
      <c r="AR24" s="265"/>
      <c r="AS24" s="265"/>
      <c r="AT24" s="265"/>
      <c r="AU24" s="265"/>
      <c r="AV24" s="265"/>
      <c r="AW24" s="265"/>
      <c r="AX24" s="265"/>
      <c r="AY24" s="265"/>
      <c r="AZ24" s="265"/>
      <c r="BA24" s="265"/>
      <c r="BB24" s="265"/>
      <c r="BC24" s="265"/>
      <c r="BD24" s="266"/>
      <c r="BE24" s="11"/>
    </row>
    <row r="25" spans="1:58" s="13" customFormat="1" ht="15" customHeight="1">
      <c r="A25" s="10"/>
      <c r="B25" s="18">
        <f t="shared" si="0"/>
        <v>14</v>
      </c>
      <c r="C25" s="261" t="s">
        <v>60</v>
      </c>
      <c r="D25" s="262"/>
      <c r="E25" s="262"/>
      <c r="F25" s="262"/>
      <c r="G25" s="262"/>
      <c r="H25" s="262"/>
      <c r="I25" s="262"/>
      <c r="J25" s="262"/>
      <c r="K25" s="263"/>
      <c r="L25" s="261" t="s">
        <v>61</v>
      </c>
      <c r="M25" s="262"/>
      <c r="N25" s="262"/>
      <c r="O25" s="262"/>
      <c r="P25" s="262"/>
      <c r="Q25" s="263"/>
      <c r="R25" s="267" t="s">
        <v>19</v>
      </c>
      <c r="S25" s="268"/>
      <c r="T25" s="278">
        <v>4</v>
      </c>
      <c r="U25" s="279"/>
      <c r="V25" s="256">
        <f t="shared" si="1"/>
        <v>4</v>
      </c>
      <c r="W25" s="257"/>
      <c r="X25" s="256">
        <f t="shared" si="2"/>
        <v>65</v>
      </c>
      <c r="Y25" s="257"/>
      <c r="Z25" s="256"/>
      <c r="AA25" s="257"/>
      <c r="AB25" s="256"/>
      <c r="AC25" s="257"/>
      <c r="AD25" s="256"/>
      <c r="AE25" s="257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264"/>
      <c r="AQ25" s="265"/>
      <c r="AR25" s="265"/>
      <c r="AS25" s="265"/>
      <c r="AT25" s="265"/>
      <c r="AU25" s="265"/>
      <c r="AV25" s="265"/>
      <c r="AW25" s="265"/>
      <c r="AX25" s="265"/>
      <c r="AY25" s="265"/>
      <c r="AZ25" s="265"/>
      <c r="BA25" s="265"/>
      <c r="BB25" s="265"/>
      <c r="BC25" s="265"/>
      <c r="BD25" s="266"/>
      <c r="BE25" s="11"/>
    </row>
    <row r="26" spans="1:58" s="13" customFormat="1" ht="15" customHeight="1">
      <c r="A26" s="10"/>
      <c r="B26" s="18">
        <f t="shared" si="0"/>
        <v>15</v>
      </c>
      <c r="C26" s="261" t="s">
        <v>201</v>
      </c>
      <c r="D26" s="262"/>
      <c r="E26" s="262"/>
      <c r="F26" s="262"/>
      <c r="G26" s="262"/>
      <c r="H26" s="262"/>
      <c r="I26" s="262"/>
      <c r="J26" s="262"/>
      <c r="K26" s="263"/>
      <c r="L26" s="261" t="s">
        <v>202</v>
      </c>
      <c r="M26" s="262"/>
      <c r="N26" s="262"/>
      <c r="O26" s="262"/>
      <c r="P26" s="262"/>
      <c r="Q26" s="263"/>
      <c r="R26" s="267" t="s">
        <v>19</v>
      </c>
      <c r="S26" s="268"/>
      <c r="T26" s="278">
        <v>1</v>
      </c>
      <c r="U26" s="279"/>
      <c r="V26" s="256">
        <f t="shared" si="1"/>
        <v>1</v>
      </c>
      <c r="W26" s="257"/>
      <c r="X26" s="256">
        <f t="shared" si="2"/>
        <v>69</v>
      </c>
      <c r="Y26" s="257"/>
      <c r="Z26" s="256" t="s">
        <v>180</v>
      </c>
      <c r="AA26" s="257"/>
      <c r="AB26" s="256"/>
      <c r="AC26" s="257"/>
      <c r="AD26" s="276">
        <v>7</v>
      </c>
      <c r="AE26" s="277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264"/>
      <c r="AQ26" s="265"/>
      <c r="AR26" s="265"/>
      <c r="AS26" s="265"/>
      <c r="AT26" s="265"/>
      <c r="AU26" s="265"/>
      <c r="AV26" s="265"/>
      <c r="AW26" s="265"/>
      <c r="AX26" s="265"/>
      <c r="AY26" s="265"/>
      <c r="AZ26" s="265"/>
      <c r="BA26" s="265"/>
      <c r="BB26" s="265"/>
      <c r="BC26" s="265"/>
      <c r="BD26" s="266"/>
      <c r="BE26" s="11"/>
      <c r="BF26" s="23" t="s">
        <v>189</v>
      </c>
    </row>
    <row r="27" spans="1:58" s="13" customFormat="1" ht="15" customHeight="1">
      <c r="A27" s="10"/>
      <c r="B27" s="18">
        <f t="shared" si="0"/>
        <v>16</v>
      </c>
      <c r="C27" s="261" t="s">
        <v>203</v>
      </c>
      <c r="D27" s="262"/>
      <c r="E27" s="262"/>
      <c r="F27" s="262"/>
      <c r="G27" s="262"/>
      <c r="H27" s="262"/>
      <c r="I27" s="262"/>
      <c r="J27" s="262"/>
      <c r="K27" s="263"/>
      <c r="L27" s="261" t="s">
        <v>204</v>
      </c>
      <c r="M27" s="262"/>
      <c r="N27" s="262"/>
      <c r="O27" s="262"/>
      <c r="P27" s="262"/>
      <c r="Q27" s="263"/>
      <c r="R27" s="267" t="s">
        <v>19</v>
      </c>
      <c r="S27" s="268"/>
      <c r="T27" s="278">
        <v>1</v>
      </c>
      <c r="U27" s="279"/>
      <c r="V27" s="256">
        <f t="shared" si="1"/>
        <v>1</v>
      </c>
      <c r="W27" s="257"/>
      <c r="X27" s="256">
        <f t="shared" si="2"/>
        <v>70</v>
      </c>
      <c r="Y27" s="257"/>
      <c r="Z27" s="256"/>
      <c r="AA27" s="257"/>
      <c r="AB27" s="256"/>
      <c r="AC27" s="257"/>
      <c r="AD27" s="256"/>
      <c r="AE27" s="257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264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6"/>
      <c r="BE27" s="11"/>
    </row>
    <row r="28" spans="1:58" s="13" customFormat="1" ht="15" customHeight="1">
      <c r="A28" s="10"/>
      <c r="B28" s="18">
        <f t="shared" si="0"/>
        <v>17</v>
      </c>
      <c r="C28" s="261" t="s">
        <v>205</v>
      </c>
      <c r="D28" s="262"/>
      <c r="E28" s="262"/>
      <c r="F28" s="262"/>
      <c r="G28" s="262"/>
      <c r="H28" s="262"/>
      <c r="I28" s="262"/>
      <c r="J28" s="262"/>
      <c r="K28" s="263"/>
      <c r="L28" s="261" t="s">
        <v>206</v>
      </c>
      <c r="M28" s="262"/>
      <c r="N28" s="262"/>
      <c r="O28" s="262"/>
      <c r="P28" s="262"/>
      <c r="Q28" s="263"/>
      <c r="R28" s="267" t="s">
        <v>19</v>
      </c>
      <c r="S28" s="268"/>
      <c r="T28" s="278">
        <v>8</v>
      </c>
      <c r="U28" s="279"/>
      <c r="V28" s="256">
        <f t="shared" si="1"/>
        <v>8</v>
      </c>
      <c r="W28" s="257"/>
      <c r="X28" s="256">
        <f t="shared" si="2"/>
        <v>71</v>
      </c>
      <c r="Y28" s="257"/>
      <c r="Z28" s="256" t="s">
        <v>180</v>
      </c>
      <c r="AA28" s="257"/>
      <c r="AB28" s="256"/>
      <c r="AC28" s="257"/>
      <c r="AD28" s="276">
        <v>8</v>
      </c>
      <c r="AE28" s="277"/>
      <c r="AF28" s="19">
        <v>6</v>
      </c>
      <c r="AG28" s="20"/>
      <c r="AH28" s="20"/>
      <c r="AI28" s="20"/>
      <c r="AJ28" s="20"/>
      <c r="AK28" s="20"/>
      <c r="AL28" s="20"/>
      <c r="AM28" s="20"/>
      <c r="AN28" s="20"/>
      <c r="AO28" s="21"/>
      <c r="AP28" s="264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  <c r="BD28" s="266"/>
      <c r="BE28" s="11"/>
      <c r="BF28" s="23" t="s">
        <v>189</v>
      </c>
    </row>
    <row r="29" spans="1:58" s="13" customFormat="1" ht="15" customHeight="1">
      <c r="A29" s="10"/>
      <c r="B29" s="18">
        <f t="shared" si="0"/>
        <v>18</v>
      </c>
      <c r="C29" s="261" t="s">
        <v>207</v>
      </c>
      <c r="D29" s="262"/>
      <c r="E29" s="262"/>
      <c r="F29" s="262"/>
      <c r="G29" s="262"/>
      <c r="H29" s="262"/>
      <c r="I29" s="262"/>
      <c r="J29" s="262"/>
      <c r="K29" s="263"/>
      <c r="L29" s="261" t="s">
        <v>208</v>
      </c>
      <c r="M29" s="262"/>
      <c r="N29" s="262"/>
      <c r="O29" s="262"/>
      <c r="P29" s="262"/>
      <c r="Q29" s="263"/>
      <c r="R29" s="267" t="s">
        <v>19</v>
      </c>
      <c r="S29" s="268"/>
      <c r="T29" s="278">
        <v>5</v>
      </c>
      <c r="U29" s="279"/>
      <c r="V29" s="256">
        <f t="shared" si="1"/>
        <v>5</v>
      </c>
      <c r="W29" s="257"/>
      <c r="X29" s="256">
        <f t="shared" si="2"/>
        <v>79</v>
      </c>
      <c r="Y29" s="257"/>
      <c r="Z29" s="256"/>
      <c r="AA29" s="257"/>
      <c r="AB29" s="256"/>
      <c r="AC29" s="257"/>
      <c r="AD29" s="256"/>
      <c r="AE29" s="257"/>
      <c r="AF29" s="19">
        <v>7</v>
      </c>
      <c r="AG29" s="20"/>
      <c r="AH29" s="20"/>
      <c r="AI29" s="20">
        <v>6</v>
      </c>
      <c r="AJ29" s="20">
        <v>6</v>
      </c>
      <c r="AK29" s="20">
        <v>3</v>
      </c>
      <c r="AL29" s="20">
        <v>4</v>
      </c>
      <c r="AM29" s="20">
        <v>4</v>
      </c>
      <c r="AN29" s="20">
        <v>4</v>
      </c>
      <c r="AO29" s="21">
        <v>4</v>
      </c>
      <c r="AP29" s="264"/>
      <c r="AQ29" s="265"/>
      <c r="AR29" s="265"/>
      <c r="AS29" s="265"/>
      <c r="AT29" s="265"/>
      <c r="AU29" s="265"/>
      <c r="AV29" s="265"/>
      <c r="AW29" s="265"/>
      <c r="AX29" s="265"/>
      <c r="AY29" s="265"/>
      <c r="AZ29" s="265"/>
      <c r="BA29" s="265"/>
      <c r="BB29" s="265"/>
      <c r="BC29" s="265"/>
      <c r="BD29" s="266"/>
      <c r="BE29" s="11"/>
    </row>
    <row r="30" spans="1:58" s="13" customFormat="1" ht="15" customHeight="1">
      <c r="A30" s="10"/>
      <c r="B30" s="18">
        <f t="shared" si="0"/>
        <v>19</v>
      </c>
      <c r="C30" s="261" t="s">
        <v>209</v>
      </c>
      <c r="D30" s="262"/>
      <c r="E30" s="262"/>
      <c r="F30" s="262"/>
      <c r="G30" s="262"/>
      <c r="H30" s="262"/>
      <c r="I30" s="262"/>
      <c r="J30" s="262"/>
      <c r="K30" s="263"/>
      <c r="L30" s="261" t="s">
        <v>210</v>
      </c>
      <c r="M30" s="262"/>
      <c r="N30" s="262"/>
      <c r="O30" s="262"/>
      <c r="P30" s="262"/>
      <c r="Q30" s="263"/>
      <c r="R30" s="267" t="s">
        <v>150</v>
      </c>
      <c r="S30" s="268"/>
      <c r="T30" s="278">
        <v>30</v>
      </c>
      <c r="U30" s="279"/>
      <c r="V30" s="256">
        <f t="shared" si="1"/>
        <v>60</v>
      </c>
      <c r="W30" s="257"/>
      <c r="X30" s="256">
        <f t="shared" si="2"/>
        <v>84</v>
      </c>
      <c r="Y30" s="257"/>
      <c r="Z30" s="256"/>
      <c r="AA30" s="257"/>
      <c r="AB30" s="256"/>
      <c r="AC30" s="257"/>
      <c r="AD30" s="256"/>
      <c r="AE30" s="257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264"/>
      <c r="AQ30" s="265"/>
      <c r="AR30" s="265"/>
      <c r="AS30" s="265"/>
      <c r="AT30" s="265"/>
      <c r="AU30" s="265"/>
      <c r="AV30" s="265"/>
      <c r="AW30" s="265"/>
      <c r="AX30" s="265"/>
      <c r="AY30" s="265"/>
      <c r="AZ30" s="265"/>
      <c r="BA30" s="265"/>
      <c r="BB30" s="265"/>
      <c r="BC30" s="265"/>
      <c r="BD30" s="266"/>
      <c r="BE30" s="11"/>
    </row>
    <row r="31" spans="1:58" s="13" customFormat="1" ht="15" customHeight="1">
      <c r="A31" s="10"/>
      <c r="B31" s="18">
        <f t="shared" si="0"/>
        <v>20</v>
      </c>
      <c r="C31" s="261" t="s">
        <v>211</v>
      </c>
      <c r="D31" s="262"/>
      <c r="E31" s="262"/>
      <c r="F31" s="262"/>
      <c r="G31" s="262"/>
      <c r="H31" s="262"/>
      <c r="I31" s="262"/>
      <c r="J31" s="262"/>
      <c r="K31" s="263"/>
      <c r="L31" s="261" t="s">
        <v>212</v>
      </c>
      <c r="M31" s="262"/>
      <c r="N31" s="262"/>
      <c r="O31" s="262"/>
      <c r="P31" s="262"/>
      <c r="Q31" s="263"/>
      <c r="R31" s="267" t="s">
        <v>19</v>
      </c>
      <c r="S31" s="268"/>
      <c r="T31" s="278">
        <v>1</v>
      </c>
      <c r="U31" s="279"/>
      <c r="V31" s="256">
        <f t="shared" si="1"/>
        <v>1</v>
      </c>
      <c r="W31" s="257"/>
      <c r="X31" s="256">
        <f t="shared" si="2"/>
        <v>144</v>
      </c>
      <c r="Y31" s="257"/>
      <c r="Z31" s="256"/>
      <c r="AA31" s="257"/>
      <c r="AB31" s="256"/>
      <c r="AC31" s="257"/>
      <c r="AD31" s="256"/>
      <c r="AE31" s="257"/>
      <c r="AF31" s="19"/>
      <c r="AG31" s="20"/>
      <c r="AH31" s="20">
        <v>2</v>
      </c>
      <c r="AI31" s="20">
        <v>2</v>
      </c>
      <c r="AJ31" s="20">
        <v>2</v>
      </c>
      <c r="AK31" s="20"/>
      <c r="AL31" s="20"/>
      <c r="AM31" s="20"/>
      <c r="AN31" s="20"/>
      <c r="AO31" s="21">
        <v>5</v>
      </c>
      <c r="AP31" s="264"/>
      <c r="AQ31" s="265"/>
      <c r="AR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  <c r="BD31" s="266"/>
      <c r="BE31" s="11"/>
    </row>
    <row r="32" spans="1:58" s="13" customFormat="1" ht="15" customHeight="1">
      <c r="A32" s="10"/>
      <c r="B32" s="18">
        <f t="shared" si="0"/>
        <v>21</v>
      </c>
      <c r="C32" s="261" t="s">
        <v>213</v>
      </c>
      <c r="D32" s="262"/>
      <c r="E32" s="262"/>
      <c r="F32" s="262"/>
      <c r="G32" s="262"/>
      <c r="H32" s="262"/>
      <c r="I32" s="262"/>
      <c r="J32" s="262"/>
      <c r="K32" s="263"/>
      <c r="L32" s="261" t="s">
        <v>214</v>
      </c>
      <c r="M32" s="262"/>
      <c r="N32" s="262"/>
      <c r="O32" s="262"/>
      <c r="P32" s="262"/>
      <c r="Q32" s="263"/>
      <c r="R32" s="267" t="s">
        <v>19</v>
      </c>
      <c r="S32" s="268"/>
      <c r="T32" s="278">
        <v>1</v>
      </c>
      <c r="U32" s="279"/>
      <c r="V32" s="256">
        <f t="shared" si="1"/>
        <v>1</v>
      </c>
      <c r="W32" s="257"/>
      <c r="X32" s="256">
        <f t="shared" si="2"/>
        <v>145</v>
      </c>
      <c r="Y32" s="257"/>
      <c r="Z32" s="256"/>
      <c r="AA32" s="257"/>
      <c r="AB32" s="256"/>
      <c r="AC32" s="257"/>
      <c r="AD32" s="256"/>
      <c r="AE32" s="257"/>
      <c r="AF32" s="19"/>
      <c r="AG32" s="20"/>
      <c r="AH32" s="20"/>
      <c r="AI32" s="20"/>
      <c r="AJ32" s="20"/>
      <c r="AK32" s="20"/>
      <c r="AL32" s="20"/>
      <c r="AM32" s="20">
        <v>6</v>
      </c>
      <c r="AN32" s="20">
        <v>6</v>
      </c>
      <c r="AO32" s="21"/>
      <c r="AP32" s="264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  <c r="BD32" s="266"/>
      <c r="BE32" s="11"/>
    </row>
    <row r="33" spans="1:58" s="13" customFormat="1" ht="15" customHeight="1">
      <c r="A33" s="10"/>
      <c r="B33" s="18">
        <f t="shared" si="0"/>
        <v>22</v>
      </c>
      <c r="C33" s="261" t="s">
        <v>215</v>
      </c>
      <c r="D33" s="262"/>
      <c r="E33" s="262"/>
      <c r="F33" s="262"/>
      <c r="G33" s="262"/>
      <c r="H33" s="262"/>
      <c r="I33" s="262"/>
      <c r="J33" s="262"/>
      <c r="K33" s="263"/>
      <c r="L33" s="261" t="s">
        <v>216</v>
      </c>
      <c r="M33" s="262"/>
      <c r="N33" s="262"/>
      <c r="O33" s="262"/>
      <c r="P33" s="262"/>
      <c r="Q33" s="263"/>
      <c r="R33" s="267" t="s">
        <v>19</v>
      </c>
      <c r="S33" s="268"/>
      <c r="T33" s="278">
        <v>1</v>
      </c>
      <c r="U33" s="279"/>
      <c r="V33" s="256">
        <f t="shared" si="1"/>
        <v>1</v>
      </c>
      <c r="W33" s="257"/>
      <c r="X33" s="256">
        <f t="shared" si="2"/>
        <v>146</v>
      </c>
      <c r="Y33" s="257"/>
      <c r="Z33" s="256"/>
      <c r="AA33" s="257"/>
      <c r="AB33" s="256"/>
      <c r="AC33" s="257"/>
      <c r="AD33" s="256"/>
      <c r="AE33" s="257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264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6"/>
      <c r="BE33" s="11"/>
    </row>
    <row r="34" spans="1:58" s="13" customFormat="1" ht="15" customHeight="1">
      <c r="A34" s="10"/>
      <c r="B34" s="18">
        <f t="shared" si="0"/>
        <v>23</v>
      </c>
      <c r="C34" s="261" t="s">
        <v>217</v>
      </c>
      <c r="D34" s="262"/>
      <c r="E34" s="262"/>
      <c r="F34" s="262"/>
      <c r="G34" s="262"/>
      <c r="H34" s="262"/>
      <c r="I34" s="262"/>
      <c r="J34" s="262"/>
      <c r="K34" s="263"/>
      <c r="L34" s="261" t="s">
        <v>218</v>
      </c>
      <c r="M34" s="262"/>
      <c r="N34" s="262"/>
      <c r="O34" s="262"/>
      <c r="P34" s="262"/>
      <c r="Q34" s="263"/>
      <c r="R34" s="267" t="s">
        <v>19</v>
      </c>
      <c r="S34" s="268"/>
      <c r="T34" s="278">
        <v>1</v>
      </c>
      <c r="U34" s="279"/>
      <c r="V34" s="256">
        <f t="shared" si="1"/>
        <v>1</v>
      </c>
      <c r="W34" s="257"/>
      <c r="X34" s="256">
        <f t="shared" si="2"/>
        <v>147</v>
      </c>
      <c r="Y34" s="257"/>
      <c r="Z34" s="256"/>
      <c r="AA34" s="257"/>
      <c r="AB34" s="256"/>
      <c r="AC34" s="257"/>
      <c r="AD34" s="256"/>
      <c r="AE34" s="257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264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6"/>
      <c r="BE34" s="11"/>
    </row>
    <row r="35" spans="1:58" s="13" customFormat="1" ht="15" customHeight="1">
      <c r="A35" s="10"/>
      <c r="B35" s="18">
        <f t="shared" si="0"/>
        <v>24</v>
      </c>
      <c r="C35" s="261" t="s">
        <v>219</v>
      </c>
      <c r="D35" s="262"/>
      <c r="E35" s="262"/>
      <c r="F35" s="262"/>
      <c r="G35" s="262"/>
      <c r="H35" s="262"/>
      <c r="I35" s="262"/>
      <c r="J35" s="262"/>
      <c r="K35" s="263"/>
      <c r="L35" s="261" t="s">
        <v>220</v>
      </c>
      <c r="M35" s="262"/>
      <c r="N35" s="262"/>
      <c r="O35" s="262"/>
      <c r="P35" s="262"/>
      <c r="Q35" s="263"/>
      <c r="R35" s="267" t="s">
        <v>19</v>
      </c>
      <c r="S35" s="268"/>
      <c r="T35" s="278">
        <v>4</v>
      </c>
      <c r="U35" s="279"/>
      <c r="V35" s="256">
        <f t="shared" si="1"/>
        <v>4</v>
      </c>
      <c r="W35" s="257"/>
      <c r="X35" s="256">
        <f t="shared" si="2"/>
        <v>148</v>
      </c>
      <c r="Y35" s="257"/>
      <c r="Z35" s="256"/>
      <c r="AA35" s="257"/>
      <c r="AB35" s="256"/>
      <c r="AC35" s="257"/>
      <c r="AD35" s="256"/>
      <c r="AE35" s="257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264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6"/>
      <c r="BE35" s="11"/>
    </row>
    <row r="36" spans="1:58" s="13" customFormat="1" ht="15" customHeight="1">
      <c r="A36" s="10"/>
      <c r="B36" s="18">
        <f t="shared" si="0"/>
        <v>25</v>
      </c>
      <c r="C36" s="261" t="s">
        <v>221</v>
      </c>
      <c r="D36" s="262"/>
      <c r="E36" s="262"/>
      <c r="F36" s="262"/>
      <c r="G36" s="262"/>
      <c r="H36" s="262"/>
      <c r="I36" s="262"/>
      <c r="J36" s="262"/>
      <c r="K36" s="263"/>
      <c r="L36" s="261" t="s">
        <v>222</v>
      </c>
      <c r="M36" s="262"/>
      <c r="N36" s="262"/>
      <c r="O36" s="262"/>
      <c r="P36" s="262"/>
      <c r="Q36" s="263"/>
      <c r="R36" s="267" t="s">
        <v>19</v>
      </c>
      <c r="S36" s="268"/>
      <c r="T36" s="278">
        <v>1</v>
      </c>
      <c r="U36" s="279"/>
      <c r="V36" s="256">
        <f t="shared" si="1"/>
        <v>1</v>
      </c>
      <c r="W36" s="257"/>
      <c r="X36" s="256">
        <f t="shared" si="2"/>
        <v>152</v>
      </c>
      <c r="Y36" s="257"/>
      <c r="Z36" s="256" t="s">
        <v>180</v>
      </c>
      <c r="AA36" s="257"/>
      <c r="AB36" s="256"/>
      <c r="AC36" s="257"/>
      <c r="AD36" s="276">
        <v>9</v>
      </c>
      <c r="AE36" s="277"/>
      <c r="AF36" s="19"/>
      <c r="AG36" s="20"/>
      <c r="AH36" s="20"/>
      <c r="AI36" s="20"/>
      <c r="AJ36" s="20"/>
      <c r="AK36" s="20"/>
      <c r="AL36" s="20"/>
      <c r="AM36" s="20">
        <v>5</v>
      </c>
      <c r="AN36" s="20"/>
      <c r="AO36" s="21"/>
      <c r="AP36" s="264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6"/>
      <c r="BE36" s="11"/>
      <c r="BF36" s="23" t="s">
        <v>189</v>
      </c>
    </row>
    <row r="37" spans="1:58" s="13" customFormat="1" ht="15" customHeight="1">
      <c r="A37" s="10"/>
      <c r="B37" s="18">
        <f t="shared" si="0"/>
        <v>26</v>
      </c>
      <c r="C37" s="261" t="s">
        <v>223</v>
      </c>
      <c r="D37" s="262"/>
      <c r="E37" s="262"/>
      <c r="F37" s="262"/>
      <c r="G37" s="262"/>
      <c r="H37" s="262"/>
      <c r="I37" s="262"/>
      <c r="J37" s="262"/>
      <c r="K37" s="263"/>
      <c r="L37" s="261" t="s">
        <v>224</v>
      </c>
      <c r="M37" s="262"/>
      <c r="N37" s="262"/>
      <c r="O37" s="262"/>
      <c r="P37" s="262"/>
      <c r="Q37" s="263"/>
      <c r="R37" s="267" t="s">
        <v>19</v>
      </c>
      <c r="S37" s="268"/>
      <c r="T37" s="278">
        <v>1</v>
      </c>
      <c r="U37" s="279"/>
      <c r="V37" s="256">
        <f t="shared" si="1"/>
        <v>1</v>
      </c>
      <c r="W37" s="257"/>
      <c r="X37" s="256">
        <f t="shared" si="2"/>
        <v>153</v>
      </c>
      <c r="Y37" s="257"/>
      <c r="Z37" s="256" t="s">
        <v>180</v>
      </c>
      <c r="AA37" s="257"/>
      <c r="AB37" s="256"/>
      <c r="AC37" s="257"/>
      <c r="AD37" s="276">
        <v>10</v>
      </c>
      <c r="AE37" s="277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264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6"/>
      <c r="BE37" s="11"/>
      <c r="BF37" s="23" t="s">
        <v>189</v>
      </c>
    </row>
    <row r="38" spans="1:58" s="13" customFormat="1" ht="15" customHeight="1">
      <c r="A38" s="10"/>
      <c r="B38" s="18">
        <f t="shared" si="0"/>
        <v>27</v>
      </c>
      <c r="C38" s="261" t="s">
        <v>225</v>
      </c>
      <c r="D38" s="262"/>
      <c r="E38" s="262"/>
      <c r="F38" s="262"/>
      <c r="G38" s="262"/>
      <c r="H38" s="262"/>
      <c r="I38" s="262"/>
      <c r="J38" s="262"/>
      <c r="K38" s="263"/>
      <c r="L38" s="261" t="s">
        <v>226</v>
      </c>
      <c r="M38" s="262"/>
      <c r="N38" s="262"/>
      <c r="O38" s="262"/>
      <c r="P38" s="262"/>
      <c r="Q38" s="263"/>
      <c r="R38" s="267" t="s">
        <v>19</v>
      </c>
      <c r="S38" s="268"/>
      <c r="T38" s="278">
        <v>4</v>
      </c>
      <c r="U38" s="279"/>
      <c r="V38" s="256">
        <f t="shared" si="1"/>
        <v>4</v>
      </c>
      <c r="W38" s="257"/>
      <c r="X38" s="256">
        <f t="shared" si="2"/>
        <v>154</v>
      </c>
      <c r="Y38" s="257"/>
      <c r="Z38" s="256"/>
      <c r="AA38" s="257"/>
      <c r="AB38" s="256"/>
      <c r="AC38" s="257"/>
      <c r="AD38" s="256"/>
      <c r="AE38" s="257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264"/>
      <c r="AQ38" s="265"/>
      <c r="AR38" s="265"/>
      <c r="AS38" s="265"/>
      <c r="AT38" s="265"/>
      <c r="AU38" s="265"/>
      <c r="AV38" s="265"/>
      <c r="AW38" s="265"/>
      <c r="AX38" s="265"/>
      <c r="AY38" s="265"/>
      <c r="AZ38" s="265"/>
      <c r="BA38" s="265"/>
      <c r="BB38" s="265"/>
      <c r="BC38" s="265"/>
      <c r="BD38" s="266"/>
      <c r="BE38" s="11"/>
    </row>
    <row r="39" spans="1:58" s="13" customFormat="1" ht="15" customHeight="1">
      <c r="A39" s="10"/>
      <c r="B39" s="18">
        <f t="shared" si="0"/>
        <v>28</v>
      </c>
      <c r="C39" s="261" t="s">
        <v>227</v>
      </c>
      <c r="D39" s="262"/>
      <c r="E39" s="262"/>
      <c r="F39" s="262"/>
      <c r="G39" s="262"/>
      <c r="H39" s="262"/>
      <c r="I39" s="262"/>
      <c r="J39" s="262"/>
      <c r="K39" s="263"/>
      <c r="L39" s="261" t="s">
        <v>228</v>
      </c>
      <c r="M39" s="262"/>
      <c r="N39" s="262"/>
      <c r="O39" s="262"/>
      <c r="P39" s="262"/>
      <c r="Q39" s="263"/>
      <c r="R39" s="267" t="s">
        <v>19</v>
      </c>
      <c r="S39" s="268"/>
      <c r="T39" s="278">
        <v>8</v>
      </c>
      <c r="U39" s="279"/>
      <c r="V39" s="256">
        <f t="shared" si="1"/>
        <v>8</v>
      </c>
      <c r="W39" s="257"/>
      <c r="X39" s="256">
        <f t="shared" si="2"/>
        <v>158</v>
      </c>
      <c r="Y39" s="257"/>
      <c r="Z39" s="256" t="s">
        <v>180</v>
      </c>
      <c r="AA39" s="257"/>
      <c r="AB39" s="256"/>
      <c r="AC39" s="257"/>
      <c r="AD39" s="276">
        <v>11</v>
      </c>
      <c r="AE39" s="277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264"/>
      <c r="AQ39" s="265"/>
      <c r="AR39" s="265"/>
      <c r="AS39" s="265"/>
      <c r="AT39" s="265"/>
      <c r="AU39" s="265"/>
      <c r="AV39" s="265"/>
      <c r="AW39" s="265"/>
      <c r="AX39" s="265"/>
      <c r="AY39" s="265"/>
      <c r="AZ39" s="265"/>
      <c r="BA39" s="265"/>
      <c r="BB39" s="265"/>
      <c r="BC39" s="265"/>
      <c r="BD39" s="266"/>
      <c r="BE39" s="11"/>
      <c r="BF39" s="23" t="s">
        <v>189</v>
      </c>
    </row>
    <row r="40" spans="1:58" s="13" customFormat="1" ht="15" customHeight="1">
      <c r="A40" s="10"/>
      <c r="B40" s="18">
        <f t="shared" si="0"/>
        <v>29</v>
      </c>
      <c r="C40" s="261" t="s">
        <v>229</v>
      </c>
      <c r="D40" s="262"/>
      <c r="E40" s="262"/>
      <c r="F40" s="262"/>
      <c r="G40" s="262"/>
      <c r="H40" s="262"/>
      <c r="I40" s="262"/>
      <c r="J40" s="262"/>
      <c r="K40" s="263"/>
      <c r="L40" s="261" t="s">
        <v>230</v>
      </c>
      <c r="M40" s="262"/>
      <c r="N40" s="262"/>
      <c r="O40" s="262"/>
      <c r="P40" s="262"/>
      <c r="Q40" s="263"/>
      <c r="R40" s="267" t="s">
        <v>19</v>
      </c>
      <c r="S40" s="268"/>
      <c r="T40" s="278">
        <v>1</v>
      </c>
      <c r="U40" s="279"/>
      <c r="V40" s="256">
        <f t="shared" si="1"/>
        <v>1</v>
      </c>
      <c r="W40" s="257"/>
      <c r="X40" s="256">
        <f t="shared" si="2"/>
        <v>166</v>
      </c>
      <c r="Y40" s="257"/>
      <c r="Z40" s="256"/>
      <c r="AA40" s="257"/>
      <c r="AB40" s="256"/>
      <c r="AC40" s="257"/>
      <c r="AD40" s="256"/>
      <c r="AE40" s="257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264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6"/>
      <c r="BE40" s="11"/>
    </row>
    <row r="41" spans="1:58" s="13" customFormat="1" ht="15" customHeight="1">
      <c r="A41" s="10"/>
      <c r="B41" s="18">
        <f t="shared" si="0"/>
        <v>30</v>
      </c>
      <c r="C41" s="261" t="s">
        <v>231</v>
      </c>
      <c r="D41" s="262"/>
      <c r="E41" s="262"/>
      <c r="F41" s="262"/>
      <c r="G41" s="262"/>
      <c r="H41" s="262"/>
      <c r="I41" s="262"/>
      <c r="J41" s="262"/>
      <c r="K41" s="263"/>
      <c r="L41" s="261" t="s">
        <v>232</v>
      </c>
      <c r="M41" s="262"/>
      <c r="N41" s="262"/>
      <c r="O41" s="262"/>
      <c r="P41" s="262"/>
      <c r="Q41" s="263"/>
      <c r="R41" s="267" t="s">
        <v>19</v>
      </c>
      <c r="S41" s="268"/>
      <c r="T41" s="278">
        <v>1</v>
      </c>
      <c r="U41" s="279"/>
      <c r="V41" s="256">
        <f t="shared" si="1"/>
        <v>1</v>
      </c>
      <c r="W41" s="257"/>
      <c r="X41" s="256">
        <f t="shared" si="2"/>
        <v>167</v>
      </c>
      <c r="Y41" s="257"/>
      <c r="Z41" s="256"/>
      <c r="AA41" s="257"/>
      <c r="AB41" s="256"/>
      <c r="AC41" s="257"/>
      <c r="AD41" s="256"/>
      <c r="AE41" s="257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264"/>
      <c r="AQ41" s="265"/>
      <c r="AR41" s="265"/>
      <c r="AS41" s="265"/>
      <c r="AT41" s="265"/>
      <c r="AU41" s="265"/>
      <c r="AV41" s="265"/>
      <c r="AW41" s="265"/>
      <c r="AX41" s="265"/>
      <c r="AY41" s="265"/>
      <c r="AZ41" s="265"/>
      <c r="BA41" s="265"/>
      <c r="BB41" s="265"/>
      <c r="BC41" s="265"/>
      <c r="BD41" s="266"/>
      <c r="BE41" s="11"/>
    </row>
    <row r="42" spans="1:58" s="13" customFormat="1" ht="15" customHeight="1">
      <c r="A42" s="10"/>
      <c r="B42" s="18">
        <f t="shared" si="0"/>
        <v>31</v>
      </c>
      <c r="C42" s="261" t="s">
        <v>233</v>
      </c>
      <c r="D42" s="262"/>
      <c r="E42" s="262"/>
      <c r="F42" s="262"/>
      <c r="G42" s="262"/>
      <c r="H42" s="262"/>
      <c r="I42" s="262"/>
      <c r="J42" s="262"/>
      <c r="K42" s="263"/>
      <c r="L42" s="261" t="s">
        <v>234</v>
      </c>
      <c r="M42" s="262"/>
      <c r="N42" s="262"/>
      <c r="O42" s="262"/>
      <c r="P42" s="262"/>
      <c r="Q42" s="263"/>
      <c r="R42" s="267" t="s">
        <v>19</v>
      </c>
      <c r="S42" s="268"/>
      <c r="T42" s="278">
        <v>2</v>
      </c>
      <c r="U42" s="279"/>
      <c r="V42" s="256">
        <f t="shared" si="1"/>
        <v>2</v>
      </c>
      <c r="W42" s="257"/>
      <c r="X42" s="256">
        <f t="shared" si="2"/>
        <v>168</v>
      </c>
      <c r="Y42" s="257"/>
      <c r="Z42" s="256"/>
      <c r="AA42" s="257"/>
      <c r="AB42" s="256"/>
      <c r="AC42" s="257"/>
      <c r="AD42" s="256"/>
      <c r="AE42" s="257"/>
      <c r="AF42" s="19"/>
      <c r="AG42" s="20"/>
      <c r="AH42" s="20"/>
      <c r="AI42" s="20"/>
      <c r="AJ42" s="20"/>
      <c r="AK42" s="20"/>
      <c r="AL42" s="20"/>
      <c r="AM42" s="20"/>
      <c r="AN42" s="20"/>
      <c r="AO42" s="21"/>
      <c r="AP42" s="264"/>
      <c r="AQ42" s="265"/>
      <c r="AR42" s="265"/>
      <c r="AS42" s="265"/>
      <c r="AT42" s="265"/>
      <c r="AU42" s="265"/>
      <c r="AV42" s="265"/>
      <c r="AW42" s="265"/>
      <c r="AX42" s="265"/>
      <c r="AY42" s="265"/>
      <c r="AZ42" s="265"/>
      <c r="BA42" s="265"/>
      <c r="BB42" s="265"/>
      <c r="BC42" s="265"/>
      <c r="BD42" s="266"/>
      <c r="BE42" s="11"/>
    </row>
    <row r="43" spans="1:58" s="13" customFormat="1" ht="15" customHeight="1">
      <c r="A43" s="10"/>
      <c r="B43" s="18">
        <f t="shared" si="0"/>
        <v>32</v>
      </c>
      <c r="C43" s="261" t="s">
        <v>235</v>
      </c>
      <c r="D43" s="262"/>
      <c r="E43" s="262"/>
      <c r="F43" s="262"/>
      <c r="G43" s="262"/>
      <c r="H43" s="262"/>
      <c r="I43" s="262"/>
      <c r="J43" s="262"/>
      <c r="K43" s="263"/>
      <c r="L43" s="261" t="s">
        <v>236</v>
      </c>
      <c r="M43" s="262"/>
      <c r="N43" s="262"/>
      <c r="O43" s="262"/>
      <c r="P43" s="262"/>
      <c r="Q43" s="263"/>
      <c r="R43" s="267" t="s">
        <v>19</v>
      </c>
      <c r="S43" s="268"/>
      <c r="T43" s="278">
        <v>2</v>
      </c>
      <c r="U43" s="279"/>
      <c r="V43" s="256">
        <f t="shared" si="1"/>
        <v>2</v>
      </c>
      <c r="W43" s="257"/>
      <c r="X43" s="256">
        <f t="shared" si="2"/>
        <v>170</v>
      </c>
      <c r="Y43" s="257"/>
      <c r="Z43" s="256"/>
      <c r="AA43" s="257"/>
      <c r="AB43" s="256"/>
      <c r="AC43" s="257"/>
      <c r="AD43" s="256"/>
      <c r="AE43" s="257"/>
      <c r="AF43" s="19"/>
      <c r="AG43" s="20"/>
      <c r="AH43" s="20"/>
      <c r="AI43" s="20"/>
      <c r="AJ43" s="20"/>
      <c r="AK43" s="20"/>
      <c r="AL43" s="20"/>
      <c r="AM43" s="20"/>
      <c r="AN43" s="20"/>
      <c r="AO43" s="21"/>
      <c r="AP43" s="264"/>
      <c r="AQ43" s="265"/>
      <c r="AR43" s="265"/>
      <c r="AS43" s="265"/>
      <c r="AT43" s="265"/>
      <c r="AU43" s="265"/>
      <c r="AV43" s="265"/>
      <c r="AW43" s="265"/>
      <c r="AX43" s="265"/>
      <c r="AY43" s="265"/>
      <c r="AZ43" s="265"/>
      <c r="BA43" s="265"/>
      <c r="BB43" s="265"/>
      <c r="BC43" s="265"/>
      <c r="BD43" s="266"/>
      <c r="BE43" s="11"/>
    </row>
    <row r="44" spans="1:58" s="13" customFormat="1" ht="15" customHeight="1">
      <c r="A44" s="10"/>
      <c r="B44" s="18">
        <f t="shared" si="0"/>
        <v>33</v>
      </c>
      <c r="C44" s="261" t="s">
        <v>237</v>
      </c>
      <c r="D44" s="262"/>
      <c r="E44" s="262"/>
      <c r="F44" s="262"/>
      <c r="G44" s="262"/>
      <c r="H44" s="262"/>
      <c r="I44" s="262"/>
      <c r="J44" s="262"/>
      <c r="K44" s="263"/>
      <c r="L44" s="261" t="s">
        <v>238</v>
      </c>
      <c r="M44" s="262"/>
      <c r="N44" s="262"/>
      <c r="O44" s="262"/>
      <c r="P44" s="262"/>
      <c r="Q44" s="263"/>
      <c r="R44" s="267" t="s">
        <v>19</v>
      </c>
      <c r="S44" s="268"/>
      <c r="T44" s="278">
        <v>2</v>
      </c>
      <c r="U44" s="279"/>
      <c r="V44" s="256">
        <f t="shared" si="1"/>
        <v>2</v>
      </c>
      <c r="W44" s="257"/>
      <c r="X44" s="256">
        <f t="shared" si="2"/>
        <v>172</v>
      </c>
      <c r="Y44" s="257"/>
      <c r="Z44" s="256"/>
      <c r="AA44" s="257"/>
      <c r="AB44" s="256"/>
      <c r="AC44" s="257"/>
      <c r="AD44" s="256"/>
      <c r="AE44" s="257"/>
      <c r="AF44" s="19"/>
      <c r="AG44" s="20"/>
      <c r="AH44" s="20"/>
      <c r="AI44" s="20"/>
      <c r="AJ44" s="20"/>
      <c r="AK44" s="20"/>
      <c r="AL44" s="20"/>
      <c r="AM44" s="20"/>
      <c r="AN44" s="20"/>
      <c r="AO44" s="21"/>
      <c r="AP44" s="264" t="s">
        <v>239</v>
      </c>
      <c r="AQ44" s="265"/>
      <c r="AR44" s="265"/>
      <c r="AS44" s="265"/>
      <c r="AT44" s="265"/>
      <c r="AU44" s="265"/>
      <c r="AV44" s="265"/>
      <c r="AW44" s="265"/>
      <c r="AX44" s="265"/>
      <c r="AY44" s="265"/>
      <c r="AZ44" s="265"/>
      <c r="BA44" s="265"/>
      <c r="BB44" s="265"/>
      <c r="BC44" s="265"/>
      <c r="BD44" s="266"/>
      <c r="BE44" s="11"/>
    </row>
    <row r="45" spans="1:58" s="13" customFormat="1" ht="15" customHeight="1">
      <c r="A45" s="10"/>
      <c r="B45" s="18">
        <f t="shared" si="0"/>
        <v>34</v>
      </c>
      <c r="C45" s="261" t="s">
        <v>240</v>
      </c>
      <c r="D45" s="262"/>
      <c r="E45" s="262"/>
      <c r="F45" s="262"/>
      <c r="G45" s="262"/>
      <c r="H45" s="262"/>
      <c r="I45" s="262"/>
      <c r="J45" s="262"/>
      <c r="K45" s="263"/>
      <c r="L45" s="261" t="s">
        <v>241</v>
      </c>
      <c r="M45" s="262"/>
      <c r="N45" s="262"/>
      <c r="O45" s="262"/>
      <c r="P45" s="262"/>
      <c r="Q45" s="263"/>
      <c r="R45" s="267" t="s">
        <v>19</v>
      </c>
      <c r="S45" s="268"/>
      <c r="T45" s="278">
        <v>1</v>
      </c>
      <c r="U45" s="279"/>
      <c r="V45" s="256">
        <f t="shared" si="1"/>
        <v>1</v>
      </c>
      <c r="W45" s="257"/>
      <c r="X45" s="256">
        <f t="shared" si="2"/>
        <v>174</v>
      </c>
      <c r="Y45" s="257"/>
      <c r="Z45" s="256"/>
      <c r="AA45" s="257"/>
      <c r="AB45" s="256"/>
      <c r="AC45" s="257"/>
      <c r="AD45" s="256"/>
      <c r="AE45" s="257"/>
      <c r="AF45" s="19"/>
      <c r="AG45" s="20"/>
      <c r="AH45" s="20"/>
      <c r="AI45" s="20"/>
      <c r="AJ45" s="20"/>
      <c r="AK45" s="20"/>
      <c r="AL45" s="20"/>
      <c r="AM45" s="20"/>
      <c r="AN45" s="20"/>
      <c r="AO45" s="21"/>
      <c r="AP45" s="264"/>
      <c r="AQ45" s="265"/>
      <c r="AR45" s="265"/>
      <c r="AS45" s="265"/>
      <c r="AT45" s="265"/>
      <c r="AU45" s="265"/>
      <c r="AV45" s="265"/>
      <c r="AW45" s="265"/>
      <c r="AX45" s="265"/>
      <c r="AY45" s="265"/>
      <c r="AZ45" s="265"/>
      <c r="BA45" s="265"/>
      <c r="BB45" s="265"/>
      <c r="BC45" s="265"/>
      <c r="BD45" s="266"/>
      <c r="BE45" s="11"/>
    </row>
    <row r="46" spans="1:58" s="13" customFormat="1" ht="15" customHeight="1">
      <c r="A46" s="10"/>
      <c r="B46" s="18">
        <f t="shared" si="0"/>
        <v>35</v>
      </c>
      <c r="C46" s="261" t="s">
        <v>242</v>
      </c>
      <c r="D46" s="262"/>
      <c r="E46" s="262"/>
      <c r="F46" s="262"/>
      <c r="G46" s="262"/>
      <c r="H46" s="262"/>
      <c r="I46" s="262"/>
      <c r="J46" s="262"/>
      <c r="K46" s="263"/>
      <c r="L46" s="261" t="s">
        <v>163</v>
      </c>
      <c r="M46" s="262"/>
      <c r="N46" s="262"/>
      <c r="O46" s="262"/>
      <c r="P46" s="262"/>
      <c r="Q46" s="263"/>
      <c r="R46" s="267" t="s">
        <v>19</v>
      </c>
      <c r="S46" s="268"/>
      <c r="T46" s="278">
        <v>8</v>
      </c>
      <c r="U46" s="279"/>
      <c r="V46" s="256">
        <f t="shared" si="1"/>
        <v>8</v>
      </c>
      <c r="W46" s="257"/>
      <c r="X46" s="256">
        <f t="shared" si="2"/>
        <v>175</v>
      </c>
      <c r="Y46" s="257"/>
      <c r="Z46" s="256"/>
      <c r="AA46" s="257"/>
      <c r="AB46" s="256"/>
      <c r="AC46" s="257"/>
      <c r="AD46" s="256"/>
      <c r="AE46" s="257"/>
      <c r="AF46" s="19"/>
      <c r="AG46" s="20"/>
      <c r="AH46" s="20"/>
      <c r="AI46" s="20"/>
      <c r="AJ46" s="20"/>
      <c r="AK46" s="20"/>
      <c r="AL46" s="20"/>
      <c r="AM46" s="20"/>
      <c r="AN46" s="20"/>
      <c r="AO46" s="21"/>
      <c r="AP46" s="264"/>
      <c r="AQ46" s="265"/>
      <c r="AR46" s="265"/>
      <c r="AS46" s="265"/>
      <c r="AT46" s="265"/>
      <c r="AU46" s="265"/>
      <c r="AV46" s="265"/>
      <c r="AW46" s="265"/>
      <c r="AX46" s="265"/>
      <c r="AY46" s="265"/>
      <c r="AZ46" s="265"/>
      <c r="BA46" s="265"/>
      <c r="BB46" s="265"/>
      <c r="BC46" s="265"/>
      <c r="BD46" s="266"/>
      <c r="BE46" s="11"/>
    </row>
    <row r="47" spans="1:58" s="13" customFormat="1" ht="15" customHeight="1">
      <c r="A47" s="10"/>
      <c r="B47" s="18">
        <f t="shared" si="0"/>
        <v>36</v>
      </c>
      <c r="C47" s="261" t="s">
        <v>243</v>
      </c>
      <c r="D47" s="262"/>
      <c r="E47" s="262"/>
      <c r="F47" s="262"/>
      <c r="G47" s="262"/>
      <c r="H47" s="262"/>
      <c r="I47" s="262"/>
      <c r="J47" s="262"/>
      <c r="K47" s="263"/>
      <c r="L47" s="261" t="s">
        <v>165</v>
      </c>
      <c r="M47" s="262"/>
      <c r="N47" s="262"/>
      <c r="O47" s="262"/>
      <c r="P47" s="262"/>
      <c r="Q47" s="263"/>
      <c r="R47" s="267" t="s">
        <v>19</v>
      </c>
      <c r="S47" s="268"/>
      <c r="T47" s="278">
        <v>8</v>
      </c>
      <c r="U47" s="279"/>
      <c r="V47" s="256">
        <f t="shared" si="1"/>
        <v>8</v>
      </c>
      <c r="W47" s="257"/>
      <c r="X47" s="256">
        <f t="shared" si="2"/>
        <v>183</v>
      </c>
      <c r="Y47" s="257"/>
      <c r="Z47" s="256"/>
      <c r="AA47" s="257"/>
      <c r="AB47" s="256"/>
      <c r="AC47" s="257"/>
      <c r="AD47" s="256"/>
      <c r="AE47" s="257"/>
      <c r="AF47" s="19"/>
      <c r="AG47" s="20"/>
      <c r="AH47" s="20"/>
      <c r="AI47" s="20"/>
      <c r="AJ47" s="20"/>
      <c r="AK47" s="20"/>
      <c r="AL47" s="20"/>
      <c r="AM47" s="20"/>
      <c r="AN47" s="20"/>
      <c r="AO47" s="21"/>
      <c r="AP47" s="264"/>
      <c r="AQ47" s="265"/>
      <c r="AR47" s="265"/>
      <c r="AS47" s="265"/>
      <c r="AT47" s="265"/>
      <c r="AU47" s="265"/>
      <c r="AV47" s="265"/>
      <c r="AW47" s="265"/>
      <c r="AX47" s="265"/>
      <c r="AY47" s="265"/>
      <c r="AZ47" s="265"/>
      <c r="BA47" s="265"/>
      <c r="BB47" s="265"/>
      <c r="BC47" s="265"/>
      <c r="BD47" s="266"/>
      <c r="BE47" s="11"/>
    </row>
    <row r="48" spans="1:58" s="13" customFormat="1" ht="15" customHeight="1">
      <c r="A48" s="10"/>
      <c r="B48" s="18">
        <f t="shared" si="0"/>
        <v>37</v>
      </c>
      <c r="C48" s="261" t="s">
        <v>244</v>
      </c>
      <c r="D48" s="262"/>
      <c r="E48" s="262"/>
      <c r="F48" s="262"/>
      <c r="G48" s="262"/>
      <c r="H48" s="262"/>
      <c r="I48" s="262"/>
      <c r="J48" s="262"/>
      <c r="K48" s="263"/>
      <c r="L48" s="261" t="s">
        <v>245</v>
      </c>
      <c r="M48" s="262"/>
      <c r="N48" s="262"/>
      <c r="O48" s="262"/>
      <c r="P48" s="262"/>
      <c r="Q48" s="263"/>
      <c r="R48" s="267" t="s">
        <v>19</v>
      </c>
      <c r="S48" s="268"/>
      <c r="T48" s="278">
        <v>8</v>
      </c>
      <c r="U48" s="279"/>
      <c r="V48" s="256">
        <f t="shared" si="1"/>
        <v>8</v>
      </c>
      <c r="W48" s="257"/>
      <c r="X48" s="256">
        <f t="shared" si="2"/>
        <v>191</v>
      </c>
      <c r="Y48" s="257"/>
      <c r="Z48" s="256"/>
      <c r="AA48" s="257"/>
      <c r="AB48" s="256"/>
      <c r="AC48" s="257"/>
      <c r="AD48" s="256"/>
      <c r="AE48" s="257"/>
      <c r="AF48" s="19"/>
      <c r="AG48" s="20"/>
      <c r="AH48" s="20"/>
      <c r="AI48" s="20"/>
      <c r="AJ48" s="20"/>
      <c r="AK48" s="20"/>
      <c r="AL48" s="20"/>
      <c r="AM48" s="20"/>
      <c r="AN48" s="20"/>
      <c r="AO48" s="21"/>
      <c r="AP48" s="264"/>
      <c r="AQ48" s="265"/>
      <c r="AR48" s="265"/>
      <c r="AS48" s="265"/>
      <c r="AT48" s="265"/>
      <c r="AU48" s="265"/>
      <c r="AV48" s="265"/>
      <c r="AW48" s="265"/>
      <c r="AX48" s="265"/>
      <c r="AY48" s="265"/>
      <c r="AZ48" s="265"/>
      <c r="BA48" s="265"/>
      <c r="BB48" s="265"/>
      <c r="BC48" s="265"/>
      <c r="BD48" s="266"/>
      <c r="BE48" s="11"/>
    </row>
    <row r="49" spans="1:57" s="13" customFormat="1" ht="15" customHeight="1">
      <c r="A49" s="24"/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7"/>
    </row>
    <row r="50" spans="1:57" s="13" customFormat="1" ht="15" customHeight="1">
      <c r="A50" s="10"/>
      <c r="B50" s="18">
        <f>B48+1</f>
        <v>38</v>
      </c>
      <c r="C50" s="261" t="s">
        <v>246</v>
      </c>
      <c r="D50" s="262"/>
      <c r="E50" s="262"/>
      <c r="F50" s="262"/>
      <c r="G50" s="262"/>
      <c r="H50" s="262"/>
      <c r="I50" s="262"/>
      <c r="J50" s="262"/>
      <c r="K50" s="263"/>
      <c r="L50" s="261" t="s">
        <v>247</v>
      </c>
      <c r="M50" s="262"/>
      <c r="N50" s="262"/>
      <c r="O50" s="262"/>
      <c r="P50" s="262"/>
      <c r="Q50" s="263"/>
      <c r="R50" s="267" t="s">
        <v>19</v>
      </c>
      <c r="S50" s="268"/>
      <c r="T50" s="278">
        <v>6</v>
      </c>
      <c r="U50" s="279"/>
      <c r="V50" s="256">
        <f t="shared" si="1"/>
        <v>6</v>
      </c>
      <c r="W50" s="257"/>
      <c r="X50" s="256">
        <f>IF(C50&lt;&gt;"",IF(V48="",X48,V48+X48),"")</f>
        <v>199</v>
      </c>
      <c r="Y50" s="257"/>
      <c r="Z50" s="256"/>
      <c r="AA50" s="257"/>
      <c r="AB50" s="256"/>
      <c r="AC50" s="257"/>
      <c r="AD50" s="256"/>
      <c r="AE50" s="257"/>
      <c r="AF50" s="19"/>
      <c r="AG50" s="20"/>
      <c r="AH50" s="20"/>
      <c r="AI50" s="20"/>
      <c r="AJ50" s="20"/>
      <c r="AK50" s="20"/>
      <c r="AL50" s="20"/>
      <c r="AM50" s="20"/>
      <c r="AN50" s="20"/>
      <c r="AO50" s="21"/>
      <c r="AP50" s="264"/>
      <c r="AQ50" s="265"/>
      <c r="AR50" s="265"/>
      <c r="AS50" s="265"/>
      <c r="AT50" s="265"/>
      <c r="AU50" s="265"/>
      <c r="AV50" s="265"/>
      <c r="AW50" s="265"/>
      <c r="AX50" s="265"/>
      <c r="AY50" s="265"/>
      <c r="AZ50" s="265"/>
      <c r="BA50" s="265"/>
      <c r="BB50" s="265"/>
      <c r="BC50" s="265"/>
      <c r="BD50" s="266"/>
      <c r="BE50" s="11"/>
    </row>
    <row r="51" spans="1:57" s="13" customFormat="1" ht="15" customHeight="1">
      <c r="A51" s="10"/>
      <c r="B51" s="18">
        <f t="shared" si="0"/>
        <v>39</v>
      </c>
      <c r="C51" s="261" t="s">
        <v>49</v>
      </c>
      <c r="D51" s="262"/>
      <c r="E51" s="262"/>
      <c r="F51" s="262"/>
      <c r="G51" s="262"/>
      <c r="H51" s="262"/>
      <c r="I51" s="262"/>
      <c r="J51" s="262"/>
      <c r="K51" s="263"/>
      <c r="L51" s="261" t="s">
        <v>248</v>
      </c>
      <c r="M51" s="262"/>
      <c r="N51" s="262"/>
      <c r="O51" s="262"/>
      <c r="P51" s="262"/>
      <c r="Q51" s="263"/>
      <c r="R51" s="256" t="s">
        <v>19</v>
      </c>
      <c r="S51" s="257"/>
      <c r="T51" s="256">
        <v>30</v>
      </c>
      <c r="U51" s="257"/>
      <c r="V51" s="256">
        <f t="shared" si="1"/>
        <v>30</v>
      </c>
      <c r="W51" s="257"/>
      <c r="X51" s="256">
        <f t="shared" si="2"/>
        <v>205</v>
      </c>
      <c r="Y51" s="257"/>
      <c r="Z51" s="256"/>
      <c r="AA51" s="257"/>
      <c r="AB51" s="256"/>
      <c r="AC51" s="257"/>
      <c r="AD51" s="256"/>
      <c r="AE51" s="257"/>
      <c r="AF51" s="19"/>
      <c r="AG51" s="20"/>
      <c r="AH51" s="20"/>
      <c r="AI51" s="20"/>
      <c r="AJ51" s="20"/>
      <c r="AK51" s="20"/>
      <c r="AL51" s="20"/>
      <c r="AM51" s="20"/>
      <c r="AN51" s="20"/>
      <c r="AO51" s="21"/>
      <c r="AP51" s="264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6"/>
      <c r="BE51" s="11"/>
    </row>
    <row r="52" spans="1:57" s="13" customFormat="1" ht="15" customHeight="1">
      <c r="A52" s="10"/>
      <c r="B52" s="18">
        <f t="shared" si="0"/>
        <v>40</v>
      </c>
      <c r="C52" s="261" t="s">
        <v>50</v>
      </c>
      <c r="D52" s="262"/>
      <c r="E52" s="262"/>
      <c r="F52" s="262"/>
      <c r="G52" s="262"/>
      <c r="H52" s="262"/>
      <c r="I52" s="262"/>
      <c r="J52" s="262"/>
      <c r="K52" s="263"/>
      <c r="L52" s="261" t="s">
        <v>249</v>
      </c>
      <c r="M52" s="262"/>
      <c r="N52" s="262"/>
      <c r="O52" s="262"/>
      <c r="P52" s="262"/>
      <c r="Q52" s="263"/>
      <c r="R52" s="256" t="s">
        <v>19</v>
      </c>
      <c r="S52" s="257"/>
      <c r="T52" s="256">
        <v>30</v>
      </c>
      <c r="U52" s="257"/>
      <c r="V52" s="256">
        <f t="shared" si="1"/>
        <v>30</v>
      </c>
      <c r="W52" s="257"/>
      <c r="X52" s="256">
        <f t="shared" si="2"/>
        <v>235</v>
      </c>
      <c r="Y52" s="257"/>
      <c r="Z52" s="256"/>
      <c r="AA52" s="257"/>
      <c r="AB52" s="256"/>
      <c r="AC52" s="257"/>
      <c r="AD52" s="256"/>
      <c r="AE52" s="257"/>
      <c r="AF52" s="19"/>
      <c r="AG52" s="20"/>
      <c r="AH52" s="20"/>
      <c r="AI52" s="20"/>
      <c r="AJ52" s="20"/>
      <c r="AK52" s="20"/>
      <c r="AL52" s="20"/>
      <c r="AM52" s="20"/>
      <c r="AN52" s="20"/>
      <c r="AO52" s="21"/>
      <c r="AP52" s="264"/>
      <c r="AQ52" s="265"/>
      <c r="AR52" s="265"/>
      <c r="AS52" s="265"/>
      <c r="AT52" s="265"/>
      <c r="AU52" s="265"/>
      <c r="AV52" s="265"/>
      <c r="AW52" s="265"/>
      <c r="AX52" s="265"/>
      <c r="AY52" s="265"/>
      <c r="AZ52" s="265"/>
      <c r="BA52" s="265"/>
      <c r="BB52" s="265"/>
      <c r="BC52" s="265"/>
      <c r="BD52" s="266"/>
      <c r="BE52" s="11"/>
    </row>
    <row r="53" spans="1:57" s="13" customFormat="1" ht="15" customHeight="1">
      <c r="A53" s="10"/>
      <c r="B53" s="18">
        <f t="shared" si="0"/>
        <v>41</v>
      </c>
      <c r="C53" s="261" t="s">
        <v>51</v>
      </c>
      <c r="D53" s="262"/>
      <c r="E53" s="262"/>
      <c r="F53" s="262"/>
      <c r="G53" s="262"/>
      <c r="H53" s="262"/>
      <c r="I53" s="262"/>
      <c r="J53" s="262"/>
      <c r="K53" s="263"/>
      <c r="L53" s="261" t="s">
        <v>250</v>
      </c>
      <c r="M53" s="262"/>
      <c r="N53" s="262"/>
      <c r="O53" s="262"/>
      <c r="P53" s="262"/>
      <c r="Q53" s="263"/>
      <c r="R53" s="256" t="s">
        <v>150</v>
      </c>
      <c r="S53" s="257"/>
      <c r="T53" s="256">
        <v>10</v>
      </c>
      <c r="U53" s="257"/>
      <c r="V53" s="256">
        <f t="shared" si="1"/>
        <v>20</v>
      </c>
      <c r="W53" s="257"/>
      <c r="X53" s="256">
        <f t="shared" si="2"/>
        <v>265</v>
      </c>
      <c r="Y53" s="257"/>
      <c r="Z53" s="256"/>
      <c r="AA53" s="257"/>
      <c r="AB53" s="256"/>
      <c r="AC53" s="257"/>
      <c r="AD53" s="256"/>
      <c r="AE53" s="257"/>
      <c r="AF53" s="19"/>
      <c r="AG53" s="20"/>
      <c r="AH53" s="20"/>
      <c r="AI53" s="20"/>
      <c r="AJ53" s="20"/>
      <c r="AK53" s="20"/>
      <c r="AL53" s="20"/>
      <c r="AM53" s="20"/>
      <c r="AN53" s="20"/>
      <c r="AO53" s="21"/>
      <c r="AP53" s="264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6"/>
      <c r="BE53" s="11"/>
    </row>
    <row r="54" spans="1:57" s="13" customFormat="1" ht="15" customHeight="1">
      <c r="A54" s="10"/>
      <c r="B54" s="18">
        <f t="shared" si="0"/>
        <v>42</v>
      </c>
      <c r="C54" s="261" t="s">
        <v>52</v>
      </c>
      <c r="D54" s="262"/>
      <c r="E54" s="262"/>
      <c r="F54" s="262"/>
      <c r="G54" s="262"/>
      <c r="H54" s="262"/>
      <c r="I54" s="262"/>
      <c r="J54" s="262"/>
      <c r="K54" s="263"/>
      <c r="L54" s="261" t="s">
        <v>251</v>
      </c>
      <c r="M54" s="262"/>
      <c r="N54" s="262"/>
      <c r="O54" s="262"/>
      <c r="P54" s="262"/>
      <c r="Q54" s="263"/>
      <c r="R54" s="256" t="s">
        <v>19</v>
      </c>
      <c r="S54" s="257"/>
      <c r="T54" s="267">
        <v>30</v>
      </c>
      <c r="U54" s="268"/>
      <c r="V54" s="256">
        <f t="shared" si="1"/>
        <v>30</v>
      </c>
      <c r="W54" s="257"/>
      <c r="X54" s="256">
        <f t="shared" si="2"/>
        <v>285</v>
      </c>
      <c r="Y54" s="257"/>
      <c r="Z54" s="256"/>
      <c r="AA54" s="257"/>
      <c r="AB54" s="256"/>
      <c r="AC54" s="257"/>
      <c r="AD54" s="256"/>
      <c r="AE54" s="257"/>
      <c r="AF54" s="19"/>
      <c r="AG54" s="20"/>
      <c r="AH54" s="20"/>
      <c r="AI54" s="20"/>
      <c r="AJ54" s="20"/>
      <c r="AK54" s="20"/>
      <c r="AL54" s="20"/>
      <c r="AM54" s="20"/>
      <c r="AN54" s="20"/>
      <c r="AO54" s="21"/>
      <c r="AP54" s="264"/>
      <c r="AQ54" s="265"/>
      <c r="AR54" s="265"/>
      <c r="AS54" s="265"/>
      <c r="AT54" s="265"/>
      <c r="AU54" s="265"/>
      <c r="AV54" s="265"/>
      <c r="AW54" s="265"/>
      <c r="AX54" s="265"/>
      <c r="AY54" s="265"/>
      <c r="AZ54" s="265"/>
      <c r="BA54" s="265"/>
      <c r="BB54" s="265"/>
      <c r="BC54" s="265"/>
      <c r="BD54" s="266"/>
      <c r="BE54" s="11"/>
    </row>
    <row r="55" spans="1:57" s="13" customFormat="1" ht="15" customHeight="1">
      <c r="A55" s="10"/>
      <c r="B55" s="18">
        <f t="shared" si="0"/>
        <v>43</v>
      </c>
      <c r="C55" s="261" t="s">
        <v>20</v>
      </c>
      <c r="D55" s="262"/>
      <c r="E55" s="262"/>
      <c r="F55" s="262"/>
      <c r="G55" s="262"/>
      <c r="H55" s="262"/>
      <c r="I55" s="262"/>
      <c r="J55" s="262"/>
      <c r="K55" s="263"/>
      <c r="L55" s="261" t="s">
        <v>54</v>
      </c>
      <c r="M55" s="262"/>
      <c r="N55" s="262"/>
      <c r="O55" s="262"/>
      <c r="P55" s="262"/>
      <c r="Q55" s="263"/>
      <c r="R55" s="267" t="s">
        <v>19</v>
      </c>
      <c r="S55" s="268"/>
      <c r="T55" s="267">
        <v>8</v>
      </c>
      <c r="U55" s="268"/>
      <c r="V55" s="256">
        <f t="shared" si="1"/>
        <v>8</v>
      </c>
      <c r="W55" s="257"/>
      <c r="X55" s="256">
        <f t="shared" si="2"/>
        <v>315</v>
      </c>
      <c r="Y55" s="257"/>
      <c r="Z55" s="256"/>
      <c r="AA55" s="257"/>
      <c r="AB55" s="256"/>
      <c r="AC55" s="257"/>
      <c r="AD55" s="256"/>
      <c r="AE55" s="257"/>
      <c r="AF55" s="19"/>
      <c r="AG55" s="20"/>
      <c r="AH55" s="20"/>
      <c r="AI55" s="20"/>
      <c r="AJ55" s="20"/>
      <c r="AK55" s="20"/>
      <c r="AL55" s="20"/>
      <c r="AM55" s="20"/>
      <c r="AN55" s="20"/>
      <c r="AO55" s="21"/>
      <c r="AP55" s="264"/>
      <c r="AQ55" s="265"/>
      <c r="AR55" s="265"/>
      <c r="AS55" s="265"/>
      <c r="AT55" s="265"/>
      <c r="AU55" s="265"/>
      <c r="AV55" s="265"/>
      <c r="AW55" s="265"/>
      <c r="AX55" s="265"/>
      <c r="AY55" s="265"/>
      <c r="AZ55" s="265"/>
      <c r="BA55" s="265"/>
      <c r="BB55" s="265"/>
      <c r="BC55" s="265"/>
      <c r="BD55" s="266"/>
      <c r="BE55" s="11"/>
    </row>
    <row r="56" spans="1:57" s="13" customFormat="1" ht="15" customHeight="1">
      <c r="A56" s="10"/>
      <c r="B56" s="18">
        <f t="shared" si="0"/>
        <v>44</v>
      </c>
      <c r="C56" s="261" t="s">
        <v>55</v>
      </c>
      <c r="D56" s="262"/>
      <c r="E56" s="262"/>
      <c r="F56" s="262"/>
      <c r="G56" s="262"/>
      <c r="H56" s="262"/>
      <c r="I56" s="262"/>
      <c r="J56" s="262"/>
      <c r="K56" s="263"/>
      <c r="L56" s="261" t="s">
        <v>252</v>
      </c>
      <c r="M56" s="262"/>
      <c r="N56" s="262"/>
      <c r="O56" s="262"/>
      <c r="P56" s="262"/>
      <c r="Q56" s="263"/>
      <c r="R56" s="267" t="s">
        <v>19</v>
      </c>
      <c r="S56" s="268"/>
      <c r="T56" s="267">
        <v>8</v>
      </c>
      <c r="U56" s="268"/>
      <c r="V56" s="256">
        <f t="shared" si="1"/>
        <v>8</v>
      </c>
      <c r="W56" s="257"/>
      <c r="X56" s="256">
        <f t="shared" si="2"/>
        <v>323</v>
      </c>
      <c r="Y56" s="257"/>
      <c r="Z56" s="267"/>
      <c r="AA56" s="268"/>
      <c r="AB56" s="267"/>
      <c r="AC56" s="268"/>
      <c r="AD56" s="256"/>
      <c r="AE56" s="257"/>
      <c r="AF56" s="19"/>
      <c r="AG56" s="20"/>
      <c r="AH56" s="20"/>
      <c r="AI56" s="20"/>
      <c r="AJ56" s="20"/>
      <c r="AK56" s="20"/>
      <c r="AL56" s="20"/>
      <c r="AM56" s="20"/>
      <c r="AN56" s="20"/>
      <c r="AO56" s="21"/>
      <c r="AP56" s="264"/>
      <c r="AQ56" s="265"/>
      <c r="AR56" s="265"/>
      <c r="AS56" s="265"/>
      <c r="AT56" s="265"/>
      <c r="AU56" s="265"/>
      <c r="AV56" s="265"/>
      <c r="AW56" s="265"/>
      <c r="AX56" s="265"/>
      <c r="AY56" s="265"/>
      <c r="AZ56" s="265"/>
      <c r="BA56" s="265"/>
      <c r="BB56" s="265"/>
      <c r="BC56" s="265"/>
      <c r="BD56" s="266"/>
      <c r="BE56" s="11"/>
    </row>
    <row r="57" spans="1:57" s="13" customFormat="1" ht="15" customHeight="1">
      <c r="A57" s="10"/>
      <c r="B57" s="18">
        <f t="shared" si="0"/>
        <v>45</v>
      </c>
      <c r="C57" s="261" t="s">
        <v>253</v>
      </c>
      <c r="D57" s="262"/>
      <c r="E57" s="262"/>
      <c r="F57" s="262"/>
      <c r="G57" s="262"/>
      <c r="H57" s="262"/>
      <c r="I57" s="262"/>
      <c r="J57" s="262"/>
      <c r="K57" s="263"/>
      <c r="L57" s="261" t="s">
        <v>161</v>
      </c>
      <c r="M57" s="262"/>
      <c r="N57" s="262"/>
      <c r="O57" s="262"/>
      <c r="P57" s="262"/>
      <c r="Q57" s="263"/>
      <c r="R57" s="267" t="s">
        <v>19</v>
      </c>
      <c r="S57" s="268"/>
      <c r="T57" s="267">
        <v>7</v>
      </c>
      <c r="U57" s="268"/>
      <c r="V57" s="256">
        <f t="shared" si="1"/>
        <v>7</v>
      </c>
      <c r="W57" s="257"/>
      <c r="X57" s="256">
        <f t="shared" si="2"/>
        <v>331</v>
      </c>
      <c r="Y57" s="257"/>
      <c r="Z57" s="267"/>
      <c r="AA57" s="268"/>
      <c r="AB57" s="267"/>
      <c r="AC57" s="268"/>
      <c r="AD57" s="256"/>
      <c r="AE57" s="257"/>
      <c r="AF57" s="19"/>
      <c r="AG57" s="20"/>
      <c r="AH57" s="20"/>
      <c r="AI57" s="20"/>
      <c r="AJ57" s="20"/>
      <c r="AK57" s="20"/>
      <c r="AL57" s="20"/>
      <c r="AM57" s="20"/>
      <c r="AN57" s="20"/>
      <c r="AO57" s="21"/>
      <c r="AP57" s="264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  <c r="BD57" s="266"/>
      <c r="BE57" s="11"/>
    </row>
    <row r="58" spans="1:57" s="13" customFormat="1" ht="15" customHeight="1">
      <c r="A58" s="10"/>
      <c r="B58" s="18">
        <f t="shared" si="0"/>
        <v>46</v>
      </c>
      <c r="C58" s="261" t="s">
        <v>254</v>
      </c>
      <c r="D58" s="262"/>
      <c r="E58" s="262"/>
      <c r="F58" s="262"/>
      <c r="G58" s="262"/>
      <c r="H58" s="262"/>
      <c r="I58" s="262"/>
      <c r="J58" s="262"/>
      <c r="K58" s="263"/>
      <c r="L58" s="261" t="s">
        <v>56</v>
      </c>
      <c r="M58" s="262"/>
      <c r="N58" s="262"/>
      <c r="O58" s="262"/>
      <c r="P58" s="262"/>
      <c r="Q58" s="263"/>
      <c r="R58" s="267" t="s">
        <v>19</v>
      </c>
      <c r="S58" s="268"/>
      <c r="T58" s="278">
        <v>60</v>
      </c>
      <c r="U58" s="279"/>
      <c r="V58" s="256">
        <f t="shared" si="1"/>
        <v>60</v>
      </c>
      <c r="W58" s="257"/>
      <c r="X58" s="256">
        <f t="shared" si="2"/>
        <v>338</v>
      </c>
      <c r="Y58" s="257"/>
      <c r="Z58" s="256"/>
      <c r="AA58" s="257"/>
      <c r="AB58" s="256"/>
      <c r="AC58" s="257"/>
      <c r="AD58" s="256"/>
      <c r="AE58" s="257"/>
      <c r="AF58" s="19"/>
      <c r="AG58" s="20"/>
      <c r="AH58" s="20"/>
      <c r="AI58" s="20"/>
      <c r="AJ58" s="20"/>
      <c r="AK58" s="20"/>
      <c r="AL58" s="20"/>
      <c r="AM58" s="20"/>
      <c r="AN58" s="20"/>
      <c r="AO58" s="21"/>
      <c r="AP58" s="264"/>
      <c r="AQ58" s="265"/>
      <c r="AR58" s="265"/>
      <c r="AS58" s="265"/>
      <c r="AT58" s="265"/>
      <c r="AU58" s="265"/>
      <c r="AV58" s="265"/>
      <c r="AW58" s="265"/>
      <c r="AX58" s="265"/>
      <c r="AY58" s="265"/>
      <c r="AZ58" s="265"/>
      <c r="BA58" s="265"/>
      <c r="BB58" s="265"/>
      <c r="BC58" s="265"/>
      <c r="BD58" s="266"/>
      <c r="BE58" s="11"/>
    </row>
    <row r="59" spans="1:57" s="13" customFormat="1" ht="15" customHeight="1">
      <c r="A59" s="10"/>
      <c r="B59" s="18">
        <f t="shared" si="0"/>
        <v>47</v>
      </c>
      <c r="C59" s="261" t="s">
        <v>255</v>
      </c>
      <c r="D59" s="262"/>
      <c r="E59" s="262"/>
      <c r="F59" s="262"/>
      <c r="G59" s="262"/>
      <c r="H59" s="262"/>
      <c r="I59" s="262"/>
      <c r="J59" s="262"/>
      <c r="K59" s="263"/>
      <c r="L59" s="261" t="s">
        <v>256</v>
      </c>
      <c r="M59" s="262"/>
      <c r="N59" s="262"/>
      <c r="O59" s="262"/>
      <c r="P59" s="262"/>
      <c r="Q59" s="263"/>
      <c r="R59" s="267" t="s">
        <v>150</v>
      </c>
      <c r="S59" s="268"/>
      <c r="T59" s="278">
        <v>40</v>
      </c>
      <c r="U59" s="279"/>
      <c r="V59" s="256">
        <f t="shared" si="1"/>
        <v>80</v>
      </c>
      <c r="W59" s="257"/>
      <c r="X59" s="256">
        <f t="shared" si="2"/>
        <v>398</v>
      </c>
      <c r="Y59" s="257"/>
      <c r="Z59" s="256"/>
      <c r="AA59" s="257"/>
      <c r="AB59" s="256"/>
      <c r="AC59" s="257"/>
      <c r="AD59" s="256"/>
      <c r="AE59" s="257"/>
      <c r="AF59" s="19"/>
      <c r="AG59" s="20"/>
      <c r="AH59" s="20"/>
      <c r="AI59" s="20"/>
      <c r="AJ59" s="20"/>
      <c r="AK59" s="20"/>
      <c r="AL59" s="20"/>
      <c r="AM59" s="20"/>
      <c r="AN59" s="20"/>
      <c r="AO59" s="21"/>
      <c r="AP59" s="264"/>
      <c r="AQ59" s="265"/>
      <c r="AR59" s="265"/>
      <c r="AS59" s="265"/>
      <c r="AT59" s="265"/>
      <c r="AU59" s="265"/>
      <c r="AV59" s="265"/>
      <c r="AW59" s="265"/>
      <c r="AX59" s="265"/>
      <c r="AY59" s="265"/>
      <c r="AZ59" s="265"/>
      <c r="BA59" s="265"/>
      <c r="BB59" s="265"/>
      <c r="BC59" s="265"/>
      <c r="BD59" s="266"/>
      <c r="BE59" s="11"/>
    </row>
    <row r="60" spans="1:57" s="13" customFormat="1" ht="15" customHeight="1">
      <c r="A60" s="10"/>
      <c r="B60" s="18">
        <f t="shared" si="0"/>
        <v>48</v>
      </c>
      <c r="C60" s="261" t="s">
        <v>257</v>
      </c>
      <c r="D60" s="262"/>
      <c r="E60" s="262"/>
      <c r="F60" s="262"/>
      <c r="G60" s="262"/>
      <c r="H60" s="262"/>
      <c r="I60" s="262"/>
      <c r="J60" s="262"/>
      <c r="K60" s="263"/>
      <c r="L60" s="261" t="s">
        <v>258</v>
      </c>
      <c r="M60" s="262"/>
      <c r="N60" s="262"/>
      <c r="O60" s="262"/>
      <c r="P60" s="262"/>
      <c r="Q60" s="263"/>
      <c r="R60" s="267" t="s">
        <v>19</v>
      </c>
      <c r="S60" s="268"/>
      <c r="T60" s="278">
        <v>14</v>
      </c>
      <c r="U60" s="279"/>
      <c r="V60" s="256">
        <f t="shared" si="1"/>
        <v>14</v>
      </c>
      <c r="W60" s="257"/>
      <c r="X60" s="256">
        <f t="shared" si="2"/>
        <v>478</v>
      </c>
      <c r="Y60" s="257"/>
      <c r="Z60" s="256"/>
      <c r="AA60" s="257"/>
      <c r="AB60" s="256"/>
      <c r="AC60" s="257"/>
      <c r="AD60" s="256"/>
      <c r="AE60" s="257"/>
      <c r="AF60" s="19"/>
      <c r="AG60" s="20"/>
      <c r="AH60" s="20"/>
      <c r="AI60" s="20"/>
      <c r="AJ60" s="20"/>
      <c r="AK60" s="20"/>
      <c r="AL60" s="20"/>
      <c r="AM60" s="20"/>
      <c r="AN60" s="20"/>
      <c r="AO60" s="21"/>
      <c r="AP60" s="264"/>
      <c r="AQ60" s="265"/>
      <c r="AR60" s="265"/>
      <c r="AS60" s="265"/>
      <c r="AT60" s="265"/>
      <c r="AU60" s="265"/>
      <c r="AV60" s="265"/>
      <c r="AW60" s="265"/>
      <c r="AX60" s="265"/>
      <c r="AY60" s="265"/>
      <c r="AZ60" s="265"/>
      <c r="BA60" s="265"/>
      <c r="BB60" s="265"/>
      <c r="BC60" s="265"/>
      <c r="BD60" s="266"/>
      <c r="BE60" s="11"/>
    </row>
    <row r="61" spans="1:57" s="13" customFormat="1" ht="15" customHeight="1">
      <c r="A61" s="10"/>
      <c r="B61" s="18">
        <f t="shared" si="0"/>
        <v>49</v>
      </c>
      <c r="C61" s="261" t="s">
        <v>259</v>
      </c>
      <c r="D61" s="262"/>
      <c r="E61" s="262"/>
      <c r="F61" s="262"/>
      <c r="G61" s="262"/>
      <c r="H61" s="262"/>
      <c r="I61" s="262"/>
      <c r="J61" s="262"/>
      <c r="K61" s="263"/>
      <c r="L61" s="261" t="s">
        <v>260</v>
      </c>
      <c r="M61" s="262"/>
      <c r="N61" s="262"/>
      <c r="O61" s="262"/>
      <c r="P61" s="262"/>
      <c r="Q61" s="263"/>
      <c r="R61" s="267" t="s">
        <v>19</v>
      </c>
      <c r="S61" s="268"/>
      <c r="T61" s="278">
        <v>14</v>
      </c>
      <c r="U61" s="279"/>
      <c r="V61" s="256">
        <f t="shared" si="1"/>
        <v>14</v>
      </c>
      <c r="W61" s="257"/>
      <c r="X61" s="256">
        <f t="shared" si="2"/>
        <v>492</v>
      </c>
      <c r="Y61" s="257"/>
      <c r="Z61" s="256"/>
      <c r="AA61" s="257"/>
      <c r="AB61" s="256"/>
      <c r="AC61" s="257"/>
      <c r="AD61" s="256"/>
      <c r="AE61" s="257"/>
      <c r="AF61" s="19"/>
      <c r="AG61" s="20"/>
      <c r="AH61" s="20"/>
      <c r="AI61" s="20"/>
      <c r="AJ61" s="20"/>
      <c r="AK61" s="20"/>
      <c r="AL61" s="20"/>
      <c r="AM61" s="20"/>
      <c r="AN61" s="20"/>
      <c r="AO61" s="21"/>
      <c r="AP61" s="264"/>
      <c r="AQ61" s="265"/>
      <c r="AR61" s="265"/>
      <c r="AS61" s="265"/>
      <c r="AT61" s="265"/>
      <c r="AU61" s="265"/>
      <c r="AV61" s="265"/>
      <c r="AW61" s="265"/>
      <c r="AX61" s="265"/>
      <c r="AY61" s="265"/>
      <c r="AZ61" s="265"/>
      <c r="BA61" s="265"/>
      <c r="BB61" s="265"/>
      <c r="BC61" s="265"/>
      <c r="BD61" s="266"/>
      <c r="BE61" s="11"/>
    </row>
    <row r="62" spans="1:57" s="13" customFormat="1" ht="15" customHeight="1">
      <c r="A62" s="10"/>
      <c r="B62" s="18">
        <f t="shared" si="0"/>
        <v>50</v>
      </c>
      <c r="C62" s="261" t="s">
        <v>21</v>
      </c>
      <c r="D62" s="262"/>
      <c r="E62" s="262"/>
      <c r="F62" s="262"/>
      <c r="G62" s="262"/>
      <c r="H62" s="262"/>
      <c r="I62" s="262"/>
      <c r="J62" s="262"/>
      <c r="K62" s="263"/>
      <c r="L62" s="261" t="s">
        <v>53</v>
      </c>
      <c r="M62" s="262"/>
      <c r="N62" s="262"/>
      <c r="O62" s="262"/>
      <c r="P62" s="262"/>
      <c r="Q62" s="263"/>
      <c r="R62" s="267" t="s">
        <v>19</v>
      </c>
      <c r="S62" s="268"/>
      <c r="T62" s="278">
        <v>1</v>
      </c>
      <c r="U62" s="279"/>
      <c r="V62" s="256">
        <f t="shared" si="1"/>
        <v>1</v>
      </c>
      <c r="W62" s="257"/>
      <c r="X62" s="256">
        <f t="shared" si="2"/>
        <v>506</v>
      </c>
      <c r="Y62" s="257"/>
      <c r="Z62" s="256"/>
      <c r="AA62" s="257"/>
      <c r="AB62" s="256"/>
      <c r="AC62" s="257"/>
      <c r="AD62" s="256"/>
      <c r="AE62" s="257"/>
      <c r="AF62" s="19"/>
      <c r="AG62" s="20"/>
      <c r="AH62" s="20"/>
      <c r="AI62" s="20"/>
      <c r="AJ62" s="20"/>
      <c r="AK62" s="20"/>
      <c r="AL62" s="20"/>
      <c r="AM62" s="20"/>
      <c r="AN62" s="20"/>
      <c r="AO62" s="21"/>
      <c r="AP62" s="264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  <c r="BD62" s="266"/>
      <c r="BE62" s="11"/>
    </row>
    <row r="63" spans="1:57" s="13" customFormat="1" ht="15" customHeight="1">
      <c r="A63" s="10"/>
      <c r="B63" s="18">
        <f t="shared" si="0"/>
        <v>51</v>
      </c>
      <c r="C63" s="261" t="s">
        <v>261</v>
      </c>
      <c r="D63" s="262"/>
      <c r="E63" s="262"/>
      <c r="F63" s="262"/>
      <c r="G63" s="262"/>
      <c r="H63" s="262"/>
      <c r="I63" s="262"/>
      <c r="J63" s="262"/>
      <c r="K63" s="263"/>
      <c r="L63" s="261" t="s">
        <v>262</v>
      </c>
      <c r="M63" s="262"/>
      <c r="N63" s="262"/>
      <c r="O63" s="262"/>
      <c r="P63" s="262"/>
      <c r="Q63" s="263"/>
      <c r="R63" s="267" t="s">
        <v>19</v>
      </c>
      <c r="S63" s="268"/>
      <c r="T63" s="278">
        <v>14</v>
      </c>
      <c r="U63" s="279"/>
      <c r="V63" s="256">
        <f t="shared" si="1"/>
        <v>14</v>
      </c>
      <c r="W63" s="257"/>
      <c r="X63" s="256">
        <f t="shared" si="2"/>
        <v>507</v>
      </c>
      <c r="Y63" s="257"/>
      <c r="Z63" s="256"/>
      <c r="AA63" s="257"/>
      <c r="AB63" s="256"/>
      <c r="AC63" s="257"/>
      <c r="AD63" s="256"/>
      <c r="AE63" s="257"/>
      <c r="AF63" s="19"/>
      <c r="AG63" s="20"/>
      <c r="AH63" s="20"/>
      <c r="AI63" s="20"/>
      <c r="AJ63" s="20"/>
      <c r="AK63" s="20"/>
      <c r="AL63" s="20"/>
      <c r="AM63" s="20"/>
      <c r="AN63" s="20"/>
      <c r="AO63" s="21"/>
      <c r="AP63" s="264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11"/>
    </row>
    <row r="64" spans="1:57" s="13" customFormat="1" ht="15" customHeight="1">
      <c r="A64" s="10"/>
      <c r="B64" s="18">
        <f t="shared" si="0"/>
        <v>52</v>
      </c>
      <c r="C64" s="261" t="s">
        <v>263</v>
      </c>
      <c r="D64" s="262"/>
      <c r="E64" s="262"/>
      <c r="F64" s="262"/>
      <c r="G64" s="262"/>
      <c r="H64" s="262"/>
      <c r="I64" s="262"/>
      <c r="J64" s="262"/>
      <c r="K64" s="263"/>
      <c r="L64" s="261" t="s">
        <v>264</v>
      </c>
      <c r="M64" s="262"/>
      <c r="N64" s="262"/>
      <c r="O64" s="262"/>
      <c r="P64" s="262"/>
      <c r="Q64" s="263"/>
      <c r="R64" s="267" t="s">
        <v>19</v>
      </c>
      <c r="S64" s="268"/>
      <c r="T64" s="278">
        <v>14</v>
      </c>
      <c r="U64" s="279"/>
      <c r="V64" s="256">
        <f t="shared" si="1"/>
        <v>14</v>
      </c>
      <c r="W64" s="257"/>
      <c r="X64" s="256">
        <f t="shared" si="2"/>
        <v>521</v>
      </c>
      <c r="Y64" s="257"/>
      <c r="Z64" s="256"/>
      <c r="AA64" s="257"/>
      <c r="AB64" s="256"/>
      <c r="AC64" s="257"/>
      <c r="AD64" s="256"/>
      <c r="AE64" s="257"/>
      <c r="AF64" s="19"/>
      <c r="AG64" s="20"/>
      <c r="AH64" s="20"/>
      <c r="AI64" s="20"/>
      <c r="AJ64" s="20"/>
      <c r="AK64" s="20"/>
      <c r="AL64" s="20"/>
      <c r="AM64" s="20"/>
      <c r="AN64" s="20"/>
      <c r="AO64" s="21"/>
      <c r="AP64" s="264"/>
      <c r="AQ64" s="265"/>
      <c r="AR64" s="265"/>
      <c r="AS64" s="265"/>
      <c r="AT64" s="265"/>
      <c r="AU64" s="265"/>
      <c r="AV64" s="265"/>
      <c r="AW64" s="265"/>
      <c r="AX64" s="265"/>
      <c r="AY64" s="265"/>
      <c r="AZ64" s="265"/>
      <c r="BA64" s="265"/>
      <c r="BB64" s="265"/>
      <c r="BC64" s="265"/>
      <c r="BD64" s="266"/>
      <c r="BE64" s="11"/>
    </row>
    <row r="65" spans="1:57" s="13" customFormat="1" ht="15" customHeight="1">
      <c r="A65" s="10"/>
      <c r="B65" s="18">
        <f t="shared" si="0"/>
        <v>53</v>
      </c>
      <c r="C65" s="261" t="s">
        <v>57</v>
      </c>
      <c r="D65" s="262"/>
      <c r="E65" s="262"/>
      <c r="F65" s="262"/>
      <c r="G65" s="262"/>
      <c r="H65" s="262"/>
      <c r="I65" s="262"/>
      <c r="J65" s="262"/>
      <c r="K65" s="263"/>
      <c r="L65" s="261" t="s">
        <v>265</v>
      </c>
      <c r="M65" s="262"/>
      <c r="N65" s="262"/>
      <c r="O65" s="262"/>
      <c r="P65" s="262"/>
      <c r="Q65" s="263"/>
      <c r="R65" s="267" t="s">
        <v>19</v>
      </c>
      <c r="S65" s="268"/>
      <c r="T65" s="278">
        <v>30</v>
      </c>
      <c r="U65" s="279"/>
      <c r="V65" s="256">
        <f t="shared" si="1"/>
        <v>30</v>
      </c>
      <c r="W65" s="257"/>
      <c r="X65" s="256">
        <f t="shared" si="2"/>
        <v>535</v>
      </c>
      <c r="Y65" s="257"/>
      <c r="Z65" s="256"/>
      <c r="AA65" s="257"/>
      <c r="AB65" s="256"/>
      <c r="AC65" s="257"/>
      <c r="AD65" s="256"/>
      <c r="AE65" s="257"/>
      <c r="AF65" s="19"/>
      <c r="AG65" s="20"/>
      <c r="AH65" s="20"/>
      <c r="AI65" s="20"/>
      <c r="AJ65" s="20"/>
      <c r="AK65" s="20"/>
      <c r="AL65" s="20"/>
      <c r="AM65" s="20"/>
      <c r="AN65" s="20"/>
      <c r="AO65" s="21"/>
      <c r="AP65" s="264"/>
      <c r="AQ65" s="265"/>
      <c r="AR65" s="265"/>
      <c r="AS65" s="265"/>
      <c r="AT65" s="265"/>
      <c r="AU65" s="265"/>
      <c r="AV65" s="265"/>
      <c r="AW65" s="265"/>
      <c r="AX65" s="265"/>
      <c r="AY65" s="265"/>
      <c r="AZ65" s="265"/>
      <c r="BA65" s="265"/>
      <c r="BB65" s="265"/>
      <c r="BC65" s="265"/>
      <c r="BD65" s="266"/>
      <c r="BE65" s="11"/>
    </row>
    <row r="66" spans="1:57" s="13" customFormat="1" ht="15" customHeight="1">
      <c r="A66" s="10"/>
      <c r="B66" s="18">
        <f t="shared" si="0"/>
        <v>54</v>
      </c>
      <c r="C66" s="261" t="s">
        <v>266</v>
      </c>
      <c r="D66" s="262"/>
      <c r="E66" s="262"/>
      <c r="F66" s="262"/>
      <c r="G66" s="262"/>
      <c r="H66" s="262"/>
      <c r="I66" s="262"/>
      <c r="J66" s="262"/>
      <c r="K66" s="263"/>
      <c r="L66" s="261" t="s">
        <v>267</v>
      </c>
      <c r="M66" s="262"/>
      <c r="N66" s="262"/>
      <c r="O66" s="262"/>
      <c r="P66" s="262"/>
      <c r="Q66" s="263"/>
      <c r="R66" s="267" t="s">
        <v>19</v>
      </c>
      <c r="S66" s="268"/>
      <c r="T66" s="278">
        <v>14</v>
      </c>
      <c r="U66" s="279"/>
      <c r="V66" s="256">
        <f t="shared" si="1"/>
        <v>14</v>
      </c>
      <c r="W66" s="257"/>
      <c r="X66" s="256">
        <f t="shared" si="2"/>
        <v>565</v>
      </c>
      <c r="Y66" s="257"/>
      <c r="Z66" s="256"/>
      <c r="AA66" s="257"/>
      <c r="AB66" s="256"/>
      <c r="AC66" s="257"/>
      <c r="AD66" s="256"/>
      <c r="AE66" s="257"/>
      <c r="AF66" s="19"/>
      <c r="AG66" s="20"/>
      <c r="AH66" s="20"/>
      <c r="AI66" s="20"/>
      <c r="AJ66" s="20"/>
      <c r="AK66" s="20"/>
      <c r="AL66" s="20"/>
      <c r="AM66" s="20"/>
      <c r="AN66" s="20"/>
      <c r="AO66" s="21"/>
      <c r="AP66" s="264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6"/>
      <c r="BE66" s="11"/>
    </row>
    <row r="67" spans="1:57" s="13" customFormat="1" ht="15" customHeight="1">
      <c r="A67" s="10"/>
      <c r="B67" s="18">
        <f t="shared" si="0"/>
        <v>55</v>
      </c>
      <c r="C67" s="261" t="s">
        <v>268</v>
      </c>
      <c r="D67" s="262"/>
      <c r="E67" s="262"/>
      <c r="F67" s="262"/>
      <c r="G67" s="262"/>
      <c r="H67" s="262"/>
      <c r="I67" s="262"/>
      <c r="J67" s="262"/>
      <c r="K67" s="263"/>
      <c r="L67" s="261" t="s">
        <v>269</v>
      </c>
      <c r="M67" s="262"/>
      <c r="N67" s="262"/>
      <c r="O67" s="262"/>
      <c r="P67" s="262"/>
      <c r="Q67" s="263"/>
      <c r="R67" s="267" t="s">
        <v>19</v>
      </c>
      <c r="S67" s="268"/>
      <c r="T67" s="278">
        <v>1</v>
      </c>
      <c r="U67" s="279"/>
      <c r="V67" s="256">
        <f t="shared" si="1"/>
        <v>1</v>
      </c>
      <c r="W67" s="257"/>
      <c r="X67" s="256">
        <f t="shared" si="2"/>
        <v>579</v>
      </c>
      <c r="Y67" s="257"/>
      <c r="Z67" s="256"/>
      <c r="AA67" s="257"/>
      <c r="AB67" s="256"/>
      <c r="AC67" s="257"/>
      <c r="AD67" s="256"/>
      <c r="AE67" s="257"/>
      <c r="AF67" s="19"/>
      <c r="AG67" s="20"/>
      <c r="AH67" s="20"/>
      <c r="AI67" s="20"/>
      <c r="AJ67" s="20"/>
      <c r="AK67" s="20"/>
      <c r="AL67" s="20"/>
      <c r="AM67" s="20"/>
      <c r="AN67" s="20"/>
      <c r="AO67" s="21"/>
      <c r="AP67" s="264"/>
      <c r="AQ67" s="265"/>
      <c r="AR67" s="265"/>
      <c r="AS67" s="265"/>
      <c r="AT67" s="265"/>
      <c r="AU67" s="265"/>
      <c r="AV67" s="265"/>
      <c r="AW67" s="265"/>
      <c r="AX67" s="265"/>
      <c r="AY67" s="265"/>
      <c r="AZ67" s="265"/>
      <c r="BA67" s="265"/>
      <c r="BB67" s="265"/>
      <c r="BC67" s="265"/>
      <c r="BD67" s="266"/>
      <c r="BE67" s="11"/>
    </row>
    <row r="68" spans="1:57" s="13" customFormat="1" ht="15" customHeight="1">
      <c r="A68" s="10"/>
      <c r="B68" s="18">
        <f t="shared" si="0"/>
        <v>56</v>
      </c>
      <c r="C68" s="261" t="s">
        <v>270</v>
      </c>
      <c r="D68" s="262"/>
      <c r="E68" s="262"/>
      <c r="F68" s="262"/>
      <c r="G68" s="262"/>
      <c r="H68" s="262"/>
      <c r="I68" s="262"/>
      <c r="J68" s="262"/>
      <c r="K68" s="263"/>
      <c r="L68" s="261" t="s">
        <v>271</v>
      </c>
      <c r="M68" s="262"/>
      <c r="N68" s="262"/>
      <c r="O68" s="262"/>
      <c r="P68" s="262"/>
      <c r="Q68" s="263"/>
      <c r="R68" s="267" t="s">
        <v>19</v>
      </c>
      <c r="S68" s="268"/>
      <c r="T68" s="278">
        <v>12</v>
      </c>
      <c r="U68" s="279"/>
      <c r="V68" s="256">
        <f t="shared" si="1"/>
        <v>12</v>
      </c>
      <c r="W68" s="257"/>
      <c r="X68" s="256">
        <f t="shared" si="2"/>
        <v>580</v>
      </c>
      <c r="Y68" s="257"/>
      <c r="Z68" s="256"/>
      <c r="AA68" s="257"/>
      <c r="AB68" s="256"/>
      <c r="AC68" s="257"/>
      <c r="AD68" s="256"/>
      <c r="AE68" s="257"/>
      <c r="AF68" s="19"/>
      <c r="AG68" s="20"/>
      <c r="AH68" s="20"/>
      <c r="AI68" s="20"/>
      <c r="AJ68" s="20"/>
      <c r="AK68" s="20"/>
      <c r="AL68" s="20"/>
      <c r="AM68" s="20"/>
      <c r="AN68" s="20"/>
      <c r="AO68" s="21"/>
      <c r="AP68" s="264"/>
      <c r="AQ68" s="265"/>
      <c r="AR68" s="265"/>
      <c r="AS68" s="265"/>
      <c r="AT68" s="265"/>
      <c r="AU68" s="265"/>
      <c r="AV68" s="265"/>
      <c r="AW68" s="265"/>
      <c r="AX68" s="265"/>
      <c r="AY68" s="265"/>
      <c r="AZ68" s="265"/>
      <c r="BA68" s="265"/>
      <c r="BB68" s="265"/>
      <c r="BC68" s="265"/>
      <c r="BD68" s="266"/>
      <c r="BE68" s="11"/>
    </row>
    <row r="69" spans="1:57" s="13" customFormat="1" ht="15" customHeight="1">
      <c r="A69" s="10"/>
      <c r="B69" s="18">
        <f t="shared" si="0"/>
        <v>57</v>
      </c>
      <c r="C69" s="261" t="s">
        <v>272</v>
      </c>
      <c r="D69" s="262"/>
      <c r="E69" s="262"/>
      <c r="F69" s="262"/>
      <c r="G69" s="262"/>
      <c r="H69" s="262"/>
      <c r="I69" s="262"/>
      <c r="J69" s="262"/>
      <c r="K69" s="263"/>
      <c r="L69" s="261" t="s">
        <v>273</v>
      </c>
      <c r="M69" s="262"/>
      <c r="N69" s="262"/>
      <c r="O69" s="262"/>
      <c r="P69" s="262"/>
      <c r="Q69" s="263"/>
      <c r="R69" s="267" t="s">
        <v>19</v>
      </c>
      <c r="S69" s="268"/>
      <c r="T69" s="278">
        <v>8</v>
      </c>
      <c r="U69" s="279"/>
      <c r="V69" s="256">
        <f t="shared" si="1"/>
        <v>8</v>
      </c>
      <c r="W69" s="257"/>
      <c r="X69" s="256">
        <f t="shared" si="2"/>
        <v>592</v>
      </c>
      <c r="Y69" s="257"/>
      <c r="Z69" s="256"/>
      <c r="AA69" s="257"/>
      <c r="AB69" s="256"/>
      <c r="AC69" s="257"/>
      <c r="AD69" s="256"/>
      <c r="AE69" s="257"/>
      <c r="AF69" s="19"/>
      <c r="AG69" s="20"/>
      <c r="AH69" s="20"/>
      <c r="AI69" s="20"/>
      <c r="AJ69" s="20"/>
      <c r="AK69" s="20"/>
      <c r="AL69" s="20"/>
      <c r="AM69" s="20"/>
      <c r="AN69" s="20"/>
      <c r="AO69" s="21"/>
      <c r="AP69" s="264"/>
      <c r="AQ69" s="265"/>
      <c r="AR69" s="265"/>
      <c r="AS69" s="265"/>
      <c r="AT69" s="265"/>
      <c r="AU69" s="265"/>
      <c r="AV69" s="265"/>
      <c r="AW69" s="265"/>
      <c r="AX69" s="265"/>
      <c r="AY69" s="265"/>
      <c r="AZ69" s="265"/>
      <c r="BA69" s="265"/>
      <c r="BB69" s="265"/>
      <c r="BC69" s="265"/>
      <c r="BD69" s="266"/>
      <c r="BE69" s="11"/>
    </row>
    <row r="70" spans="1:57" s="13" customFormat="1" ht="15" customHeight="1">
      <c r="A70" s="10"/>
      <c r="B70" s="18">
        <f t="shared" si="0"/>
        <v>58</v>
      </c>
      <c r="C70" s="261" t="s">
        <v>274</v>
      </c>
      <c r="D70" s="262"/>
      <c r="E70" s="262"/>
      <c r="F70" s="262"/>
      <c r="G70" s="262"/>
      <c r="H70" s="262"/>
      <c r="I70" s="262"/>
      <c r="J70" s="262"/>
      <c r="K70" s="263"/>
      <c r="L70" s="261" t="s">
        <v>275</v>
      </c>
      <c r="M70" s="262"/>
      <c r="N70" s="262"/>
      <c r="O70" s="262"/>
      <c r="P70" s="262"/>
      <c r="Q70" s="263"/>
      <c r="R70" s="267" t="s">
        <v>19</v>
      </c>
      <c r="S70" s="268"/>
      <c r="T70" s="278">
        <v>1</v>
      </c>
      <c r="U70" s="279"/>
      <c r="V70" s="256">
        <f t="shared" si="1"/>
        <v>1</v>
      </c>
      <c r="W70" s="257"/>
      <c r="X70" s="256">
        <f t="shared" si="2"/>
        <v>600</v>
      </c>
      <c r="Y70" s="257"/>
      <c r="Z70" s="256"/>
      <c r="AA70" s="257"/>
      <c r="AB70" s="256"/>
      <c r="AC70" s="257"/>
      <c r="AD70" s="256"/>
      <c r="AE70" s="257"/>
      <c r="AF70" s="19"/>
      <c r="AG70" s="20"/>
      <c r="AH70" s="20"/>
      <c r="AI70" s="20"/>
      <c r="AJ70" s="20"/>
      <c r="AK70" s="20"/>
      <c r="AL70" s="20"/>
      <c r="AM70" s="20"/>
      <c r="AN70" s="20"/>
      <c r="AO70" s="21"/>
      <c r="AP70" s="264"/>
      <c r="AQ70" s="265"/>
      <c r="AR70" s="265"/>
      <c r="AS70" s="265"/>
      <c r="AT70" s="265"/>
      <c r="AU70" s="265"/>
      <c r="AV70" s="265"/>
      <c r="AW70" s="265"/>
      <c r="AX70" s="265"/>
      <c r="AY70" s="265"/>
      <c r="AZ70" s="265"/>
      <c r="BA70" s="265"/>
      <c r="BB70" s="265"/>
      <c r="BC70" s="265"/>
      <c r="BD70" s="266"/>
      <c r="BE70" s="11"/>
    </row>
    <row r="71" spans="1:57" s="13" customFormat="1" ht="15" customHeight="1">
      <c r="A71" s="10"/>
      <c r="B71" s="18">
        <f t="shared" si="0"/>
        <v>59</v>
      </c>
      <c r="C71" s="261" t="s">
        <v>276</v>
      </c>
      <c r="D71" s="262"/>
      <c r="E71" s="262"/>
      <c r="F71" s="262"/>
      <c r="G71" s="262"/>
      <c r="H71" s="262"/>
      <c r="I71" s="262"/>
      <c r="J71" s="262"/>
      <c r="K71" s="263"/>
      <c r="L71" s="261" t="s">
        <v>277</v>
      </c>
      <c r="M71" s="262"/>
      <c r="N71" s="262"/>
      <c r="O71" s="262"/>
      <c r="P71" s="262"/>
      <c r="Q71" s="263"/>
      <c r="R71" s="267" t="s">
        <v>150</v>
      </c>
      <c r="S71" s="268"/>
      <c r="T71" s="278">
        <v>20</v>
      </c>
      <c r="U71" s="279"/>
      <c r="V71" s="256">
        <f t="shared" si="1"/>
        <v>40</v>
      </c>
      <c r="W71" s="257"/>
      <c r="X71" s="256">
        <f t="shared" si="2"/>
        <v>601</v>
      </c>
      <c r="Y71" s="257"/>
      <c r="Z71" s="256"/>
      <c r="AA71" s="257"/>
      <c r="AB71" s="256"/>
      <c r="AC71" s="257"/>
      <c r="AD71" s="256"/>
      <c r="AE71" s="257"/>
      <c r="AF71" s="19"/>
      <c r="AG71" s="20"/>
      <c r="AH71" s="20"/>
      <c r="AI71" s="20"/>
      <c r="AJ71" s="20"/>
      <c r="AK71" s="20"/>
      <c r="AL71" s="20"/>
      <c r="AM71" s="20"/>
      <c r="AN71" s="20"/>
      <c r="AO71" s="21"/>
      <c r="AP71" s="264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6"/>
      <c r="BE71" s="11"/>
    </row>
    <row r="72" spans="1:57" s="13" customFormat="1" ht="15" customHeight="1">
      <c r="A72" s="10"/>
      <c r="B72" s="18">
        <f t="shared" si="0"/>
        <v>60</v>
      </c>
      <c r="C72" s="261" t="s">
        <v>278</v>
      </c>
      <c r="D72" s="262"/>
      <c r="E72" s="262"/>
      <c r="F72" s="262"/>
      <c r="G72" s="262"/>
      <c r="H72" s="262"/>
      <c r="I72" s="262"/>
      <c r="J72" s="262"/>
      <c r="K72" s="263"/>
      <c r="L72" s="261" t="s">
        <v>279</v>
      </c>
      <c r="M72" s="262"/>
      <c r="N72" s="262"/>
      <c r="O72" s="262"/>
      <c r="P72" s="262"/>
      <c r="Q72" s="263"/>
      <c r="R72" s="267" t="s">
        <v>19</v>
      </c>
      <c r="S72" s="268"/>
      <c r="T72" s="278">
        <v>8</v>
      </c>
      <c r="U72" s="279"/>
      <c r="V72" s="256">
        <f t="shared" si="1"/>
        <v>8</v>
      </c>
      <c r="W72" s="257"/>
      <c r="X72" s="256">
        <f t="shared" si="2"/>
        <v>641</v>
      </c>
      <c r="Y72" s="257"/>
      <c r="Z72" s="256"/>
      <c r="AA72" s="257"/>
      <c r="AB72" s="256"/>
      <c r="AC72" s="257"/>
      <c r="AD72" s="256"/>
      <c r="AE72" s="257"/>
      <c r="AF72" s="19"/>
      <c r="AG72" s="20"/>
      <c r="AH72" s="20"/>
      <c r="AI72" s="20"/>
      <c r="AJ72" s="20"/>
      <c r="AK72" s="20"/>
      <c r="AL72" s="20"/>
      <c r="AM72" s="20"/>
      <c r="AN72" s="20"/>
      <c r="AO72" s="21"/>
      <c r="AP72" s="264"/>
      <c r="AQ72" s="265"/>
      <c r="AR72" s="265"/>
      <c r="AS72" s="265"/>
      <c r="AT72" s="265"/>
      <c r="AU72" s="265"/>
      <c r="AV72" s="265"/>
      <c r="AW72" s="265"/>
      <c r="AX72" s="265"/>
      <c r="AY72" s="265"/>
      <c r="AZ72" s="265"/>
      <c r="BA72" s="265"/>
      <c r="BB72" s="265"/>
      <c r="BC72" s="265"/>
      <c r="BD72" s="266"/>
      <c r="BE72" s="11"/>
    </row>
    <row r="73" spans="1:57" s="13" customFormat="1" ht="15" customHeight="1">
      <c r="A73" s="10"/>
      <c r="B73" s="18">
        <f t="shared" si="0"/>
        <v>61</v>
      </c>
      <c r="C73" s="261" t="s">
        <v>280</v>
      </c>
      <c r="D73" s="262"/>
      <c r="E73" s="262"/>
      <c r="F73" s="262"/>
      <c r="G73" s="262"/>
      <c r="H73" s="262"/>
      <c r="I73" s="262"/>
      <c r="J73" s="262"/>
      <c r="K73" s="263"/>
      <c r="L73" s="261" t="s">
        <v>281</v>
      </c>
      <c r="M73" s="262"/>
      <c r="N73" s="262"/>
      <c r="O73" s="262"/>
      <c r="P73" s="262"/>
      <c r="Q73" s="263"/>
      <c r="R73" s="267" t="s">
        <v>19</v>
      </c>
      <c r="S73" s="268"/>
      <c r="T73" s="278">
        <v>20</v>
      </c>
      <c r="U73" s="279"/>
      <c r="V73" s="256">
        <f t="shared" si="1"/>
        <v>20</v>
      </c>
      <c r="W73" s="257"/>
      <c r="X73" s="256">
        <f t="shared" si="2"/>
        <v>649</v>
      </c>
      <c r="Y73" s="257"/>
      <c r="Z73" s="256"/>
      <c r="AA73" s="257"/>
      <c r="AB73" s="256"/>
      <c r="AC73" s="257"/>
      <c r="AD73" s="256"/>
      <c r="AE73" s="257"/>
      <c r="AF73" s="19"/>
      <c r="AG73" s="20"/>
      <c r="AH73" s="20"/>
      <c r="AI73" s="20"/>
      <c r="AJ73" s="20"/>
      <c r="AK73" s="20"/>
      <c r="AL73" s="20"/>
      <c r="AM73" s="20"/>
      <c r="AN73" s="20"/>
      <c r="AO73" s="21"/>
      <c r="AP73" s="264"/>
      <c r="AQ73" s="265"/>
      <c r="AR73" s="265"/>
      <c r="AS73" s="265"/>
      <c r="AT73" s="265"/>
      <c r="AU73" s="265"/>
      <c r="AV73" s="265"/>
      <c r="AW73" s="265"/>
      <c r="AX73" s="265"/>
      <c r="AY73" s="265"/>
      <c r="AZ73" s="265"/>
      <c r="BA73" s="265"/>
      <c r="BB73" s="265"/>
      <c r="BC73" s="265"/>
      <c r="BD73" s="266"/>
      <c r="BE73" s="11"/>
    </row>
    <row r="74" spans="1:57" s="13" customFormat="1" ht="15" customHeight="1">
      <c r="A74" s="10"/>
      <c r="B74" s="18">
        <f t="shared" si="0"/>
        <v>62</v>
      </c>
      <c r="C74" s="261" t="s">
        <v>282</v>
      </c>
      <c r="D74" s="262"/>
      <c r="E74" s="262"/>
      <c r="F74" s="262"/>
      <c r="G74" s="262"/>
      <c r="H74" s="262"/>
      <c r="I74" s="262"/>
      <c r="J74" s="262"/>
      <c r="K74" s="263"/>
      <c r="L74" s="261" t="s">
        <v>283</v>
      </c>
      <c r="M74" s="262"/>
      <c r="N74" s="262"/>
      <c r="O74" s="262"/>
      <c r="P74" s="262"/>
      <c r="Q74" s="263"/>
      <c r="R74" s="267" t="s">
        <v>19</v>
      </c>
      <c r="S74" s="268"/>
      <c r="T74" s="278">
        <v>20</v>
      </c>
      <c r="U74" s="279"/>
      <c r="V74" s="256">
        <f t="shared" si="1"/>
        <v>20</v>
      </c>
      <c r="W74" s="257"/>
      <c r="X74" s="256">
        <f t="shared" si="2"/>
        <v>669</v>
      </c>
      <c r="Y74" s="257"/>
      <c r="Z74" s="256"/>
      <c r="AA74" s="257"/>
      <c r="AB74" s="256"/>
      <c r="AC74" s="257"/>
      <c r="AD74" s="256"/>
      <c r="AE74" s="257"/>
      <c r="AF74" s="19"/>
      <c r="AG74" s="20"/>
      <c r="AH74" s="20"/>
      <c r="AI74" s="20"/>
      <c r="AJ74" s="20"/>
      <c r="AK74" s="20"/>
      <c r="AL74" s="20"/>
      <c r="AM74" s="20"/>
      <c r="AN74" s="20"/>
      <c r="AO74" s="21"/>
      <c r="AP74" s="264"/>
      <c r="AQ74" s="265"/>
      <c r="AR74" s="265"/>
      <c r="AS74" s="265"/>
      <c r="AT74" s="265"/>
      <c r="AU74" s="265"/>
      <c r="AV74" s="265"/>
      <c r="AW74" s="265"/>
      <c r="AX74" s="265"/>
      <c r="AY74" s="265"/>
      <c r="AZ74" s="265"/>
      <c r="BA74" s="265"/>
      <c r="BB74" s="265"/>
      <c r="BC74" s="265"/>
      <c r="BD74" s="266"/>
      <c r="BE74" s="11"/>
    </row>
    <row r="75" spans="1:57" s="13" customFormat="1" ht="15" customHeight="1">
      <c r="A75" s="10"/>
      <c r="B75" s="18">
        <f t="shared" si="0"/>
        <v>63</v>
      </c>
      <c r="C75" s="261" t="s">
        <v>22</v>
      </c>
      <c r="D75" s="262"/>
      <c r="E75" s="262"/>
      <c r="F75" s="262"/>
      <c r="G75" s="262"/>
      <c r="H75" s="262"/>
      <c r="I75" s="262"/>
      <c r="J75" s="262"/>
      <c r="K75" s="263"/>
      <c r="L75" s="261" t="s">
        <v>79</v>
      </c>
      <c r="M75" s="262"/>
      <c r="N75" s="262"/>
      <c r="O75" s="262"/>
      <c r="P75" s="262"/>
      <c r="Q75" s="263"/>
      <c r="R75" s="267" t="s">
        <v>19</v>
      </c>
      <c r="S75" s="268"/>
      <c r="T75" s="278">
        <v>1</v>
      </c>
      <c r="U75" s="279"/>
      <c r="V75" s="256">
        <f t="shared" si="1"/>
        <v>1</v>
      </c>
      <c r="W75" s="257"/>
      <c r="X75" s="256">
        <f t="shared" si="2"/>
        <v>689</v>
      </c>
      <c r="Y75" s="257"/>
      <c r="Z75" s="256"/>
      <c r="AA75" s="257"/>
      <c r="AB75" s="256"/>
      <c r="AC75" s="257"/>
      <c r="AD75" s="256"/>
      <c r="AE75" s="257"/>
      <c r="AF75" s="19"/>
      <c r="AG75" s="20"/>
      <c r="AH75" s="20"/>
      <c r="AI75" s="20"/>
      <c r="AJ75" s="20"/>
      <c r="AK75" s="20"/>
      <c r="AL75" s="20"/>
      <c r="AM75" s="20"/>
      <c r="AN75" s="20"/>
      <c r="AO75" s="21"/>
      <c r="AP75" s="264"/>
      <c r="AQ75" s="265"/>
      <c r="AR75" s="265"/>
      <c r="AS75" s="265"/>
      <c r="AT75" s="265"/>
      <c r="AU75" s="265"/>
      <c r="AV75" s="265"/>
      <c r="AW75" s="265"/>
      <c r="AX75" s="265"/>
      <c r="AY75" s="265"/>
      <c r="AZ75" s="265"/>
      <c r="BA75" s="265"/>
      <c r="BB75" s="265"/>
      <c r="BC75" s="265"/>
      <c r="BD75" s="266"/>
      <c r="BE75" s="11"/>
    </row>
    <row r="76" spans="1:57" s="13" customFormat="1" ht="15" customHeight="1">
      <c r="A76" s="10"/>
      <c r="B76" s="18">
        <f t="shared" si="0"/>
        <v>64</v>
      </c>
      <c r="C76" s="261" t="s">
        <v>23</v>
      </c>
      <c r="D76" s="262"/>
      <c r="E76" s="262"/>
      <c r="F76" s="262"/>
      <c r="G76" s="262"/>
      <c r="H76" s="262"/>
      <c r="I76" s="262"/>
      <c r="J76" s="262"/>
      <c r="K76" s="263"/>
      <c r="L76" s="261" t="s">
        <v>284</v>
      </c>
      <c r="M76" s="262"/>
      <c r="N76" s="262"/>
      <c r="O76" s="262"/>
      <c r="P76" s="262"/>
      <c r="Q76" s="263"/>
      <c r="R76" s="267" t="s">
        <v>19</v>
      </c>
      <c r="S76" s="268"/>
      <c r="T76" s="278">
        <v>1</v>
      </c>
      <c r="U76" s="279"/>
      <c r="V76" s="256">
        <f t="shared" si="1"/>
        <v>1</v>
      </c>
      <c r="W76" s="257"/>
      <c r="X76" s="256">
        <f t="shared" si="2"/>
        <v>690</v>
      </c>
      <c r="Y76" s="257"/>
      <c r="Z76" s="256"/>
      <c r="AA76" s="257"/>
      <c r="AB76" s="256"/>
      <c r="AC76" s="257"/>
      <c r="AD76" s="256"/>
      <c r="AE76" s="257"/>
      <c r="AF76" s="19"/>
      <c r="AG76" s="20"/>
      <c r="AH76" s="20"/>
      <c r="AI76" s="20"/>
      <c r="AJ76" s="20"/>
      <c r="AK76" s="20"/>
      <c r="AL76" s="20"/>
      <c r="AM76" s="20"/>
      <c r="AN76" s="20"/>
      <c r="AO76" s="21"/>
      <c r="AP76" s="264"/>
      <c r="AQ76" s="265"/>
      <c r="AR76" s="265"/>
      <c r="AS76" s="265"/>
      <c r="AT76" s="265"/>
      <c r="AU76" s="265"/>
      <c r="AV76" s="265"/>
      <c r="AW76" s="265"/>
      <c r="AX76" s="265"/>
      <c r="AY76" s="265"/>
      <c r="AZ76" s="265"/>
      <c r="BA76" s="265"/>
      <c r="BB76" s="265"/>
      <c r="BC76" s="265"/>
      <c r="BD76" s="266"/>
      <c r="BE76" s="11"/>
    </row>
    <row r="77" spans="1:57" s="13" customFormat="1" ht="15" customHeight="1">
      <c r="A77" s="10"/>
      <c r="B77" s="18">
        <f t="shared" si="0"/>
        <v>65</v>
      </c>
      <c r="C77" s="261" t="s">
        <v>64</v>
      </c>
      <c r="D77" s="262"/>
      <c r="E77" s="262"/>
      <c r="F77" s="262"/>
      <c r="G77" s="262"/>
      <c r="H77" s="262"/>
      <c r="I77" s="262"/>
      <c r="J77" s="262"/>
      <c r="K77" s="263"/>
      <c r="L77" s="261" t="s">
        <v>285</v>
      </c>
      <c r="M77" s="262"/>
      <c r="N77" s="262"/>
      <c r="O77" s="262"/>
      <c r="P77" s="262"/>
      <c r="Q77" s="263"/>
      <c r="R77" s="267" t="s">
        <v>19</v>
      </c>
      <c r="S77" s="268"/>
      <c r="T77" s="278">
        <v>8</v>
      </c>
      <c r="U77" s="279"/>
      <c r="V77" s="256">
        <f t="shared" si="1"/>
        <v>8</v>
      </c>
      <c r="W77" s="257"/>
      <c r="X77" s="256">
        <f t="shared" si="2"/>
        <v>691</v>
      </c>
      <c r="Y77" s="257"/>
      <c r="Z77" s="256"/>
      <c r="AA77" s="257"/>
      <c r="AB77" s="256"/>
      <c r="AC77" s="257"/>
      <c r="AD77" s="256"/>
      <c r="AE77" s="257"/>
      <c r="AF77" s="19"/>
      <c r="AG77" s="20"/>
      <c r="AH77" s="20"/>
      <c r="AI77" s="20"/>
      <c r="AJ77" s="20"/>
      <c r="AK77" s="20"/>
      <c r="AL77" s="20"/>
      <c r="AM77" s="20"/>
      <c r="AN77" s="20"/>
      <c r="AO77" s="21"/>
      <c r="AP77" s="264"/>
      <c r="AQ77" s="265"/>
      <c r="AR77" s="265"/>
      <c r="AS77" s="265"/>
      <c r="AT77" s="265"/>
      <c r="AU77" s="265"/>
      <c r="AV77" s="265"/>
      <c r="AW77" s="265"/>
      <c r="AX77" s="265"/>
      <c r="AY77" s="265"/>
      <c r="AZ77" s="265"/>
      <c r="BA77" s="265"/>
      <c r="BB77" s="265"/>
      <c r="BC77" s="265"/>
      <c r="BD77" s="266"/>
      <c r="BE77" s="11"/>
    </row>
    <row r="78" spans="1:57" s="13" customFormat="1" ht="15" customHeight="1">
      <c r="A78" s="10"/>
      <c r="B78" s="18">
        <f t="shared" ref="B78:B141" si="3">B77+1</f>
        <v>66</v>
      </c>
      <c r="C78" s="261" t="s">
        <v>24</v>
      </c>
      <c r="D78" s="262"/>
      <c r="E78" s="262"/>
      <c r="F78" s="262"/>
      <c r="G78" s="262"/>
      <c r="H78" s="262"/>
      <c r="I78" s="262"/>
      <c r="J78" s="262"/>
      <c r="K78" s="263"/>
      <c r="L78" s="261" t="s">
        <v>59</v>
      </c>
      <c r="M78" s="262"/>
      <c r="N78" s="262"/>
      <c r="O78" s="262"/>
      <c r="P78" s="262"/>
      <c r="Q78" s="263"/>
      <c r="R78" s="267" t="s">
        <v>19</v>
      </c>
      <c r="S78" s="268"/>
      <c r="T78" s="278">
        <v>2</v>
      </c>
      <c r="U78" s="279"/>
      <c r="V78" s="256">
        <f t="shared" si="1"/>
        <v>2</v>
      </c>
      <c r="W78" s="257"/>
      <c r="X78" s="256">
        <f t="shared" ref="X78:X141" si="4">IF(C78&lt;&gt;"",IF(V77="",X77,V77+X77),"")</f>
        <v>699</v>
      </c>
      <c r="Y78" s="257"/>
      <c r="Z78" s="256"/>
      <c r="AA78" s="257"/>
      <c r="AB78" s="256"/>
      <c r="AC78" s="257"/>
      <c r="AD78" s="256"/>
      <c r="AE78" s="257"/>
      <c r="AF78" s="19"/>
      <c r="AG78" s="20"/>
      <c r="AH78" s="20"/>
      <c r="AI78" s="20"/>
      <c r="AJ78" s="20"/>
      <c r="AK78" s="20"/>
      <c r="AL78" s="20"/>
      <c r="AM78" s="20"/>
      <c r="AN78" s="20"/>
      <c r="AO78" s="21"/>
      <c r="AP78" s="264"/>
      <c r="AQ78" s="265"/>
      <c r="AR78" s="265"/>
      <c r="AS78" s="265"/>
      <c r="AT78" s="265"/>
      <c r="AU78" s="265"/>
      <c r="AV78" s="265"/>
      <c r="AW78" s="265"/>
      <c r="AX78" s="265"/>
      <c r="AY78" s="265"/>
      <c r="AZ78" s="265"/>
      <c r="BA78" s="265"/>
      <c r="BB78" s="265"/>
      <c r="BC78" s="265"/>
      <c r="BD78" s="266"/>
      <c r="BE78" s="11"/>
    </row>
    <row r="79" spans="1:57" s="13" customFormat="1" ht="15" customHeight="1">
      <c r="A79" s="10"/>
      <c r="B79" s="18">
        <f t="shared" si="3"/>
        <v>67</v>
      </c>
      <c r="C79" s="261" t="s">
        <v>65</v>
      </c>
      <c r="D79" s="262"/>
      <c r="E79" s="262"/>
      <c r="F79" s="262"/>
      <c r="G79" s="262"/>
      <c r="H79" s="262"/>
      <c r="I79" s="262"/>
      <c r="J79" s="262"/>
      <c r="K79" s="263"/>
      <c r="L79" s="261" t="s">
        <v>66</v>
      </c>
      <c r="M79" s="262"/>
      <c r="N79" s="262"/>
      <c r="O79" s="262"/>
      <c r="P79" s="262"/>
      <c r="Q79" s="263"/>
      <c r="R79" s="267" t="s">
        <v>19</v>
      </c>
      <c r="S79" s="268"/>
      <c r="T79" s="278">
        <v>4</v>
      </c>
      <c r="U79" s="279"/>
      <c r="V79" s="256">
        <f t="shared" ref="V79:V144" si="5">IF(R79&lt;&gt;"",IF(R79="N",T79*2,IF(R79="DATE",8,IF(R79="TIMESTAMP",26,T79))),"")</f>
        <v>4</v>
      </c>
      <c r="W79" s="257"/>
      <c r="X79" s="256">
        <f t="shared" si="4"/>
        <v>701</v>
      </c>
      <c r="Y79" s="257"/>
      <c r="Z79" s="256"/>
      <c r="AA79" s="257"/>
      <c r="AB79" s="256"/>
      <c r="AC79" s="257"/>
      <c r="AD79" s="256"/>
      <c r="AE79" s="257"/>
      <c r="AF79" s="19"/>
      <c r="AG79" s="20"/>
      <c r="AH79" s="20"/>
      <c r="AI79" s="20"/>
      <c r="AJ79" s="20"/>
      <c r="AK79" s="20"/>
      <c r="AL79" s="20"/>
      <c r="AM79" s="20"/>
      <c r="AN79" s="20"/>
      <c r="AO79" s="21"/>
      <c r="AP79" s="264"/>
      <c r="AQ79" s="265"/>
      <c r="AR79" s="265"/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  <c r="BC79" s="265"/>
      <c r="BD79" s="266"/>
      <c r="BE79" s="11"/>
    </row>
    <row r="80" spans="1:57" s="13" customFormat="1" ht="15" customHeight="1">
      <c r="A80" s="10"/>
      <c r="B80" s="18">
        <f t="shared" si="3"/>
        <v>68</v>
      </c>
      <c r="C80" s="261" t="s">
        <v>67</v>
      </c>
      <c r="D80" s="262"/>
      <c r="E80" s="262"/>
      <c r="F80" s="262"/>
      <c r="G80" s="262"/>
      <c r="H80" s="262"/>
      <c r="I80" s="262"/>
      <c r="J80" s="262"/>
      <c r="K80" s="263"/>
      <c r="L80" s="261" t="s">
        <v>68</v>
      </c>
      <c r="M80" s="262"/>
      <c r="N80" s="262"/>
      <c r="O80" s="262"/>
      <c r="P80" s="262"/>
      <c r="Q80" s="263"/>
      <c r="R80" s="267" t="s">
        <v>19</v>
      </c>
      <c r="S80" s="268"/>
      <c r="T80" s="278">
        <v>3</v>
      </c>
      <c r="U80" s="279"/>
      <c r="V80" s="256">
        <f t="shared" si="5"/>
        <v>3</v>
      </c>
      <c r="W80" s="257"/>
      <c r="X80" s="256">
        <f t="shared" si="4"/>
        <v>705</v>
      </c>
      <c r="Y80" s="257"/>
      <c r="Z80" s="256"/>
      <c r="AA80" s="257"/>
      <c r="AB80" s="256"/>
      <c r="AC80" s="257"/>
      <c r="AD80" s="256"/>
      <c r="AE80" s="257"/>
      <c r="AF80" s="19"/>
      <c r="AG80" s="20"/>
      <c r="AH80" s="20"/>
      <c r="AI80" s="20"/>
      <c r="AJ80" s="20"/>
      <c r="AK80" s="20"/>
      <c r="AL80" s="20"/>
      <c r="AM80" s="20"/>
      <c r="AN80" s="20"/>
      <c r="AO80" s="21"/>
      <c r="AP80" s="264"/>
      <c r="AQ80" s="265"/>
      <c r="AR80" s="265"/>
      <c r="AS80" s="265"/>
      <c r="AT80" s="265"/>
      <c r="AU80" s="265"/>
      <c r="AV80" s="265"/>
      <c r="AW80" s="265"/>
      <c r="AX80" s="265"/>
      <c r="AY80" s="265"/>
      <c r="AZ80" s="265"/>
      <c r="BA80" s="265"/>
      <c r="BB80" s="265"/>
      <c r="BC80" s="265"/>
      <c r="BD80" s="266"/>
      <c r="BE80" s="11"/>
    </row>
    <row r="81" spans="1:57" s="13" customFormat="1" ht="15" customHeight="1">
      <c r="A81" s="10"/>
      <c r="B81" s="18">
        <f t="shared" si="3"/>
        <v>69</v>
      </c>
      <c r="C81" s="261" t="s">
        <v>69</v>
      </c>
      <c r="D81" s="262"/>
      <c r="E81" s="262"/>
      <c r="F81" s="262"/>
      <c r="G81" s="262"/>
      <c r="H81" s="262"/>
      <c r="I81" s="262"/>
      <c r="J81" s="262"/>
      <c r="K81" s="263"/>
      <c r="L81" s="261" t="s">
        <v>70</v>
      </c>
      <c r="M81" s="262"/>
      <c r="N81" s="262"/>
      <c r="O81" s="262"/>
      <c r="P81" s="262"/>
      <c r="Q81" s="263"/>
      <c r="R81" s="267" t="s">
        <v>19</v>
      </c>
      <c r="S81" s="268"/>
      <c r="T81" s="278">
        <v>4</v>
      </c>
      <c r="U81" s="279"/>
      <c r="V81" s="256">
        <f t="shared" si="5"/>
        <v>4</v>
      </c>
      <c r="W81" s="257"/>
      <c r="X81" s="256">
        <f t="shared" si="4"/>
        <v>708</v>
      </c>
      <c r="Y81" s="257"/>
      <c r="Z81" s="256"/>
      <c r="AA81" s="257"/>
      <c r="AB81" s="256"/>
      <c r="AC81" s="257"/>
      <c r="AD81" s="256"/>
      <c r="AE81" s="257"/>
      <c r="AF81" s="19"/>
      <c r="AG81" s="20"/>
      <c r="AH81" s="20"/>
      <c r="AI81" s="20"/>
      <c r="AJ81" s="20"/>
      <c r="AK81" s="20"/>
      <c r="AL81" s="20"/>
      <c r="AM81" s="20"/>
      <c r="AN81" s="20"/>
      <c r="AO81" s="21"/>
      <c r="AP81" s="264"/>
      <c r="AQ81" s="265"/>
      <c r="AR81" s="265"/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  <c r="BD81" s="266"/>
      <c r="BE81" s="11"/>
    </row>
    <row r="82" spans="1:57" s="13" customFormat="1" ht="15" customHeight="1">
      <c r="A82" s="10"/>
      <c r="B82" s="18">
        <f t="shared" si="3"/>
        <v>70</v>
      </c>
      <c r="C82" s="261" t="s">
        <v>71</v>
      </c>
      <c r="D82" s="262"/>
      <c r="E82" s="262"/>
      <c r="F82" s="262"/>
      <c r="G82" s="262"/>
      <c r="H82" s="262"/>
      <c r="I82" s="262"/>
      <c r="J82" s="262"/>
      <c r="K82" s="263"/>
      <c r="L82" s="261" t="s">
        <v>72</v>
      </c>
      <c r="M82" s="262"/>
      <c r="N82" s="262"/>
      <c r="O82" s="262"/>
      <c r="P82" s="262"/>
      <c r="Q82" s="263"/>
      <c r="R82" s="267" t="s">
        <v>19</v>
      </c>
      <c r="S82" s="268"/>
      <c r="T82" s="278">
        <v>3</v>
      </c>
      <c r="U82" s="279"/>
      <c r="V82" s="256">
        <f t="shared" si="5"/>
        <v>3</v>
      </c>
      <c r="W82" s="257"/>
      <c r="X82" s="256">
        <f t="shared" si="4"/>
        <v>712</v>
      </c>
      <c r="Y82" s="257"/>
      <c r="Z82" s="256"/>
      <c r="AA82" s="257"/>
      <c r="AB82" s="256"/>
      <c r="AC82" s="257"/>
      <c r="AD82" s="256"/>
      <c r="AE82" s="257"/>
      <c r="AF82" s="19"/>
      <c r="AG82" s="20"/>
      <c r="AH82" s="20"/>
      <c r="AI82" s="20"/>
      <c r="AJ82" s="20"/>
      <c r="AK82" s="20"/>
      <c r="AL82" s="20"/>
      <c r="AM82" s="20"/>
      <c r="AN82" s="20"/>
      <c r="AO82" s="21"/>
      <c r="AP82" s="264"/>
      <c r="AQ82" s="265"/>
      <c r="AR82" s="265"/>
      <c r="AS82" s="265"/>
      <c r="AT82" s="265"/>
      <c r="AU82" s="265"/>
      <c r="AV82" s="265"/>
      <c r="AW82" s="265"/>
      <c r="AX82" s="265"/>
      <c r="AY82" s="265"/>
      <c r="AZ82" s="265"/>
      <c r="BA82" s="265"/>
      <c r="BB82" s="265"/>
      <c r="BC82" s="265"/>
      <c r="BD82" s="266"/>
      <c r="BE82" s="11"/>
    </row>
    <row r="83" spans="1:57" s="13" customFormat="1" ht="15" customHeight="1">
      <c r="A83" s="10"/>
      <c r="B83" s="18">
        <f t="shared" si="3"/>
        <v>71</v>
      </c>
      <c r="C83" s="261" t="s">
        <v>73</v>
      </c>
      <c r="D83" s="262"/>
      <c r="E83" s="262"/>
      <c r="F83" s="262"/>
      <c r="G83" s="262"/>
      <c r="H83" s="262"/>
      <c r="I83" s="262"/>
      <c r="J83" s="262"/>
      <c r="K83" s="263"/>
      <c r="L83" s="261" t="s">
        <v>74</v>
      </c>
      <c r="M83" s="262"/>
      <c r="N83" s="262"/>
      <c r="O83" s="262"/>
      <c r="P83" s="262"/>
      <c r="Q83" s="263"/>
      <c r="R83" s="267" t="s">
        <v>19</v>
      </c>
      <c r="S83" s="268"/>
      <c r="T83" s="278">
        <v>4</v>
      </c>
      <c r="U83" s="279"/>
      <c r="V83" s="256">
        <f t="shared" si="5"/>
        <v>4</v>
      </c>
      <c r="W83" s="257"/>
      <c r="X83" s="256">
        <f t="shared" si="4"/>
        <v>715</v>
      </c>
      <c r="Y83" s="257"/>
      <c r="Z83" s="256"/>
      <c r="AA83" s="257"/>
      <c r="AB83" s="256"/>
      <c r="AC83" s="257"/>
      <c r="AD83" s="256"/>
      <c r="AE83" s="257"/>
      <c r="AF83" s="19"/>
      <c r="AG83" s="20"/>
      <c r="AH83" s="20"/>
      <c r="AI83" s="20"/>
      <c r="AJ83" s="20"/>
      <c r="AK83" s="20"/>
      <c r="AL83" s="20"/>
      <c r="AM83" s="20"/>
      <c r="AN83" s="20"/>
      <c r="AO83" s="21"/>
      <c r="AP83" s="264"/>
      <c r="AQ83" s="265"/>
      <c r="AR83" s="265"/>
      <c r="AS83" s="265"/>
      <c r="AT83" s="265"/>
      <c r="AU83" s="265"/>
      <c r="AV83" s="265"/>
      <c r="AW83" s="265"/>
      <c r="AX83" s="265"/>
      <c r="AY83" s="265"/>
      <c r="AZ83" s="265"/>
      <c r="BA83" s="265"/>
      <c r="BB83" s="265"/>
      <c r="BC83" s="265"/>
      <c r="BD83" s="266"/>
      <c r="BE83" s="11"/>
    </row>
    <row r="84" spans="1:57" s="13" customFormat="1" ht="15" customHeight="1">
      <c r="A84" s="10"/>
      <c r="B84" s="18">
        <f t="shared" si="3"/>
        <v>72</v>
      </c>
      <c r="C84" s="261" t="s">
        <v>75</v>
      </c>
      <c r="D84" s="262"/>
      <c r="E84" s="262"/>
      <c r="F84" s="262"/>
      <c r="G84" s="262"/>
      <c r="H84" s="262"/>
      <c r="I84" s="262"/>
      <c r="J84" s="262"/>
      <c r="K84" s="263"/>
      <c r="L84" s="261" t="s">
        <v>76</v>
      </c>
      <c r="M84" s="262"/>
      <c r="N84" s="262"/>
      <c r="O84" s="262"/>
      <c r="P84" s="262"/>
      <c r="Q84" s="263"/>
      <c r="R84" s="267" t="s">
        <v>19</v>
      </c>
      <c r="S84" s="268"/>
      <c r="T84" s="278">
        <v>3</v>
      </c>
      <c r="U84" s="279"/>
      <c r="V84" s="256">
        <f t="shared" si="5"/>
        <v>3</v>
      </c>
      <c r="W84" s="257"/>
      <c r="X84" s="256">
        <f t="shared" si="4"/>
        <v>719</v>
      </c>
      <c r="Y84" s="257"/>
      <c r="Z84" s="256"/>
      <c r="AA84" s="257"/>
      <c r="AB84" s="256"/>
      <c r="AC84" s="257"/>
      <c r="AD84" s="256"/>
      <c r="AE84" s="257"/>
      <c r="AF84" s="19"/>
      <c r="AG84" s="20"/>
      <c r="AH84" s="20"/>
      <c r="AI84" s="20"/>
      <c r="AJ84" s="20"/>
      <c r="AK84" s="20"/>
      <c r="AL84" s="20"/>
      <c r="AM84" s="20"/>
      <c r="AN84" s="20"/>
      <c r="AO84" s="21"/>
      <c r="AP84" s="264"/>
      <c r="AQ84" s="265"/>
      <c r="AR84" s="265"/>
      <c r="AS84" s="265"/>
      <c r="AT84" s="265"/>
      <c r="AU84" s="265"/>
      <c r="AV84" s="265"/>
      <c r="AW84" s="265"/>
      <c r="AX84" s="265"/>
      <c r="AY84" s="265"/>
      <c r="AZ84" s="265"/>
      <c r="BA84" s="265"/>
      <c r="BB84" s="265"/>
      <c r="BC84" s="265"/>
      <c r="BD84" s="266"/>
      <c r="BE84" s="11"/>
    </row>
    <row r="85" spans="1:57" s="13" customFormat="1" ht="15" customHeight="1">
      <c r="A85" s="10"/>
      <c r="B85" s="18">
        <f t="shared" si="3"/>
        <v>73</v>
      </c>
      <c r="C85" s="261" t="s">
        <v>25</v>
      </c>
      <c r="D85" s="262"/>
      <c r="E85" s="262"/>
      <c r="F85" s="262"/>
      <c r="G85" s="262"/>
      <c r="H85" s="262"/>
      <c r="I85" s="262"/>
      <c r="J85" s="262"/>
      <c r="K85" s="263"/>
      <c r="L85" s="261" t="s">
        <v>82</v>
      </c>
      <c r="M85" s="262"/>
      <c r="N85" s="262"/>
      <c r="O85" s="262"/>
      <c r="P85" s="262"/>
      <c r="Q85" s="263"/>
      <c r="R85" s="267" t="s">
        <v>19</v>
      </c>
      <c r="S85" s="268"/>
      <c r="T85" s="278">
        <v>3</v>
      </c>
      <c r="U85" s="279"/>
      <c r="V85" s="256">
        <f t="shared" si="5"/>
        <v>3</v>
      </c>
      <c r="W85" s="257"/>
      <c r="X85" s="256">
        <f t="shared" si="4"/>
        <v>722</v>
      </c>
      <c r="Y85" s="257"/>
      <c r="Z85" s="256"/>
      <c r="AA85" s="257"/>
      <c r="AB85" s="256"/>
      <c r="AC85" s="257"/>
      <c r="AD85" s="256"/>
      <c r="AE85" s="257"/>
      <c r="AF85" s="19"/>
      <c r="AG85" s="20"/>
      <c r="AH85" s="20"/>
      <c r="AI85" s="20"/>
      <c r="AJ85" s="20"/>
      <c r="AK85" s="20"/>
      <c r="AL85" s="20"/>
      <c r="AM85" s="20"/>
      <c r="AN85" s="20"/>
      <c r="AO85" s="21"/>
      <c r="AP85" s="264"/>
      <c r="AQ85" s="265"/>
      <c r="AR85" s="265"/>
      <c r="AS85" s="265"/>
      <c r="AT85" s="265"/>
      <c r="AU85" s="265"/>
      <c r="AV85" s="265"/>
      <c r="AW85" s="265"/>
      <c r="AX85" s="265"/>
      <c r="AY85" s="265"/>
      <c r="AZ85" s="265"/>
      <c r="BA85" s="265"/>
      <c r="BB85" s="265"/>
      <c r="BC85" s="265"/>
      <c r="BD85" s="266"/>
      <c r="BE85" s="11"/>
    </row>
    <row r="86" spans="1:57" s="13" customFormat="1" ht="15" customHeight="1">
      <c r="A86" s="10"/>
      <c r="B86" s="18">
        <f t="shared" si="3"/>
        <v>74</v>
      </c>
      <c r="C86" s="261" t="s">
        <v>26</v>
      </c>
      <c r="D86" s="262"/>
      <c r="E86" s="262"/>
      <c r="F86" s="262"/>
      <c r="G86" s="262"/>
      <c r="H86" s="262"/>
      <c r="I86" s="262"/>
      <c r="J86" s="262"/>
      <c r="K86" s="263"/>
      <c r="L86" s="261" t="s">
        <v>83</v>
      </c>
      <c r="M86" s="262"/>
      <c r="N86" s="262"/>
      <c r="O86" s="262"/>
      <c r="P86" s="262"/>
      <c r="Q86" s="263"/>
      <c r="R86" s="267" t="s">
        <v>19</v>
      </c>
      <c r="S86" s="268"/>
      <c r="T86" s="278">
        <v>8</v>
      </c>
      <c r="U86" s="279"/>
      <c r="V86" s="256">
        <f t="shared" si="5"/>
        <v>8</v>
      </c>
      <c r="W86" s="257"/>
      <c r="X86" s="256">
        <f t="shared" si="4"/>
        <v>725</v>
      </c>
      <c r="Y86" s="257"/>
      <c r="Z86" s="256"/>
      <c r="AA86" s="257"/>
      <c r="AB86" s="256"/>
      <c r="AC86" s="257"/>
      <c r="AD86" s="256"/>
      <c r="AE86" s="257"/>
      <c r="AF86" s="19"/>
      <c r="AG86" s="20"/>
      <c r="AH86" s="20"/>
      <c r="AI86" s="20"/>
      <c r="AJ86" s="20"/>
      <c r="AK86" s="20"/>
      <c r="AL86" s="20"/>
      <c r="AM86" s="20"/>
      <c r="AN86" s="20"/>
      <c r="AO86" s="21"/>
      <c r="AP86" s="264"/>
      <c r="AQ86" s="265"/>
      <c r="AR86" s="265"/>
      <c r="AS86" s="265"/>
      <c r="AT86" s="265"/>
      <c r="AU86" s="265"/>
      <c r="AV86" s="265"/>
      <c r="AW86" s="265"/>
      <c r="AX86" s="265"/>
      <c r="AY86" s="265"/>
      <c r="AZ86" s="265"/>
      <c r="BA86" s="265"/>
      <c r="BB86" s="265"/>
      <c r="BC86" s="265"/>
      <c r="BD86" s="266"/>
      <c r="BE86" s="11"/>
    </row>
    <row r="87" spans="1:57" s="13" customFormat="1" ht="15" customHeight="1">
      <c r="A87" s="24"/>
      <c r="B87" s="25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7"/>
    </row>
    <row r="88" spans="1:57" s="13" customFormat="1" ht="15" customHeight="1">
      <c r="A88" s="10"/>
      <c r="B88" s="18">
        <f>B86+1</f>
        <v>75</v>
      </c>
      <c r="C88" s="261" t="s">
        <v>286</v>
      </c>
      <c r="D88" s="262"/>
      <c r="E88" s="262"/>
      <c r="F88" s="262"/>
      <c r="G88" s="262"/>
      <c r="H88" s="262"/>
      <c r="I88" s="262"/>
      <c r="J88" s="262"/>
      <c r="K88" s="263"/>
      <c r="L88" s="261" t="s">
        <v>287</v>
      </c>
      <c r="M88" s="262"/>
      <c r="N88" s="262"/>
      <c r="O88" s="262"/>
      <c r="P88" s="262"/>
      <c r="Q88" s="263"/>
      <c r="R88" s="267" t="s">
        <v>19</v>
      </c>
      <c r="S88" s="268"/>
      <c r="T88" s="278">
        <v>6</v>
      </c>
      <c r="U88" s="279"/>
      <c r="V88" s="256">
        <f t="shared" si="5"/>
        <v>6</v>
      </c>
      <c r="W88" s="257"/>
      <c r="X88" s="256">
        <f>IF(C88&lt;&gt;"",IF(V86="",X86,V86+X86),"")</f>
        <v>733</v>
      </c>
      <c r="Y88" s="257"/>
      <c r="Z88" s="256"/>
      <c r="AA88" s="257"/>
      <c r="AB88" s="256"/>
      <c r="AC88" s="257"/>
      <c r="AD88" s="256"/>
      <c r="AE88" s="257"/>
      <c r="AF88" s="19"/>
      <c r="AG88" s="20"/>
      <c r="AH88" s="20"/>
      <c r="AI88" s="20"/>
      <c r="AJ88" s="20"/>
      <c r="AK88" s="20"/>
      <c r="AL88" s="20"/>
      <c r="AM88" s="20"/>
      <c r="AN88" s="20"/>
      <c r="AO88" s="21"/>
      <c r="AP88" s="264"/>
      <c r="AQ88" s="265"/>
      <c r="AR88" s="265"/>
      <c r="AS88" s="265"/>
      <c r="AT88" s="265"/>
      <c r="AU88" s="265"/>
      <c r="AV88" s="265"/>
      <c r="AW88" s="265"/>
      <c r="AX88" s="265"/>
      <c r="AY88" s="265"/>
      <c r="AZ88" s="265"/>
      <c r="BA88" s="265"/>
      <c r="BB88" s="265"/>
      <c r="BC88" s="265"/>
      <c r="BD88" s="266"/>
      <c r="BE88" s="11"/>
    </row>
    <row r="89" spans="1:57" s="13" customFormat="1" ht="15" customHeight="1">
      <c r="A89" s="10"/>
      <c r="B89" s="18">
        <f t="shared" si="3"/>
        <v>76</v>
      </c>
      <c r="C89" s="261" t="s">
        <v>288</v>
      </c>
      <c r="D89" s="262"/>
      <c r="E89" s="262"/>
      <c r="F89" s="262"/>
      <c r="G89" s="262"/>
      <c r="H89" s="262"/>
      <c r="I89" s="262"/>
      <c r="J89" s="262"/>
      <c r="K89" s="263"/>
      <c r="L89" s="261" t="s">
        <v>289</v>
      </c>
      <c r="M89" s="262"/>
      <c r="N89" s="262"/>
      <c r="O89" s="262"/>
      <c r="P89" s="262"/>
      <c r="Q89" s="263"/>
      <c r="R89" s="256" t="s">
        <v>19</v>
      </c>
      <c r="S89" s="257"/>
      <c r="T89" s="256">
        <v>6</v>
      </c>
      <c r="U89" s="257"/>
      <c r="V89" s="256">
        <f t="shared" si="5"/>
        <v>6</v>
      </c>
      <c r="W89" s="257"/>
      <c r="X89" s="256">
        <f t="shared" si="4"/>
        <v>739</v>
      </c>
      <c r="Y89" s="257"/>
      <c r="Z89" s="256"/>
      <c r="AA89" s="257"/>
      <c r="AB89" s="256"/>
      <c r="AC89" s="257"/>
      <c r="AD89" s="256"/>
      <c r="AE89" s="257"/>
      <c r="AF89" s="19"/>
      <c r="AG89" s="20"/>
      <c r="AH89" s="20"/>
      <c r="AI89" s="20"/>
      <c r="AJ89" s="20"/>
      <c r="AK89" s="20"/>
      <c r="AL89" s="20"/>
      <c r="AM89" s="20"/>
      <c r="AN89" s="20"/>
      <c r="AO89" s="21"/>
      <c r="AP89" s="264"/>
      <c r="AQ89" s="265"/>
      <c r="AR89" s="265"/>
      <c r="AS89" s="265"/>
      <c r="AT89" s="265"/>
      <c r="AU89" s="265"/>
      <c r="AV89" s="265"/>
      <c r="AW89" s="265"/>
      <c r="AX89" s="265"/>
      <c r="AY89" s="265"/>
      <c r="AZ89" s="265"/>
      <c r="BA89" s="265"/>
      <c r="BB89" s="265"/>
      <c r="BC89" s="265"/>
      <c r="BD89" s="266"/>
      <c r="BE89" s="11"/>
    </row>
    <row r="90" spans="1:57" s="13" customFormat="1" ht="15" customHeight="1">
      <c r="A90" s="10"/>
      <c r="B90" s="18">
        <f t="shared" si="3"/>
        <v>77</v>
      </c>
      <c r="C90" s="261" t="s">
        <v>290</v>
      </c>
      <c r="D90" s="262"/>
      <c r="E90" s="262"/>
      <c r="F90" s="262"/>
      <c r="G90" s="262"/>
      <c r="H90" s="262"/>
      <c r="I90" s="262"/>
      <c r="J90" s="262"/>
      <c r="K90" s="263"/>
      <c r="L90" s="261" t="s">
        <v>291</v>
      </c>
      <c r="M90" s="262"/>
      <c r="N90" s="262"/>
      <c r="O90" s="262"/>
      <c r="P90" s="262"/>
      <c r="Q90" s="263"/>
      <c r="R90" s="256" t="s">
        <v>19</v>
      </c>
      <c r="S90" s="257"/>
      <c r="T90" s="256">
        <v>6</v>
      </c>
      <c r="U90" s="257"/>
      <c r="V90" s="256">
        <f t="shared" si="5"/>
        <v>6</v>
      </c>
      <c r="W90" s="257"/>
      <c r="X90" s="256">
        <f t="shared" si="4"/>
        <v>745</v>
      </c>
      <c r="Y90" s="257"/>
      <c r="Z90" s="256"/>
      <c r="AA90" s="257"/>
      <c r="AB90" s="256"/>
      <c r="AC90" s="257"/>
      <c r="AD90" s="256"/>
      <c r="AE90" s="257"/>
      <c r="AF90" s="19"/>
      <c r="AG90" s="20"/>
      <c r="AH90" s="20"/>
      <c r="AI90" s="20"/>
      <c r="AJ90" s="20"/>
      <c r="AK90" s="20"/>
      <c r="AL90" s="20"/>
      <c r="AM90" s="20"/>
      <c r="AN90" s="20"/>
      <c r="AO90" s="21"/>
      <c r="AP90" s="264"/>
      <c r="AQ90" s="265"/>
      <c r="AR90" s="265"/>
      <c r="AS90" s="265"/>
      <c r="AT90" s="265"/>
      <c r="AU90" s="265"/>
      <c r="AV90" s="265"/>
      <c r="AW90" s="265"/>
      <c r="AX90" s="265"/>
      <c r="AY90" s="265"/>
      <c r="AZ90" s="265"/>
      <c r="BA90" s="265"/>
      <c r="BB90" s="265"/>
      <c r="BC90" s="265"/>
      <c r="BD90" s="266"/>
      <c r="BE90" s="11"/>
    </row>
    <row r="91" spans="1:57" s="13" customFormat="1" ht="15" customHeight="1">
      <c r="A91" s="10"/>
      <c r="B91" s="18">
        <f t="shared" si="3"/>
        <v>78</v>
      </c>
      <c r="C91" s="261" t="s">
        <v>27</v>
      </c>
      <c r="D91" s="262"/>
      <c r="E91" s="262"/>
      <c r="F91" s="262"/>
      <c r="G91" s="262"/>
      <c r="H91" s="262"/>
      <c r="I91" s="262"/>
      <c r="J91" s="262"/>
      <c r="K91" s="263"/>
      <c r="L91" s="261" t="s">
        <v>84</v>
      </c>
      <c r="M91" s="262"/>
      <c r="N91" s="262"/>
      <c r="O91" s="262"/>
      <c r="P91" s="262"/>
      <c r="Q91" s="263"/>
      <c r="R91" s="256" t="s">
        <v>19</v>
      </c>
      <c r="S91" s="257"/>
      <c r="T91" s="256">
        <v>8</v>
      </c>
      <c r="U91" s="257"/>
      <c r="V91" s="256">
        <f t="shared" si="5"/>
        <v>8</v>
      </c>
      <c r="W91" s="257"/>
      <c r="X91" s="256">
        <f t="shared" si="4"/>
        <v>751</v>
      </c>
      <c r="Y91" s="257"/>
      <c r="Z91" s="256"/>
      <c r="AA91" s="257"/>
      <c r="AB91" s="256"/>
      <c r="AC91" s="257"/>
      <c r="AD91" s="256"/>
      <c r="AE91" s="257"/>
      <c r="AF91" s="19"/>
      <c r="AG91" s="20"/>
      <c r="AH91" s="20"/>
      <c r="AI91" s="20"/>
      <c r="AJ91" s="20"/>
      <c r="AK91" s="20"/>
      <c r="AL91" s="20"/>
      <c r="AM91" s="20"/>
      <c r="AN91" s="20"/>
      <c r="AO91" s="21"/>
      <c r="AP91" s="264"/>
      <c r="AQ91" s="265"/>
      <c r="AR91" s="265"/>
      <c r="AS91" s="265"/>
      <c r="AT91" s="265"/>
      <c r="AU91" s="265"/>
      <c r="AV91" s="265"/>
      <c r="AW91" s="265"/>
      <c r="AX91" s="265"/>
      <c r="AY91" s="265"/>
      <c r="AZ91" s="265"/>
      <c r="BA91" s="265"/>
      <c r="BB91" s="265"/>
      <c r="BC91" s="265"/>
      <c r="BD91" s="266"/>
      <c r="BE91" s="11"/>
    </row>
    <row r="92" spans="1:57" s="13" customFormat="1" ht="15" customHeight="1">
      <c r="A92" s="10"/>
      <c r="B92" s="18">
        <f t="shared" si="3"/>
        <v>79</v>
      </c>
      <c r="C92" s="261" t="s">
        <v>292</v>
      </c>
      <c r="D92" s="262"/>
      <c r="E92" s="262"/>
      <c r="F92" s="262"/>
      <c r="G92" s="262"/>
      <c r="H92" s="262"/>
      <c r="I92" s="262"/>
      <c r="J92" s="262"/>
      <c r="K92" s="263"/>
      <c r="L92" s="261" t="s">
        <v>293</v>
      </c>
      <c r="M92" s="262"/>
      <c r="N92" s="262"/>
      <c r="O92" s="262"/>
      <c r="P92" s="262"/>
      <c r="Q92" s="263"/>
      <c r="R92" s="256" t="s">
        <v>19</v>
      </c>
      <c r="S92" s="257"/>
      <c r="T92" s="267">
        <v>6</v>
      </c>
      <c r="U92" s="268"/>
      <c r="V92" s="256">
        <f t="shared" si="5"/>
        <v>6</v>
      </c>
      <c r="W92" s="257"/>
      <c r="X92" s="256">
        <f t="shared" si="4"/>
        <v>759</v>
      </c>
      <c r="Y92" s="257"/>
      <c r="Z92" s="256"/>
      <c r="AA92" s="257"/>
      <c r="AB92" s="256"/>
      <c r="AC92" s="257"/>
      <c r="AD92" s="256"/>
      <c r="AE92" s="257"/>
      <c r="AF92" s="19"/>
      <c r="AG92" s="20"/>
      <c r="AH92" s="20"/>
      <c r="AI92" s="20"/>
      <c r="AJ92" s="20"/>
      <c r="AK92" s="20"/>
      <c r="AL92" s="20"/>
      <c r="AM92" s="20"/>
      <c r="AN92" s="20"/>
      <c r="AO92" s="21"/>
      <c r="AP92" s="264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6"/>
      <c r="BE92" s="11"/>
    </row>
    <row r="93" spans="1:57" s="13" customFormat="1" ht="15" customHeight="1">
      <c r="A93" s="10"/>
      <c r="B93" s="18">
        <f t="shared" si="3"/>
        <v>80</v>
      </c>
      <c r="C93" s="261" t="s">
        <v>294</v>
      </c>
      <c r="D93" s="262"/>
      <c r="E93" s="262"/>
      <c r="F93" s="262"/>
      <c r="G93" s="262"/>
      <c r="H93" s="262"/>
      <c r="I93" s="262"/>
      <c r="J93" s="262"/>
      <c r="K93" s="263"/>
      <c r="L93" s="261" t="s">
        <v>295</v>
      </c>
      <c r="M93" s="262"/>
      <c r="N93" s="262"/>
      <c r="O93" s="262"/>
      <c r="P93" s="262"/>
      <c r="Q93" s="263"/>
      <c r="R93" s="267" t="s">
        <v>19</v>
      </c>
      <c r="S93" s="268"/>
      <c r="T93" s="267">
        <v>6</v>
      </c>
      <c r="U93" s="268"/>
      <c r="V93" s="256">
        <f t="shared" si="5"/>
        <v>6</v>
      </c>
      <c r="W93" s="257"/>
      <c r="X93" s="256">
        <f t="shared" si="4"/>
        <v>765</v>
      </c>
      <c r="Y93" s="257"/>
      <c r="Z93" s="256"/>
      <c r="AA93" s="257"/>
      <c r="AB93" s="256"/>
      <c r="AC93" s="257"/>
      <c r="AD93" s="256"/>
      <c r="AE93" s="257"/>
      <c r="AF93" s="19"/>
      <c r="AG93" s="20"/>
      <c r="AH93" s="20"/>
      <c r="AI93" s="20"/>
      <c r="AJ93" s="20"/>
      <c r="AK93" s="20"/>
      <c r="AL93" s="20"/>
      <c r="AM93" s="20"/>
      <c r="AN93" s="20"/>
      <c r="AO93" s="21"/>
      <c r="AP93" s="264"/>
      <c r="AQ93" s="265"/>
      <c r="AR93" s="265"/>
      <c r="AS93" s="265"/>
      <c r="AT93" s="265"/>
      <c r="AU93" s="265"/>
      <c r="AV93" s="265"/>
      <c r="AW93" s="265"/>
      <c r="AX93" s="265"/>
      <c r="AY93" s="265"/>
      <c r="AZ93" s="265"/>
      <c r="BA93" s="265"/>
      <c r="BB93" s="265"/>
      <c r="BC93" s="265"/>
      <c r="BD93" s="266"/>
      <c r="BE93" s="11"/>
    </row>
    <row r="94" spans="1:57" s="13" customFormat="1" ht="15" customHeight="1">
      <c r="A94" s="10"/>
      <c r="B94" s="18">
        <f t="shared" si="3"/>
        <v>81</v>
      </c>
      <c r="C94" s="261" t="s">
        <v>296</v>
      </c>
      <c r="D94" s="262"/>
      <c r="E94" s="262"/>
      <c r="F94" s="262"/>
      <c r="G94" s="262"/>
      <c r="H94" s="262"/>
      <c r="I94" s="262"/>
      <c r="J94" s="262"/>
      <c r="K94" s="263"/>
      <c r="L94" s="261" t="s">
        <v>297</v>
      </c>
      <c r="M94" s="262"/>
      <c r="N94" s="262"/>
      <c r="O94" s="262"/>
      <c r="P94" s="262"/>
      <c r="Q94" s="263"/>
      <c r="R94" s="267" t="s">
        <v>19</v>
      </c>
      <c r="S94" s="268"/>
      <c r="T94" s="267">
        <v>6</v>
      </c>
      <c r="U94" s="268"/>
      <c r="V94" s="256">
        <f t="shared" si="5"/>
        <v>6</v>
      </c>
      <c r="W94" s="257"/>
      <c r="X94" s="256">
        <f t="shared" si="4"/>
        <v>771</v>
      </c>
      <c r="Y94" s="257"/>
      <c r="Z94" s="267"/>
      <c r="AA94" s="268"/>
      <c r="AB94" s="267"/>
      <c r="AC94" s="268"/>
      <c r="AD94" s="256"/>
      <c r="AE94" s="257"/>
      <c r="AF94" s="19"/>
      <c r="AG94" s="20"/>
      <c r="AH94" s="20"/>
      <c r="AI94" s="20"/>
      <c r="AJ94" s="20"/>
      <c r="AK94" s="20"/>
      <c r="AL94" s="20"/>
      <c r="AM94" s="20"/>
      <c r="AN94" s="20"/>
      <c r="AO94" s="21"/>
      <c r="AP94" s="264"/>
      <c r="AQ94" s="265"/>
      <c r="AR94" s="265"/>
      <c r="AS94" s="265"/>
      <c r="AT94" s="265"/>
      <c r="AU94" s="265"/>
      <c r="AV94" s="265"/>
      <c r="AW94" s="265"/>
      <c r="AX94" s="265"/>
      <c r="AY94" s="265"/>
      <c r="AZ94" s="265"/>
      <c r="BA94" s="265"/>
      <c r="BB94" s="265"/>
      <c r="BC94" s="265"/>
      <c r="BD94" s="266"/>
      <c r="BE94" s="11"/>
    </row>
    <row r="95" spans="1:57" s="13" customFormat="1" ht="15" customHeight="1">
      <c r="A95" s="10"/>
      <c r="B95" s="18">
        <f t="shared" si="3"/>
        <v>82</v>
      </c>
      <c r="C95" s="261" t="s">
        <v>298</v>
      </c>
      <c r="D95" s="262"/>
      <c r="E95" s="262"/>
      <c r="F95" s="262"/>
      <c r="G95" s="262"/>
      <c r="H95" s="262"/>
      <c r="I95" s="262"/>
      <c r="J95" s="262"/>
      <c r="K95" s="263"/>
      <c r="L95" s="261" t="s">
        <v>299</v>
      </c>
      <c r="M95" s="262"/>
      <c r="N95" s="262"/>
      <c r="O95" s="262"/>
      <c r="P95" s="262"/>
      <c r="Q95" s="263"/>
      <c r="R95" s="267" t="s">
        <v>19</v>
      </c>
      <c r="S95" s="268"/>
      <c r="T95" s="267">
        <v>6</v>
      </c>
      <c r="U95" s="268"/>
      <c r="V95" s="256">
        <f t="shared" si="5"/>
        <v>6</v>
      </c>
      <c r="W95" s="257"/>
      <c r="X95" s="256">
        <f t="shared" si="4"/>
        <v>777</v>
      </c>
      <c r="Y95" s="257"/>
      <c r="Z95" s="267"/>
      <c r="AA95" s="268"/>
      <c r="AB95" s="267"/>
      <c r="AC95" s="268"/>
      <c r="AD95" s="256"/>
      <c r="AE95" s="257"/>
      <c r="AF95" s="19"/>
      <c r="AG95" s="20"/>
      <c r="AH95" s="20"/>
      <c r="AI95" s="20"/>
      <c r="AJ95" s="20"/>
      <c r="AK95" s="20"/>
      <c r="AL95" s="20"/>
      <c r="AM95" s="20"/>
      <c r="AN95" s="20"/>
      <c r="AO95" s="21"/>
      <c r="AP95" s="264"/>
      <c r="AQ95" s="265"/>
      <c r="AR95" s="265"/>
      <c r="AS95" s="265"/>
      <c r="AT95" s="265"/>
      <c r="AU95" s="265"/>
      <c r="AV95" s="265"/>
      <c r="AW95" s="265"/>
      <c r="AX95" s="265"/>
      <c r="AY95" s="265"/>
      <c r="AZ95" s="265"/>
      <c r="BA95" s="265"/>
      <c r="BB95" s="265"/>
      <c r="BC95" s="265"/>
      <c r="BD95" s="266"/>
      <c r="BE95" s="11"/>
    </row>
    <row r="96" spans="1:57" s="13" customFormat="1" ht="15" customHeight="1">
      <c r="A96" s="10"/>
      <c r="B96" s="18">
        <f t="shared" si="3"/>
        <v>83</v>
      </c>
      <c r="C96" s="261" t="s">
        <v>300</v>
      </c>
      <c r="D96" s="262"/>
      <c r="E96" s="262"/>
      <c r="F96" s="262"/>
      <c r="G96" s="262"/>
      <c r="H96" s="262"/>
      <c r="I96" s="262"/>
      <c r="J96" s="262"/>
      <c r="K96" s="263"/>
      <c r="L96" s="261" t="s">
        <v>87</v>
      </c>
      <c r="M96" s="262"/>
      <c r="N96" s="262"/>
      <c r="O96" s="262"/>
      <c r="P96" s="262"/>
      <c r="Q96" s="263"/>
      <c r="R96" s="267" t="s">
        <v>19</v>
      </c>
      <c r="S96" s="268"/>
      <c r="T96" s="278">
        <v>2</v>
      </c>
      <c r="U96" s="279"/>
      <c r="V96" s="256">
        <f t="shared" si="5"/>
        <v>2</v>
      </c>
      <c r="W96" s="257"/>
      <c r="X96" s="256">
        <f t="shared" si="4"/>
        <v>783</v>
      </c>
      <c r="Y96" s="257"/>
      <c r="Z96" s="256"/>
      <c r="AA96" s="257"/>
      <c r="AB96" s="256"/>
      <c r="AC96" s="257"/>
      <c r="AD96" s="256"/>
      <c r="AE96" s="257"/>
      <c r="AF96" s="19"/>
      <c r="AG96" s="20"/>
      <c r="AH96" s="20"/>
      <c r="AI96" s="20"/>
      <c r="AJ96" s="20"/>
      <c r="AK96" s="20"/>
      <c r="AL96" s="20"/>
      <c r="AM96" s="20"/>
      <c r="AN96" s="20"/>
      <c r="AO96" s="21"/>
      <c r="AP96" s="264"/>
      <c r="AQ96" s="265"/>
      <c r="AR96" s="265"/>
      <c r="AS96" s="265"/>
      <c r="AT96" s="265"/>
      <c r="AU96" s="265"/>
      <c r="AV96" s="265"/>
      <c r="AW96" s="265"/>
      <c r="AX96" s="265"/>
      <c r="AY96" s="265"/>
      <c r="AZ96" s="265"/>
      <c r="BA96" s="265"/>
      <c r="BB96" s="265"/>
      <c r="BC96" s="265"/>
      <c r="BD96" s="266"/>
      <c r="BE96" s="11"/>
    </row>
    <row r="97" spans="1:57" s="13" customFormat="1" ht="15" customHeight="1">
      <c r="A97" s="10"/>
      <c r="B97" s="18">
        <f t="shared" si="3"/>
        <v>84</v>
      </c>
      <c r="C97" s="261" t="s">
        <v>301</v>
      </c>
      <c r="D97" s="262"/>
      <c r="E97" s="262"/>
      <c r="F97" s="262"/>
      <c r="G97" s="262"/>
      <c r="H97" s="262"/>
      <c r="I97" s="262"/>
      <c r="J97" s="262"/>
      <c r="K97" s="263"/>
      <c r="L97" s="261" t="s">
        <v>88</v>
      </c>
      <c r="M97" s="262"/>
      <c r="N97" s="262"/>
      <c r="O97" s="262"/>
      <c r="P97" s="262"/>
      <c r="Q97" s="263"/>
      <c r="R97" s="267" t="s">
        <v>19</v>
      </c>
      <c r="S97" s="268"/>
      <c r="T97" s="278">
        <v>8</v>
      </c>
      <c r="U97" s="279"/>
      <c r="V97" s="256">
        <f t="shared" si="5"/>
        <v>8</v>
      </c>
      <c r="W97" s="257"/>
      <c r="X97" s="256">
        <f t="shared" si="4"/>
        <v>785</v>
      </c>
      <c r="Y97" s="257"/>
      <c r="Z97" s="256"/>
      <c r="AA97" s="257"/>
      <c r="AB97" s="256"/>
      <c r="AC97" s="257"/>
      <c r="AD97" s="256"/>
      <c r="AE97" s="257"/>
      <c r="AF97" s="19"/>
      <c r="AG97" s="20"/>
      <c r="AH97" s="20"/>
      <c r="AI97" s="20"/>
      <c r="AJ97" s="20"/>
      <c r="AK97" s="20"/>
      <c r="AL97" s="20"/>
      <c r="AM97" s="20"/>
      <c r="AN97" s="20"/>
      <c r="AO97" s="21"/>
      <c r="AP97" s="264"/>
      <c r="AQ97" s="265"/>
      <c r="AR97" s="265"/>
      <c r="AS97" s="265"/>
      <c r="AT97" s="265"/>
      <c r="AU97" s="265"/>
      <c r="AV97" s="265"/>
      <c r="AW97" s="265"/>
      <c r="AX97" s="265"/>
      <c r="AY97" s="265"/>
      <c r="AZ97" s="265"/>
      <c r="BA97" s="265"/>
      <c r="BB97" s="265"/>
      <c r="BC97" s="265"/>
      <c r="BD97" s="266"/>
      <c r="BE97" s="11"/>
    </row>
    <row r="98" spans="1:57" s="13" customFormat="1" ht="15" customHeight="1">
      <c r="A98" s="10"/>
      <c r="B98" s="18">
        <f t="shared" si="3"/>
        <v>85</v>
      </c>
      <c r="C98" s="261" t="s">
        <v>89</v>
      </c>
      <c r="D98" s="262"/>
      <c r="E98" s="262"/>
      <c r="F98" s="262"/>
      <c r="G98" s="262"/>
      <c r="H98" s="262"/>
      <c r="I98" s="262"/>
      <c r="J98" s="262"/>
      <c r="K98" s="263"/>
      <c r="L98" s="261" t="s">
        <v>90</v>
      </c>
      <c r="M98" s="262"/>
      <c r="N98" s="262"/>
      <c r="O98" s="262"/>
      <c r="P98" s="262"/>
      <c r="Q98" s="263"/>
      <c r="R98" s="267" t="s">
        <v>19</v>
      </c>
      <c r="S98" s="268"/>
      <c r="T98" s="278">
        <v>8</v>
      </c>
      <c r="U98" s="279"/>
      <c r="V98" s="256">
        <f t="shared" si="5"/>
        <v>8</v>
      </c>
      <c r="W98" s="257"/>
      <c r="X98" s="256">
        <f t="shared" si="4"/>
        <v>793</v>
      </c>
      <c r="Y98" s="257"/>
      <c r="Z98" s="256"/>
      <c r="AA98" s="257"/>
      <c r="AB98" s="256"/>
      <c r="AC98" s="257"/>
      <c r="AD98" s="256"/>
      <c r="AE98" s="257"/>
      <c r="AF98" s="19"/>
      <c r="AG98" s="20"/>
      <c r="AH98" s="20"/>
      <c r="AI98" s="20"/>
      <c r="AJ98" s="20"/>
      <c r="AK98" s="20"/>
      <c r="AL98" s="20"/>
      <c r="AM98" s="20"/>
      <c r="AN98" s="20"/>
      <c r="AO98" s="21"/>
      <c r="AP98" s="264"/>
      <c r="AQ98" s="265"/>
      <c r="AR98" s="265"/>
      <c r="AS98" s="265"/>
      <c r="AT98" s="265"/>
      <c r="AU98" s="265"/>
      <c r="AV98" s="265"/>
      <c r="AW98" s="265"/>
      <c r="AX98" s="265"/>
      <c r="AY98" s="265"/>
      <c r="AZ98" s="265"/>
      <c r="BA98" s="265"/>
      <c r="BB98" s="265"/>
      <c r="BC98" s="265"/>
      <c r="BD98" s="266"/>
      <c r="BE98" s="11"/>
    </row>
    <row r="99" spans="1:57" s="13" customFormat="1" ht="15" customHeight="1">
      <c r="A99" s="10"/>
      <c r="B99" s="18">
        <f t="shared" si="3"/>
        <v>86</v>
      </c>
      <c r="C99" s="261" t="s">
        <v>28</v>
      </c>
      <c r="D99" s="262"/>
      <c r="E99" s="262"/>
      <c r="F99" s="262"/>
      <c r="G99" s="262"/>
      <c r="H99" s="262"/>
      <c r="I99" s="262"/>
      <c r="J99" s="262"/>
      <c r="K99" s="263"/>
      <c r="L99" s="261" t="s">
        <v>91</v>
      </c>
      <c r="M99" s="262"/>
      <c r="N99" s="262"/>
      <c r="O99" s="262"/>
      <c r="P99" s="262"/>
      <c r="Q99" s="263"/>
      <c r="R99" s="267" t="s">
        <v>19</v>
      </c>
      <c r="S99" s="268"/>
      <c r="T99" s="278">
        <v>1</v>
      </c>
      <c r="U99" s="279"/>
      <c r="V99" s="256">
        <f t="shared" si="5"/>
        <v>1</v>
      </c>
      <c r="W99" s="257"/>
      <c r="X99" s="256">
        <f t="shared" si="4"/>
        <v>801</v>
      </c>
      <c r="Y99" s="257"/>
      <c r="Z99" s="256"/>
      <c r="AA99" s="257"/>
      <c r="AB99" s="256"/>
      <c r="AC99" s="257"/>
      <c r="AD99" s="256"/>
      <c r="AE99" s="257"/>
      <c r="AF99" s="19"/>
      <c r="AG99" s="20"/>
      <c r="AH99" s="20"/>
      <c r="AI99" s="20"/>
      <c r="AJ99" s="20"/>
      <c r="AK99" s="20"/>
      <c r="AL99" s="20"/>
      <c r="AM99" s="20"/>
      <c r="AN99" s="20"/>
      <c r="AO99" s="21"/>
      <c r="AP99" s="264"/>
      <c r="AQ99" s="265"/>
      <c r="AR99" s="265"/>
      <c r="AS99" s="265"/>
      <c r="AT99" s="265"/>
      <c r="AU99" s="265"/>
      <c r="AV99" s="265"/>
      <c r="AW99" s="265"/>
      <c r="AX99" s="265"/>
      <c r="AY99" s="265"/>
      <c r="AZ99" s="265"/>
      <c r="BA99" s="265"/>
      <c r="BB99" s="265"/>
      <c r="BC99" s="265"/>
      <c r="BD99" s="266"/>
      <c r="BE99" s="11"/>
    </row>
    <row r="100" spans="1:57" s="13" customFormat="1" ht="15" customHeight="1">
      <c r="A100" s="10"/>
      <c r="B100" s="18">
        <f t="shared" si="3"/>
        <v>87</v>
      </c>
      <c r="C100" s="261" t="s">
        <v>302</v>
      </c>
      <c r="D100" s="262"/>
      <c r="E100" s="262"/>
      <c r="F100" s="262"/>
      <c r="G100" s="262"/>
      <c r="H100" s="262"/>
      <c r="I100" s="262"/>
      <c r="J100" s="262"/>
      <c r="K100" s="263"/>
      <c r="L100" s="261" t="s">
        <v>303</v>
      </c>
      <c r="M100" s="262"/>
      <c r="N100" s="262"/>
      <c r="O100" s="262"/>
      <c r="P100" s="262"/>
      <c r="Q100" s="263"/>
      <c r="R100" s="267" t="s">
        <v>19</v>
      </c>
      <c r="S100" s="268"/>
      <c r="T100" s="278">
        <v>2</v>
      </c>
      <c r="U100" s="279"/>
      <c r="V100" s="256">
        <f t="shared" si="5"/>
        <v>2</v>
      </c>
      <c r="W100" s="257"/>
      <c r="X100" s="256">
        <f t="shared" si="4"/>
        <v>802</v>
      </c>
      <c r="Y100" s="257"/>
      <c r="Z100" s="256"/>
      <c r="AA100" s="257"/>
      <c r="AB100" s="256"/>
      <c r="AC100" s="257"/>
      <c r="AD100" s="256"/>
      <c r="AE100" s="257"/>
      <c r="AF100" s="19"/>
      <c r="AG100" s="20"/>
      <c r="AH100" s="20"/>
      <c r="AI100" s="20"/>
      <c r="AJ100" s="20"/>
      <c r="AK100" s="20"/>
      <c r="AL100" s="20"/>
      <c r="AM100" s="20"/>
      <c r="AN100" s="20"/>
      <c r="AO100" s="21"/>
      <c r="AP100" s="264"/>
      <c r="AQ100" s="265"/>
      <c r="AR100" s="265"/>
      <c r="AS100" s="265"/>
      <c r="AT100" s="265"/>
      <c r="AU100" s="265"/>
      <c r="AV100" s="265"/>
      <c r="AW100" s="265"/>
      <c r="AX100" s="265"/>
      <c r="AY100" s="265"/>
      <c r="AZ100" s="265"/>
      <c r="BA100" s="265"/>
      <c r="BB100" s="265"/>
      <c r="BC100" s="265"/>
      <c r="BD100" s="266"/>
      <c r="BE100" s="11"/>
    </row>
    <row r="101" spans="1:57" s="13" customFormat="1" ht="15" customHeight="1">
      <c r="A101" s="10"/>
      <c r="B101" s="18">
        <f t="shared" si="3"/>
        <v>88</v>
      </c>
      <c r="C101" s="261" t="s">
        <v>96</v>
      </c>
      <c r="D101" s="262"/>
      <c r="E101" s="262"/>
      <c r="F101" s="262"/>
      <c r="G101" s="262"/>
      <c r="H101" s="262"/>
      <c r="I101" s="262"/>
      <c r="J101" s="262"/>
      <c r="K101" s="263"/>
      <c r="L101" s="261" t="s">
        <v>97</v>
      </c>
      <c r="M101" s="262"/>
      <c r="N101" s="262"/>
      <c r="O101" s="262"/>
      <c r="P101" s="262"/>
      <c r="Q101" s="263"/>
      <c r="R101" s="267" t="s">
        <v>19</v>
      </c>
      <c r="S101" s="268"/>
      <c r="T101" s="278">
        <v>1</v>
      </c>
      <c r="U101" s="279"/>
      <c r="V101" s="256">
        <f t="shared" si="5"/>
        <v>1</v>
      </c>
      <c r="W101" s="257"/>
      <c r="X101" s="256">
        <f t="shared" si="4"/>
        <v>804</v>
      </c>
      <c r="Y101" s="257"/>
      <c r="Z101" s="256"/>
      <c r="AA101" s="257"/>
      <c r="AB101" s="256"/>
      <c r="AC101" s="257"/>
      <c r="AD101" s="256"/>
      <c r="AE101" s="257"/>
      <c r="AF101" s="19"/>
      <c r="AG101" s="20"/>
      <c r="AH101" s="20"/>
      <c r="AI101" s="20"/>
      <c r="AJ101" s="20"/>
      <c r="AK101" s="20"/>
      <c r="AL101" s="20"/>
      <c r="AM101" s="20"/>
      <c r="AN101" s="20"/>
      <c r="AO101" s="21"/>
      <c r="AP101" s="264"/>
      <c r="AQ101" s="265"/>
      <c r="AR101" s="265"/>
      <c r="AS101" s="265"/>
      <c r="AT101" s="265"/>
      <c r="AU101" s="265"/>
      <c r="AV101" s="265"/>
      <c r="AW101" s="265"/>
      <c r="AX101" s="265"/>
      <c r="AY101" s="265"/>
      <c r="AZ101" s="265"/>
      <c r="BA101" s="265"/>
      <c r="BB101" s="265"/>
      <c r="BC101" s="265"/>
      <c r="BD101" s="266"/>
      <c r="BE101" s="11"/>
    </row>
    <row r="102" spans="1:57" s="13" customFormat="1" ht="15" customHeight="1">
      <c r="A102" s="10"/>
      <c r="B102" s="18">
        <f t="shared" si="3"/>
        <v>89</v>
      </c>
      <c r="C102" s="261" t="s">
        <v>304</v>
      </c>
      <c r="D102" s="262"/>
      <c r="E102" s="262"/>
      <c r="F102" s="262"/>
      <c r="G102" s="262"/>
      <c r="H102" s="262"/>
      <c r="I102" s="262"/>
      <c r="J102" s="262"/>
      <c r="K102" s="263"/>
      <c r="L102" s="261" t="s">
        <v>305</v>
      </c>
      <c r="M102" s="262"/>
      <c r="N102" s="262"/>
      <c r="O102" s="262"/>
      <c r="P102" s="262"/>
      <c r="Q102" s="263"/>
      <c r="R102" s="267" t="s">
        <v>19</v>
      </c>
      <c r="S102" s="268"/>
      <c r="T102" s="278">
        <v>6</v>
      </c>
      <c r="U102" s="279"/>
      <c r="V102" s="256">
        <f t="shared" si="5"/>
        <v>6</v>
      </c>
      <c r="W102" s="257"/>
      <c r="X102" s="256">
        <f t="shared" si="4"/>
        <v>805</v>
      </c>
      <c r="Y102" s="257"/>
      <c r="Z102" s="256"/>
      <c r="AA102" s="257"/>
      <c r="AB102" s="256"/>
      <c r="AC102" s="257"/>
      <c r="AD102" s="256"/>
      <c r="AE102" s="257"/>
      <c r="AF102" s="19"/>
      <c r="AG102" s="20"/>
      <c r="AH102" s="20"/>
      <c r="AI102" s="20"/>
      <c r="AJ102" s="20"/>
      <c r="AK102" s="20"/>
      <c r="AL102" s="20"/>
      <c r="AM102" s="20"/>
      <c r="AN102" s="20"/>
      <c r="AO102" s="21"/>
      <c r="AP102" s="264"/>
      <c r="AQ102" s="265"/>
      <c r="AR102" s="265"/>
      <c r="AS102" s="265"/>
      <c r="AT102" s="265"/>
      <c r="AU102" s="265"/>
      <c r="AV102" s="265"/>
      <c r="AW102" s="265"/>
      <c r="AX102" s="265"/>
      <c r="AY102" s="265"/>
      <c r="AZ102" s="265"/>
      <c r="BA102" s="265"/>
      <c r="BB102" s="265"/>
      <c r="BC102" s="265"/>
      <c r="BD102" s="266"/>
      <c r="BE102" s="11"/>
    </row>
    <row r="103" spans="1:57" s="13" customFormat="1" ht="15" customHeight="1">
      <c r="A103" s="10"/>
      <c r="B103" s="18">
        <f t="shared" si="3"/>
        <v>90</v>
      </c>
      <c r="C103" s="261" t="s">
        <v>306</v>
      </c>
      <c r="D103" s="262"/>
      <c r="E103" s="262"/>
      <c r="F103" s="262"/>
      <c r="G103" s="262"/>
      <c r="H103" s="262"/>
      <c r="I103" s="262"/>
      <c r="J103" s="262"/>
      <c r="K103" s="263"/>
      <c r="L103" s="261" t="s">
        <v>307</v>
      </c>
      <c r="M103" s="262"/>
      <c r="N103" s="262"/>
      <c r="O103" s="262"/>
      <c r="P103" s="262"/>
      <c r="Q103" s="263"/>
      <c r="R103" s="267" t="s">
        <v>19</v>
      </c>
      <c r="S103" s="268"/>
      <c r="T103" s="278">
        <v>6</v>
      </c>
      <c r="U103" s="279"/>
      <c r="V103" s="256">
        <f t="shared" si="5"/>
        <v>6</v>
      </c>
      <c r="W103" s="257"/>
      <c r="X103" s="256">
        <f t="shared" si="4"/>
        <v>811</v>
      </c>
      <c r="Y103" s="257"/>
      <c r="Z103" s="256"/>
      <c r="AA103" s="257"/>
      <c r="AB103" s="256"/>
      <c r="AC103" s="257"/>
      <c r="AD103" s="256"/>
      <c r="AE103" s="257"/>
      <c r="AF103" s="19"/>
      <c r="AG103" s="20"/>
      <c r="AH103" s="20"/>
      <c r="AI103" s="20"/>
      <c r="AJ103" s="20"/>
      <c r="AK103" s="20"/>
      <c r="AL103" s="20"/>
      <c r="AM103" s="20"/>
      <c r="AN103" s="20"/>
      <c r="AO103" s="21"/>
      <c r="AP103" s="264"/>
      <c r="AQ103" s="265"/>
      <c r="AR103" s="265"/>
      <c r="AS103" s="265"/>
      <c r="AT103" s="265"/>
      <c r="AU103" s="265"/>
      <c r="AV103" s="265"/>
      <c r="AW103" s="265"/>
      <c r="AX103" s="265"/>
      <c r="AY103" s="265"/>
      <c r="AZ103" s="265"/>
      <c r="BA103" s="265"/>
      <c r="BB103" s="265"/>
      <c r="BC103" s="265"/>
      <c r="BD103" s="266"/>
      <c r="BE103" s="11"/>
    </row>
    <row r="104" spans="1:57" s="13" customFormat="1" ht="15" customHeight="1">
      <c r="A104" s="10"/>
      <c r="B104" s="18">
        <f t="shared" si="3"/>
        <v>91</v>
      </c>
      <c r="C104" s="261" t="s">
        <v>98</v>
      </c>
      <c r="D104" s="262"/>
      <c r="E104" s="262"/>
      <c r="F104" s="262"/>
      <c r="G104" s="262"/>
      <c r="H104" s="262"/>
      <c r="I104" s="262"/>
      <c r="J104" s="262"/>
      <c r="K104" s="263"/>
      <c r="L104" s="261" t="s">
        <v>99</v>
      </c>
      <c r="M104" s="262"/>
      <c r="N104" s="262"/>
      <c r="O104" s="262"/>
      <c r="P104" s="262"/>
      <c r="Q104" s="263"/>
      <c r="R104" s="267" t="s">
        <v>19</v>
      </c>
      <c r="S104" s="268"/>
      <c r="T104" s="278">
        <v>2</v>
      </c>
      <c r="U104" s="279"/>
      <c r="V104" s="256">
        <f t="shared" si="5"/>
        <v>2</v>
      </c>
      <c r="W104" s="257"/>
      <c r="X104" s="256">
        <f t="shared" si="4"/>
        <v>817</v>
      </c>
      <c r="Y104" s="257"/>
      <c r="Z104" s="256"/>
      <c r="AA104" s="257"/>
      <c r="AB104" s="256"/>
      <c r="AC104" s="257"/>
      <c r="AD104" s="256"/>
      <c r="AE104" s="257"/>
      <c r="AF104" s="19"/>
      <c r="AG104" s="20"/>
      <c r="AH104" s="20"/>
      <c r="AI104" s="20"/>
      <c r="AJ104" s="20"/>
      <c r="AK104" s="20"/>
      <c r="AL104" s="20"/>
      <c r="AM104" s="20"/>
      <c r="AN104" s="20"/>
      <c r="AO104" s="21"/>
      <c r="AP104" s="264"/>
      <c r="AQ104" s="265"/>
      <c r="AR104" s="265"/>
      <c r="AS104" s="265"/>
      <c r="AT104" s="265"/>
      <c r="AU104" s="265"/>
      <c r="AV104" s="265"/>
      <c r="AW104" s="265"/>
      <c r="AX104" s="265"/>
      <c r="AY104" s="265"/>
      <c r="AZ104" s="265"/>
      <c r="BA104" s="265"/>
      <c r="BB104" s="265"/>
      <c r="BC104" s="265"/>
      <c r="BD104" s="266"/>
      <c r="BE104" s="11"/>
    </row>
    <row r="105" spans="1:57" s="13" customFormat="1" ht="15" customHeight="1">
      <c r="A105" s="10"/>
      <c r="B105" s="18">
        <f t="shared" si="3"/>
        <v>92</v>
      </c>
      <c r="C105" s="261" t="s">
        <v>29</v>
      </c>
      <c r="D105" s="262"/>
      <c r="E105" s="262"/>
      <c r="F105" s="262"/>
      <c r="G105" s="262"/>
      <c r="H105" s="262"/>
      <c r="I105" s="262"/>
      <c r="J105" s="262"/>
      <c r="K105" s="263"/>
      <c r="L105" s="261" t="s">
        <v>100</v>
      </c>
      <c r="M105" s="262"/>
      <c r="N105" s="262"/>
      <c r="O105" s="262"/>
      <c r="P105" s="262"/>
      <c r="Q105" s="263"/>
      <c r="R105" s="267" t="s">
        <v>19</v>
      </c>
      <c r="S105" s="268"/>
      <c r="T105" s="278">
        <v>8</v>
      </c>
      <c r="U105" s="279"/>
      <c r="V105" s="256">
        <f t="shared" si="5"/>
        <v>8</v>
      </c>
      <c r="W105" s="257"/>
      <c r="X105" s="256">
        <f t="shared" si="4"/>
        <v>819</v>
      </c>
      <c r="Y105" s="257"/>
      <c r="Z105" s="256"/>
      <c r="AA105" s="257"/>
      <c r="AB105" s="256"/>
      <c r="AC105" s="257"/>
      <c r="AD105" s="256"/>
      <c r="AE105" s="257"/>
      <c r="AF105" s="19"/>
      <c r="AG105" s="20"/>
      <c r="AH105" s="20"/>
      <c r="AI105" s="20"/>
      <c r="AJ105" s="20"/>
      <c r="AK105" s="20"/>
      <c r="AL105" s="20"/>
      <c r="AM105" s="20"/>
      <c r="AN105" s="20"/>
      <c r="AO105" s="21"/>
      <c r="AP105" s="264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5"/>
      <c r="BC105" s="265"/>
      <c r="BD105" s="266"/>
      <c r="BE105" s="11"/>
    </row>
    <row r="106" spans="1:57" s="13" customFormat="1" ht="15" customHeight="1">
      <c r="A106" s="10"/>
      <c r="B106" s="18">
        <f t="shared" si="3"/>
        <v>93</v>
      </c>
      <c r="C106" s="261" t="s">
        <v>30</v>
      </c>
      <c r="D106" s="262"/>
      <c r="E106" s="262"/>
      <c r="F106" s="262"/>
      <c r="G106" s="262"/>
      <c r="H106" s="262"/>
      <c r="I106" s="262"/>
      <c r="J106" s="262"/>
      <c r="K106" s="263"/>
      <c r="L106" s="261" t="s">
        <v>101</v>
      </c>
      <c r="M106" s="262"/>
      <c r="N106" s="262"/>
      <c r="O106" s="262"/>
      <c r="P106" s="262"/>
      <c r="Q106" s="263"/>
      <c r="R106" s="267" t="s">
        <v>19</v>
      </c>
      <c r="S106" s="268"/>
      <c r="T106" s="278">
        <v>2</v>
      </c>
      <c r="U106" s="279"/>
      <c r="V106" s="256">
        <f t="shared" si="5"/>
        <v>2</v>
      </c>
      <c r="W106" s="257"/>
      <c r="X106" s="256">
        <f t="shared" si="4"/>
        <v>827</v>
      </c>
      <c r="Y106" s="257"/>
      <c r="Z106" s="256"/>
      <c r="AA106" s="257"/>
      <c r="AB106" s="256"/>
      <c r="AC106" s="257"/>
      <c r="AD106" s="256"/>
      <c r="AE106" s="257"/>
      <c r="AF106" s="19"/>
      <c r="AG106" s="20"/>
      <c r="AH106" s="20"/>
      <c r="AI106" s="20"/>
      <c r="AJ106" s="20"/>
      <c r="AK106" s="20"/>
      <c r="AL106" s="20"/>
      <c r="AM106" s="20"/>
      <c r="AN106" s="20"/>
      <c r="AO106" s="21"/>
      <c r="AP106" s="264"/>
      <c r="AQ106" s="265"/>
      <c r="AR106" s="265"/>
      <c r="AS106" s="265"/>
      <c r="AT106" s="265"/>
      <c r="AU106" s="265"/>
      <c r="AV106" s="265"/>
      <c r="AW106" s="265"/>
      <c r="AX106" s="265"/>
      <c r="AY106" s="265"/>
      <c r="AZ106" s="265"/>
      <c r="BA106" s="265"/>
      <c r="BB106" s="265"/>
      <c r="BC106" s="265"/>
      <c r="BD106" s="266"/>
      <c r="BE106" s="11"/>
    </row>
    <row r="107" spans="1:57" s="13" customFormat="1" ht="15" customHeight="1">
      <c r="A107" s="10"/>
      <c r="B107" s="18">
        <f t="shared" si="3"/>
        <v>94</v>
      </c>
      <c r="C107" s="261" t="s">
        <v>308</v>
      </c>
      <c r="D107" s="262"/>
      <c r="E107" s="262"/>
      <c r="F107" s="262"/>
      <c r="G107" s="262"/>
      <c r="H107" s="262"/>
      <c r="I107" s="262"/>
      <c r="J107" s="262"/>
      <c r="K107" s="263"/>
      <c r="L107" s="261" t="s">
        <v>102</v>
      </c>
      <c r="M107" s="262"/>
      <c r="N107" s="262"/>
      <c r="O107" s="262"/>
      <c r="P107" s="262"/>
      <c r="Q107" s="263"/>
      <c r="R107" s="267" t="s">
        <v>19</v>
      </c>
      <c r="S107" s="268"/>
      <c r="T107" s="278">
        <v>8</v>
      </c>
      <c r="U107" s="279"/>
      <c r="V107" s="256">
        <f t="shared" si="5"/>
        <v>8</v>
      </c>
      <c r="W107" s="257"/>
      <c r="X107" s="256">
        <f t="shared" si="4"/>
        <v>829</v>
      </c>
      <c r="Y107" s="257"/>
      <c r="Z107" s="256"/>
      <c r="AA107" s="257"/>
      <c r="AB107" s="256"/>
      <c r="AC107" s="257"/>
      <c r="AD107" s="256"/>
      <c r="AE107" s="257"/>
      <c r="AF107" s="19"/>
      <c r="AG107" s="20"/>
      <c r="AH107" s="20"/>
      <c r="AI107" s="20"/>
      <c r="AJ107" s="20"/>
      <c r="AK107" s="20"/>
      <c r="AL107" s="20"/>
      <c r="AM107" s="20"/>
      <c r="AN107" s="20"/>
      <c r="AO107" s="21"/>
      <c r="AP107" s="264"/>
      <c r="AQ107" s="265"/>
      <c r="AR107" s="265"/>
      <c r="AS107" s="265"/>
      <c r="AT107" s="265"/>
      <c r="AU107" s="265"/>
      <c r="AV107" s="265"/>
      <c r="AW107" s="265"/>
      <c r="AX107" s="265"/>
      <c r="AY107" s="265"/>
      <c r="AZ107" s="265"/>
      <c r="BA107" s="265"/>
      <c r="BB107" s="265"/>
      <c r="BC107" s="265"/>
      <c r="BD107" s="266"/>
      <c r="BE107" s="11"/>
    </row>
    <row r="108" spans="1:57" s="13" customFormat="1" ht="15" customHeight="1">
      <c r="A108" s="10"/>
      <c r="B108" s="18">
        <f t="shared" si="3"/>
        <v>95</v>
      </c>
      <c r="C108" s="261" t="s">
        <v>31</v>
      </c>
      <c r="D108" s="262"/>
      <c r="E108" s="262"/>
      <c r="F108" s="262"/>
      <c r="G108" s="262"/>
      <c r="H108" s="262"/>
      <c r="I108" s="262"/>
      <c r="J108" s="262"/>
      <c r="K108" s="263"/>
      <c r="L108" s="261" t="s">
        <v>103</v>
      </c>
      <c r="M108" s="262"/>
      <c r="N108" s="262"/>
      <c r="O108" s="262"/>
      <c r="P108" s="262"/>
      <c r="Q108" s="263"/>
      <c r="R108" s="267" t="s">
        <v>19</v>
      </c>
      <c r="S108" s="268"/>
      <c r="T108" s="278">
        <v>2</v>
      </c>
      <c r="U108" s="279"/>
      <c r="V108" s="256">
        <f t="shared" si="5"/>
        <v>2</v>
      </c>
      <c r="W108" s="257"/>
      <c r="X108" s="256">
        <f t="shared" si="4"/>
        <v>837</v>
      </c>
      <c r="Y108" s="257"/>
      <c r="Z108" s="256"/>
      <c r="AA108" s="257"/>
      <c r="AB108" s="256"/>
      <c r="AC108" s="257"/>
      <c r="AD108" s="256"/>
      <c r="AE108" s="257"/>
      <c r="AF108" s="19"/>
      <c r="AG108" s="20"/>
      <c r="AH108" s="20"/>
      <c r="AI108" s="20"/>
      <c r="AJ108" s="20"/>
      <c r="AK108" s="20"/>
      <c r="AL108" s="20"/>
      <c r="AM108" s="20"/>
      <c r="AN108" s="20"/>
      <c r="AO108" s="21"/>
      <c r="AP108" s="264"/>
      <c r="AQ108" s="265"/>
      <c r="AR108" s="265"/>
      <c r="AS108" s="265"/>
      <c r="AT108" s="265"/>
      <c r="AU108" s="265"/>
      <c r="AV108" s="265"/>
      <c r="AW108" s="265"/>
      <c r="AX108" s="265"/>
      <c r="AY108" s="265"/>
      <c r="AZ108" s="265"/>
      <c r="BA108" s="265"/>
      <c r="BB108" s="265"/>
      <c r="BC108" s="265"/>
      <c r="BD108" s="266"/>
      <c r="BE108" s="11"/>
    </row>
    <row r="109" spans="1:57" s="13" customFormat="1" ht="15" customHeight="1">
      <c r="A109" s="10"/>
      <c r="B109" s="18">
        <f t="shared" si="3"/>
        <v>96</v>
      </c>
      <c r="C109" s="261" t="s">
        <v>104</v>
      </c>
      <c r="D109" s="262"/>
      <c r="E109" s="262"/>
      <c r="F109" s="262"/>
      <c r="G109" s="262"/>
      <c r="H109" s="262"/>
      <c r="I109" s="262"/>
      <c r="J109" s="262"/>
      <c r="K109" s="263"/>
      <c r="L109" s="261" t="s">
        <v>105</v>
      </c>
      <c r="M109" s="262"/>
      <c r="N109" s="262"/>
      <c r="O109" s="262"/>
      <c r="P109" s="262"/>
      <c r="Q109" s="263"/>
      <c r="R109" s="267" t="s">
        <v>19</v>
      </c>
      <c r="S109" s="268"/>
      <c r="T109" s="278">
        <v>8</v>
      </c>
      <c r="U109" s="279"/>
      <c r="V109" s="256">
        <f t="shared" si="5"/>
        <v>8</v>
      </c>
      <c r="W109" s="257"/>
      <c r="X109" s="256">
        <f t="shared" si="4"/>
        <v>839</v>
      </c>
      <c r="Y109" s="257"/>
      <c r="Z109" s="256"/>
      <c r="AA109" s="257"/>
      <c r="AB109" s="256"/>
      <c r="AC109" s="257"/>
      <c r="AD109" s="256"/>
      <c r="AE109" s="257"/>
      <c r="AF109" s="19"/>
      <c r="AG109" s="20"/>
      <c r="AH109" s="20"/>
      <c r="AI109" s="20"/>
      <c r="AJ109" s="20"/>
      <c r="AK109" s="20"/>
      <c r="AL109" s="20"/>
      <c r="AM109" s="20"/>
      <c r="AN109" s="20"/>
      <c r="AO109" s="21"/>
      <c r="AP109" s="264"/>
      <c r="AQ109" s="265"/>
      <c r="AR109" s="265"/>
      <c r="AS109" s="265"/>
      <c r="AT109" s="265"/>
      <c r="AU109" s="265"/>
      <c r="AV109" s="265"/>
      <c r="AW109" s="265"/>
      <c r="AX109" s="265"/>
      <c r="AY109" s="265"/>
      <c r="AZ109" s="265"/>
      <c r="BA109" s="265"/>
      <c r="BB109" s="265"/>
      <c r="BC109" s="265"/>
      <c r="BD109" s="266"/>
      <c r="BE109" s="11"/>
    </row>
    <row r="110" spans="1:57" s="13" customFormat="1" ht="15" customHeight="1">
      <c r="A110" s="10"/>
      <c r="B110" s="18">
        <f t="shared" si="3"/>
        <v>97</v>
      </c>
      <c r="C110" s="261" t="s">
        <v>309</v>
      </c>
      <c r="D110" s="262"/>
      <c r="E110" s="262"/>
      <c r="F110" s="262"/>
      <c r="G110" s="262"/>
      <c r="H110" s="262"/>
      <c r="I110" s="262"/>
      <c r="J110" s="262"/>
      <c r="K110" s="263"/>
      <c r="L110" s="261" t="s">
        <v>310</v>
      </c>
      <c r="M110" s="262"/>
      <c r="N110" s="262"/>
      <c r="O110" s="262"/>
      <c r="P110" s="262"/>
      <c r="Q110" s="263"/>
      <c r="R110" s="267" t="s">
        <v>19</v>
      </c>
      <c r="S110" s="268"/>
      <c r="T110" s="278">
        <v>6</v>
      </c>
      <c r="U110" s="279"/>
      <c r="V110" s="256">
        <f t="shared" si="5"/>
        <v>6</v>
      </c>
      <c r="W110" s="257"/>
      <c r="X110" s="256">
        <f t="shared" si="4"/>
        <v>847</v>
      </c>
      <c r="Y110" s="257"/>
      <c r="Z110" s="256"/>
      <c r="AA110" s="257"/>
      <c r="AB110" s="256"/>
      <c r="AC110" s="257"/>
      <c r="AD110" s="256"/>
      <c r="AE110" s="257"/>
      <c r="AF110" s="19"/>
      <c r="AG110" s="20"/>
      <c r="AH110" s="20"/>
      <c r="AI110" s="20"/>
      <c r="AJ110" s="20"/>
      <c r="AK110" s="20"/>
      <c r="AL110" s="20"/>
      <c r="AM110" s="20"/>
      <c r="AN110" s="20"/>
      <c r="AO110" s="21"/>
      <c r="AP110" s="264"/>
      <c r="AQ110" s="265"/>
      <c r="AR110" s="265"/>
      <c r="AS110" s="265"/>
      <c r="AT110" s="265"/>
      <c r="AU110" s="265"/>
      <c r="AV110" s="265"/>
      <c r="AW110" s="265"/>
      <c r="AX110" s="265"/>
      <c r="AY110" s="265"/>
      <c r="AZ110" s="265"/>
      <c r="BA110" s="265"/>
      <c r="BB110" s="265"/>
      <c r="BC110" s="265"/>
      <c r="BD110" s="266"/>
      <c r="BE110" s="11"/>
    </row>
    <row r="111" spans="1:57" s="13" customFormat="1" ht="15" customHeight="1">
      <c r="A111" s="10"/>
      <c r="B111" s="18">
        <f t="shared" si="3"/>
        <v>98</v>
      </c>
      <c r="C111" s="261" t="s">
        <v>311</v>
      </c>
      <c r="D111" s="262"/>
      <c r="E111" s="262"/>
      <c r="F111" s="262"/>
      <c r="G111" s="262"/>
      <c r="H111" s="262"/>
      <c r="I111" s="262"/>
      <c r="J111" s="262"/>
      <c r="K111" s="263"/>
      <c r="L111" s="261" t="s">
        <v>312</v>
      </c>
      <c r="M111" s="262"/>
      <c r="N111" s="262"/>
      <c r="O111" s="262"/>
      <c r="P111" s="262"/>
      <c r="Q111" s="263"/>
      <c r="R111" s="267" t="s">
        <v>19</v>
      </c>
      <c r="S111" s="268"/>
      <c r="T111" s="278">
        <v>6</v>
      </c>
      <c r="U111" s="279"/>
      <c r="V111" s="256">
        <f t="shared" si="5"/>
        <v>6</v>
      </c>
      <c r="W111" s="257"/>
      <c r="X111" s="256">
        <f t="shared" si="4"/>
        <v>853</v>
      </c>
      <c r="Y111" s="257"/>
      <c r="Z111" s="256"/>
      <c r="AA111" s="257"/>
      <c r="AB111" s="256"/>
      <c r="AC111" s="257"/>
      <c r="AD111" s="256"/>
      <c r="AE111" s="257"/>
      <c r="AF111" s="19"/>
      <c r="AG111" s="20"/>
      <c r="AH111" s="20"/>
      <c r="AI111" s="20"/>
      <c r="AJ111" s="20"/>
      <c r="AK111" s="20"/>
      <c r="AL111" s="20"/>
      <c r="AM111" s="20"/>
      <c r="AN111" s="20"/>
      <c r="AO111" s="21"/>
      <c r="AP111" s="264"/>
      <c r="AQ111" s="265"/>
      <c r="AR111" s="265"/>
      <c r="AS111" s="265"/>
      <c r="AT111" s="265"/>
      <c r="AU111" s="265"/>
      <c r="AV111" s="265"/>
      <c r="AW111" s="265"/>
      <c r="AX111" s="265"/>
      <c r="AY111" s="265"/>
      <c r="AZ111" s="265"/>
      <c r="BA111" s="265"/>
      <c r="BB111" s="265"/>
      <c r="BC111" s="265"/>
      <c r="BD111" s="266"/>
      <c r="BE111" s="11"/>
    </row>
    <row r="112" spans="1:57" s="13" customFormat="1" ht="15" customHeight="1">
      <c r="A112" s="10"/>
      <c r="B112" s="18">
        <f t="shared" si="3"/>
        <v>99</v>
      </c>
      <c r="C112" s="261" t="s">
        <v>32</v>
      </c>
      <c r="D112" s="262"/>
      <c r="E112" s="262"/>
      <c r="F112" s="262"/>
      <c r="G112" s="262"/>
      <c r="H112" s="262"/>
      <c r="I112" s="262"/>
      <c r="J112" s="262"/>
      <c r="K112" s="263"/>
      <c r="L112" s="261" t="s">
        <v>106</v>
      </c>
      <c r="M112" s="262"/>
      <c r="N112" s="262"/>
      <c r="O112" s="262"/>
      <c r="P112" s="262"/>
      <c r="Q112" s="263"/>
      <c r="R112" s="267" t="s">
        <v>19</v>
      </c>
      <c r="S112" s="268"/>
      <c r="T112" s="278">
        <v>1</v>
      </c>
      <c r="U112" s="279"/>
      <c r="V112" s="256">
        <f t="shared" si="5"/>
        <v>1</v>
      </c>
      <c r="W112" s="257"/>
      <c r="X112" s="256">
        <f t="shared" si="4"/>
        <v>859</v>
      </c>
      <c r="Y112" s="257"/>
      <c r="Z112" s="256"/>
      <c r="AA112" s="257"/>
      <c r="AB112" s="256"/>
      <c r="AC112" s="257"/>
      <c r="AD112" s="256"/>
      <c r="AE112" s="257"/>
      <c r="AF112" s="19"/>
      <c r="AG112" s="20"/>
      <c r="AH112" s="20"/>
      <c r="AI112" s="20"/>
      <c r="AJ112" s="20"/>
      <c r="AK112" s="20"/>
      <c r="AL112" s="20"/>
      <c r="AM112" s="20"/>
      <c r="AN112" s="20"/>
      <c r="AO112" s="21"/>
      <c r="AP112" s="264"/>
      <c r="AQ112" s="265"/>
      <c r="AR112" s="265"/>
      <c r="AS112" s="265"/>
      <c r="AT112" s="265"/>
      <c r="AU112" s="265"/>
      <c r="AV112" s="265"/>
      <c r="AW112" s="265"/>
      <c r="AX112" s="265"/>
      <c r="AY112" s="265"/>
      <c r="AZ112" s="265"/>
      <c r="BA112" s="265"/>
      <c r="BB112" s="265"/>
      <c r="BC112" s="265"/>
      <c r="BD112" s="266"/>
      <c r="BE112" s="11"/>
    </row>
    <row r="113" spans="1:57" s="13" customFormat="1" ht="15" customHeight="1">
      <c r="A113" s="10"/>
      <c r="B113" s="18">
        <f t="shared" si="3"/>
        <v>100</v>
      </c>
      <c r="C113" s="261" t="s">
        <v>33</v>
      </c>
      <c r="D113" s="262"/>
      <c r="E113" s="262"/>
      <c r="F113" s="262"/>
      <c r="G113" s="262"/>
      <c r="H113" s="262"/>
      <c r="I113" s="262"/>
      <c r="J113" s="262"/>
      <c r="K113" s="263"/>
      <c r="L113" s="261" t="s">
        <v>107</v>
      </c>
      <c r="M113" s="262"/>
      <c r="N113" s="262"/>
      <c r="O113" s="262"/>
      <c r="P113" s="262"/>
      <c r="Q113" s="263"/>
      <c r="R113" s="267" t="s">
        <v>19</v>
      </c>
      <c r="S113" s="268"/>
      <c r="T113" s="278">
        <v>1</v>
      </c>
      <c r="U113" s="279"/>
      <c r="V113" s="256">
        <f t="shared" si="5"/>
        <v>1</v>
      </c>
      <c r="W113" s="257"/>
      <c r="X113" s="256">
        <f t="shared" si="4"/>
        <v>860</v>
      </c>
      <c r="Y113" s="257"/>
      <c r="Z113" s="256"/>
      <c r="AA113" s="257"/>
      <c r="AB113" s="256"/>
      <c r="AC113" s="257"/>
      <c r="AD113" s="256"/>
      <c r="AE113" s="257"/>
      <c r="AF113" s="19"/>
      <c r="AG113" s="20"/>
      <c r="AH113" s="20"/>
      <c r="AI113" s="20"/>
      <c r="AJ113" s="20"/>
      <c r="AK113" s="20"/>
      <c r="AL113" s="20"/>
      <c r="AM113" s="20"/>
      <c r="AN113" s="20"/>
      <c r="AO113" s="21"/>
      <c r="AP113" s="264"/>
      <c r="AQ113" s="265"/>
      <c r="AR113" s="265"/>
      <c r="AS113" s="265"/>
      <c r="AT113" s="265"/>
      <c r="AU113" s="265"/>
      <c r="AV113" s="265"/>
      <c r="AW113" s="265"/>
      <c r="AX113" s="265"/>
      <c r="AY113" s="265"/>
      <c r="AZ113" s="265"/>
      <c r="BA113" s="265"/>
      <c r="BB113" s="265"/>
      <c r="BC113" s="265"/>
      <c r="BD113" s="266"/>
      <c r="BE113" s="11"/>
    </row>
    <row r="114" spans="1:57" s="13" customFormat="1" ht="15" customHeight="1">
      <c r="A114" s="10"/>
      <c r="B114" s="18">
        <f t="shared" si="3"/>
        <v>101</v>
      </c>
      <c r="C114" s="261" t="s">
        <v>34</v>
      </c>
      <c r="D114" s="262"/>
      <c r="E114" s="262"/>
      <c r="F114" s="262"/>
      <c r="G114" s="262"/>
      <c r="H114" s="262"/>
      <c r="I114" s="262"/>
      <c r="J114" s="262"/>
      <c r="K114" s="263"/>
      <c r="L114" s="261" t="s">
        <v>108</v>
      </c>
      <c r="M114" s="262"/>
      <c r="N114" s="262"/>
      <c r="O114" s="262"/>
      <c r="P114" s="262"/>
      <c r="Q114" s="263"/>
      <c r="R114" s="267" t="s">
        <v>19</v>
      </c>
      <c r="S114" s="268"/>
      <c r="T114" s="278">
        <v>20</v>
      </c>
      <c r="U114" s="279"/>
      <c r="V114" s="256">
        <f t="shared" si="5"/>
        <v>20</v>
      </c>
      <c r="W114" s="257"/>
      <c r="X114" s="256">
        <f t="shared" si="4"/>
        <v>861</v>
      </c>
      <c r="Y114" s="257"/>
      <c r="Z114" s="256"/>
      <c r="AA114" s="257"/>
      <c r="AB114" s="256"/>
      <c r="AC114" s="257"/>
      <c r="AD114" s="256"/>
      <c r="AE114" s="257"/>
      <c r="AF114" s="19"/>
      <c r="AG114" s="20"/>
      <c r="AH114" s="20"/>
      <c r="AI114" s="20"/>
      <c r="AJ114" s="20"/>
      <c r="AK114" s="20"/>
      <c r="AL114" s="20"/>
      <c r="AM114" s="20"/>
      <c r="AN114" s="20"/>
      <c r="AO114" s="21"/>
      <c r="AP114" s="264"/>
      <c r="AQ114" s="265"/>
      <c r="AR114" s="265"/>
      <c r="AS114" s="265"/>
      <c r="AT114" s="265"/>
      <c r="AU114" s="265"/>
      <c r="AV114" s="265"/>
      <c r="AW114" s="265"/>
      <c r="AX114" s="265"/>
      <c r="AY114" s="265"/>
      <c r="AZ114" s="265"/>
      <c r="BA114" s="265"/>
      <c r="BB114" s="265"/>
      <c r="BC114" s="265"/>
      <c r="BD114" s="266"/>
      <c r="BE114" s="11"/>
    </row>
    <row r="115" spans="1:57" s="13" customFormat="1" ht="15" customHeight="1">
      <c r="A115" s="10"/>
      <c r="B115" s="18">
        <f t="shared" si="3"/>
        <v>102</v>
      </c>
      <c r="C115" s="261" t="s">
        <v>80</v>
      </c>
      <c r="D115" s="262"/>
      <c r="E115" s="262"/>
      <c r="F115" s="262"/>
      <c r="G115" s="262"/>
      <c r="H115" s="262"/>
      <c r="I115" s="262"/>
      <c r="J115" s="262"/>
      <c r="K115" s="263"/>
      <c r="L115" s="261" t="s">
        <v>81</v>
      </c>
      <c r="M115" s="262"/>
      <c r="N115" s="262"/>
      <c r="O115" s="262"/>
      <c r="P115" s="262"/>
      <c r="Q115" s="263"/>
      <c r="R115" s="267" t="s">
        <v>19</v>
      </c>
      <c r="S115" s="268"/>
      <c r="T115" s="278">
        <v>1</v>
      </c>
      <c r="U115" s="279"/>
      <c r="V115" s="256">
        <f t="shared" si="5"/>
        <v>1</v>
      </c>
      <c r="W115" s="257"/>
      <c r="X115" s="256">
        <f t="shared" si="4"/>
        <v>881</v>
      </c>
      <c r="Y115" s="257"/>
      <c r="Z115" s="256"/>
      <c r="AA115" s="257"/>
      <c r="AB115" s="256"/>
      <c r="AC115" s="257"/>
      <c r="AD115" s="256"/>
      <c r="AE115" s="257"/>
      <c r="AF115" s="19"/>
      <c r="AG115" s="20"/>
      <c r="AH115" s="20"/>
      <c r="AI115" s="20"/>
      <c r="AJ115" s="20"/>
      <c r="AK115" s="20"/>
      <c r="AL115" s="20"/>
      <c r="AM115" s="20"/>
      <c r="AN115" s="20"/>
      <c r="AO115" s="21"/>
      <c r="AP115" s="264"/>
      <c r="AQ115" s="265"/>
      <c r="AR115" s="265"/>
      <c r="AS115" s="265"/>
      <c r="AT115" s="265"/>
      <c r="AU115" s="265"/>
      <c r="AV115" s="265"/>
      <c r="AW115" s="265"/>
      <c r="AX115" s="265"/>
      <c r="AY115" s="265"/>
      <c r="AZ115" s="265"/>
      <c r="BA115" s="265"/>
      <c r="BB115" s="265"/>
      <c r="BC115" s="265"/>
      <c r="BD115" s="266"/>
      <c r="BE115" s="11"/>
    </row>
    <row r="116" spans="1:57" s="13" customFormat="1" ht="15" customHeight="1">
      <c r="A116" s="10"/>
      <c r="B116" s="18">
        <f t="shared" si="3"/>
        <v>103</v>
      </c>
      <c r="C116" s="261" t="s">
        <v>77</v>
      </c>
      <c r="D116" s="262"/>
      <c r="E116" s="262"/>
      <c r="F116" s="262"/>
      <c r="G116" s="262"/>
      <c r="H116" s="262"/>
      <c r="I116" s="262"/>
      <c r="J116" s="262"/>
      <c r="K116" s="263"/>
      <c r="L116" s="261" t="s">
        <v>78</v>
      </c>
      <c r="M116" s="262"/>
      <c r="N116" s="262"/>
      <c r="O116" s="262"/>
      <c r="P116" s="262"/>
      <c r="Q116" s="263"/>
      <c r="R116" s="267" t="s">
        <v>19</v>
      </c>
      <c r="S116" s="268"/>
      <c r="T116" s="278">
        <v>1</v>
      </c>
      <c r="U116" s="279"/>
      <c r="V116" s="256">
        <f t="shared" si="5"/>
        <v>1</v>
      </c>
      <c r="W116" s="257"/>
      <c r="X116" s="256">
        <f t="shared" si="4"/>
        <v>882</v>
      </c>
      <c r="Y116" s="257"/>
      <c r="Z116" s="256"/>
      <c r="AA116" s="257"/>
      <c r="AB116" s="256"/>
      <c r="AC116" s="257"/>
      <c r="AD116" s="256"/>
      <c r="AE116" s="257"/>
      <c r="AF116" s="19"/>
      <c r="AG116" s="20"/>
      <c r="AH116" s="20"/>
      <c r="AI116" s="20"/>
      <c r="AJ116" s="20"/>
      <c r="AK116" s="20"/>
      <c r="AL116" s="20"/>
      <c r="AM116" s="20"/>
      <c r="AN116" s="20"/>
      <c r="AO116" s="21"/>
      <c r="AP116" s="264"/>
      <c r="AQ116" s="265"/>
      <c r="AR116" s="265"/>
      <c r="AS116" s="265"/>
      <c r="AT116" s="265"/>
      <c r="AU116" s="265"/>
      <c r="AV116" s="265"/>
      <c r="AW116" s="265"/>
      <c r="AX116" s="265"/>
      <c r="AY116" s="265"/>
      <c r="AZ116" s="265"/>
      <c r="BA116" s="265"/>
      <c r="BB116" s="265"/>
      <c r="BC116" s="265"/>
      <c r="BD116" s="266"/>
      <c r="BE116" s="11"/>
    </row>
    <row r="117" spans="1:57" s="13" customFormat="1" ht="15" customHeight="1">
      <c r="A117" s="10"/>
      <c r="B117" s="18">
        <f t="shared" si="3"/>
        <v>104</v>
      </c>
      <c r="C117" s="261" t="s">
        <v>313</v>
      </c>
      <c r="D117" s="262"/>
      <c r="E117" s="262"/>
      <c r="F117" s="262"/>
      <c r="G117" s="262"/>
      <c r="H117" s="262"/>
      <c r="I117" s="262"/>
      <c r="J117" s="262"/>
      <c r="K117" s="263"/>
      <c r="L117" s="261" t="s">
        <v>314</v>
      </c>
      <c r="M117" s="262"/>
      <c r="N117" s="262"/>
      <c r="O117" s="262"/>
      <c r="P117" s="262"/>
      <c r="Q117" s="263"/>
      <c r="R117" s="267" t="s">
        <v>19</v>
      </c>
      <c r="S117" s="268"/>
      <c r="T117" s="278">
        <v>9</v>
      </c>
      <c r="U117" s="279"/>
      <c r="V117" s="256">
        <f t="shared" si="5"/>
        <v>9</v>
      </c>
      <c r="W117" s="257"/>
      <c r="X117" s="256">
        <f t="shared" si="4"/>
        <v>883</v>
      </c>
      <c r="Y117" s="257"/>
      <c r="Z117" s="256"/>
      <c r="AA117" s="257"/>
      <c r="AB117" s="256"/>
      <c r="AC117" s="257"/>
      <c r="AD117" s="256"/>
      <c r="AE117" s="257"/>
      <c r="AF117" s="19"/>
      <c r="AG117" s="20"/>
      <c r="AH117" s="20"/>
      <c r="AI117" s="20"/>
      <c r="AJ117" s="20"/>
      <c r="AK117" s="20"/>
      <c r="AL117" s="20"/>
      <c r="AM117" s="20"/>
      <c r="AN117" s="20"/>
      <c r="AO117" s="21"/>
      <c r="AP117" s="264"/>
      <c r="AQ117" s="265"/>
      <c r="AR117" s="265"/>
      <c r="AS117" s="265"/>
      <c r="AT117" s="265"/>
      <c r="AU117" s="265"/>
      <c r="AV117" s="265"/>
      <c r="AW117" s="265"/>
      <c r="AX117" s="265"/>
      <c r="AY117" s="265"/>
      <c r="AZ117" s="265"/>
      <c r="BA117" s="265"/>
      <c r="BB117" s="265"/>
      <c r="BC117" s="265"/>
      <c r="BD117" s="266"/>
      <c r="BE117" s="11"/>
    </row>
    <row r="118" spans="1:57" s="13" customFormat="1" ht="15" customHeight="1">
      <c r="A118" s="10"/>
      <c r="B118" s="18">
        <f t="shared" si="3"/>
        <v>105</v>
      </c>
      <c r="C118" s="261" t="s">
        <v>315</v>
      </c>
      <c r="D118" s="262"/>
      <c r="E118" s="262"/>
      <c r="F118" s="262"/>
      <c r="G118" s="262"/>
      <c r="H118" s="262"/>
      <c r="I118" s="262"/>
      <c r="J118" s="262"/>
      <c r="K118" s="263"/>
      <c r="L118" s="261" t="s">
        <v>316</v>
      </c>
      <c r="M118" s="262"/>
      <c r="N118" s="262"/>
      <c r="O118" s="262"/>
      <c r="P118" s="262"/>
      <c r="Q118" s="263"/>
      <c r="R118" s="267" t="s">
        <v>19</v>
      </c>
      <c r="S118" s="268"/>
      <c r="T118" s="278">
        <v>9</v>
      </c>
      <c r="U118" s="279"/>
      <c r="V118" s="256">
        <f t="shared" si="5"/>
        <v>9</v>
      </c>
      <c r="W118" s="257"/>
      <c r="X118" s="256">
        <f t="shared" si="4"/>
        <v>892</v>
      </c>
      <c r="Y118" s="257"/>
      <c r="Z118" s="256"/>
      <c r="AA118" s="257"/>
      <c r="AB118" s="256"/>
      <c r="AC118" s="257"/>
      <c r="AD118" s="256"/>
      <c r="AE118" s="257"/>
      <c r="AF118" s="19"/>
      <c r="AG118" s="20"/>
      <c r="AH118" s="20"/>
      <c r="AI118" s="20"/>
      <c r="AJ118" s="20"/>
      <c r="AK118" s="20"/>
      <c r="AL118" s="20"/>
      <c r="AM118" s="20"/>
      <c r="AN118" s="20"/>
      <c r="AO118" s="21"/>
      <c r="AP118" s="264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6"/>
      <c r="BE118" s="11"/>
    </row>
    <row r="119" spans="1:57" s="13" customFormat="1" ht="15" customHeight="1">
      <c r="A119" s="10"/>
      <c r="B119" s="18">
        <f t="shared" si="3"/>
        <v>106</v>
      </c>
      <c r="C119" s="261" t="s">
        <v>317</v>
      </c>
      <c r="D119" s="262"/>
      <c r="E119" s="262"/>
      <c r="F119" s="262"/>
      <c r="G119" s="262"/>
      <c r="H119" s="262"/>
      <c r="I119" s="262"/>
      <c r="J119" s="262"/>
      <c r="K119" s="263"/>
      <c r="L119" s="261" t="s">
        <v>318</v>
      </c>
      <c r="M119" s="262"/>
      <c r="N119" s="262"/>
      <c r="O119" s="262"/>
      <c r="P119" s="262"/>
      <c r="Q119" s="263"/>
      <c r="R119" s="267" t="s">
        <v>19</v>
      </c>
      <c r="S119" s="268"/>
      <c r="T119" s="278">
        <v>9</v>
      </c>
      <c r="U119" s="279"/>
      <c r="V119" s="256">
        <f t="shared" si="5"/>
        <v>9</v>
      </c>
      <c r="W119" s="257"/>
      <c r="X119" s="256">
        <f t="shared" si="4"/>
        <v>901</v>
      </c>
      <c r="Y119" s="257"/>
      <c r="Z119" s="256"/>
      <c r="AA119" s="257"/>
      <c r="AB119" s="256"/>
      <c r="AC119" s="257"/>
      <c r="AD119" s="256"/>
      <c r="AE119" s="257"/>
      <c r="AF119" s="19"/>
      <c r="AG119" s="20"/>
      <c r="AH119" s="20"/>
      <c r="AI119" s="20"/>
      <c r="AJ119" s="20"/>
      <c r="AK119" s="20"/>
      <c r="AL119" s="20"/>
      <c r="AM119" s="20"/>
      <c r="AN119" s="20"/>
      <c r="AO119" s="21"/>
      <c r="AP119" s="264"/>
      <c r="AQ119" s="265"/>
      <c r="AR119" s="265"/>
      <c r="AS119" s="265"/>
      <c r="AT119" s="265"/>
      <c r="AU119" s="265"/>
      <c r="AV119" s="265"/>
      <c r="AW119" s="265"/>
      <c r="AX119" s="265"/>
      <c r="AY119" s="265"/>
      <c r="AZ119" s="265"/>
      <c r="BA119" s="265"/>
      <c r="BB119" s="265"/>
      <c r="BC119" s="265"/>
      <c r="BD119" s="266"/>
      <c r="BE119" s="11"/>
    </row>
    <row r="120" spans="1:57" s="13" customFormat="1" ht="15" customHeight="1">
      <c r="A120" s="10"/>
      <c r="B120" s="18">
        <f t="shared" si="3"/>
        <v>107</v>
      </c>
      <c r="C120" s="261" t="s">
        <v>94</v>
      </c>
      <c r="D120" s="262"/>
      <c r="E120" s="262"/>
      <c r="F120" s="262"/>
      <c r="G120" s="262"/>
      <c r="H120" s="262"/>
      <c r="I120" s="262"/>
      <c r="J120" s="262"/>
      <c r="K120" s="263"/>
      <c r="L120" s="261" t="s">
        <v>95</v>
      </c>
      <c r="M120" s="262"/>
      <c r="N120" s="262"/>
      <c r="O120" s="262"/>
      <c r="P120" s="262"/>
      <c r="Q120" s="263"/>
      <c r="R120" s="267" t="s">
        <v>19</v>
      </c>
      <c r="S120" s="268"/>
      <c r="T120" s="278">
        <v>2</v>
      </c>
      <c r="U120" s="279"/>
      <c r="V120" s="256">
        <f t="shared" si="5"/>
        <v>2</v>
      </c>
      <c r="W120" s="257"/>
      <c r="X120" s="256">
        <f t="shared" si="4"/>
        <v>910</v>
      </c>
      <c r="Y120" s="257"/>
      <c r="Z120" s="256"/>
      <c r="AA120" s="257"/>
      <c r="AB120" s="256"/>
      <c r="AC120" s="257"/>
      <c r="AD120" s="256"/>
      <c r="AE120" s="257"/>
      <c r="AF120" s="19"/>
      <c r="AG120" s="20"/>
      <c r="AH120" s="20"/>
      <c r="AI120" s="20"/>
      <c r="AJ120" s="20"/>
      <c r="AK120" s="20"/>
      <c r="AL120" s="20"/>
      <c r="AM120" s="20"/>
      <c r="AN120" s="20"/>
      <c r="AO120" s="21"/>
      <c r="AP120" s="264"/>
      <c r="AQ120" s="265"/>
      <c r="AR120" s="265"/>
      <c r="AS120" s="265"/>
      <c r="AT120" s="265"/>
      <c r="AU120" s="265"/>
      <c r="AV120" s="265"/>
      <c r="AW120" s="265"/>
      <c r="AX120" s="265"/>
      <c r="AY120" s="265"/>
      <c r="AZ120" s="265"/>
      <c r="BA120" s="265"/>
      <c r="BB120" s="265"/>
      <c r="BC120" s="265"/>
      <c r="BD120" s="266"/>
      <c r="BE120" s="11"/>
    </row>
    <row r="121" spans="1:57" s="13" customFormat="1" ht="15" customHeight="1">
      <c r="A121" s="10"/>
      <c r="B121" s="18">
        <f t="shared" si="3"/>
        <v>108</v>
      </c>
      <c r="C121" s="261" t="s">
        <v>319</v>
      </c>
      <c r="D121" s="262"/>
      <c r="E121" s="262"/>
      <c r="F121" s="262"/>
      <c r="G121" s="262"/>
      <c r="H121" s="262"/>
      <c r="I121" s="262"/>
      <c r="J121" s="262"/>
      <c r="K121" s="263"/>
      <c r="L121" s="261" t="s">
        <v>320</v>
      </c>
      <c r="M121" s="262"/>
      <c r="N121" s="262"/>
      <c r="O121" s="262"/>
      <c r="P121" s="262"/>
      <c r="Q121" s="263"/>
      <c r="R121" s="267" t="s">
        <v>19</v>
      </c>
      <c r="S121" s="268"/>
      <c r="T121" s="278">
        <v>2</v>
      </c>
      <c r="U121" s="279"/>
      <c r="V121" s="256">
        <f t="shared" si="5"/>
        <v>2</v>
      </c>
      <c r="W121" s="257"/>
      <c r="X121" s="256">
        <f t="shared" si="4"/>
        <v>912</v>
      </c>
      <c r="Y121" s="257"/>
      <c r="Z121" s="256"/>
      <c r="AA121" s="257"/>
      <c r="AB121" s="256"/>
      <c r="AC121" s="257"/>
      <c r="AD121" s="256"/>
      <c r="AE121" s="257"/>
      <c r="AF121" s="19"/>
      <c r="AG121" s="20"/>
      <c r="AH121" s="20"/>
      <c r="AI121" s="20"/>
      <c r="AJ121" s="20"/>
      <c r="AK121" s="20"/>
      <c r="AL121" s="20"/>
      <c r="AM121" s="20"/>
      <c r="AN121" s="20"/>
      <c r="AO121" s="21"/>
      <c r="AP121" s="264"/>
      <c r="AQ121" s="265"/>
      <c r="AR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5"/>
      <c r="BC121" s="265"/>
      <c r="BD121" s="266"/>
      <c r="BE121" s="11"/>
    </row>
    <row r="122" spans="1:57" s="13" customFormat="1" ht="15" customHeight="1">
      <c r="A122" s="10"/>
      <c r="B122" s="18">
        <f t="shared" si="3"/>
        <v>109</v>
      </c>
      <c r="C122" s="261" t="s">
        <v>321</v>
      </c>
      <c r="D122" s="262"/>
      <c r="E122" s="262"/>
      <c r="F122" s="262"/>
      <c r="G122" s="262"/>
      <c r="H122" s="262"/>
      <c r="I122" s="262"/>
      <c r="J122" s="262"/>
      <c r="K122" s="263"/>
      <c r="L122" s="261" t="s">
        <v>322</v>
      </c>
      <c r="M122" s="262"/>
      <c r="N122" s="262"/>
      <c r="O122" s="262"/>
      <c r="P122" s="262"/>
      <c r="Q122" s="263"/>
      <c r="R122" s="267" t="s">
        <v>19</v>
      </c>
      <c r="S122" s="268"/>
      <c r="T122" s="278">
        <v>8</v>
      </c>
      <c r="U122" s="279"/>
      <c r="V122" s="256">
        <f t="shared" si="5"/>
        <v>8</v>
      </c>
      <c r="W122" s="257"/>
      <c r="X122" s="256">
        <f t="shared" si="4"/>
        <v>914</v>
      </c>
      <c r="Y122" s="257"/>
      <c r="Z122" s="256"/>
      <c r="AA122" s="257"/>
      <c r="AB122" s="256"/>
      <c r="AC122" s="257"/>
      <c r="AD122" s="256"/>
      <c r="AE122" s="257"/>
      <c r="AF122" s="19"/>
      <c r="AG122" s="20"/>
      <c r="AH122" s="20"/>
      <c r="AI122" s="20"/>
      <c r="AJ122" s="20"/>
      <c r="AK122" s="20"/>
      <c r="AL122" s="20"/>
      <c r="AM122" s="20"/>
      <c r="AN122" s="20"/>
      <c r="AO122" s="21"/>
      <c r="AP122" s="264"/>
      <c r="AQ122" s="265"/>
      <c r="AR122" s="265"/>
      <c r="AS122" s="265"/>
      <c r="AT122" s="265"/>
      <c r="AU122" s="265"/>
      <c r="AV122" s="265"/>
      <c r="AW122" s="265"/>
      <c r="AX122" s="265"/>
      <c r="AY122" s="265"/>
      <c r="AZ122" s="265"/>
      <c r="BA122" s="265"/>
      <c r="BB122" s="265"/>
      <c r="BC122" s="265"/>
      <c r="BD122" s="266"/>
      <c r="BE122" s="11"/>
    </row>
    <row r="123" spans="1:57" s="13" customFormat="1" ht="15" customHeight="1">
      <c r="A123" s="10"/>
      <c r="B123" s="18">
        <f t="shared" si="3"/>
        <v>110</v>
      </c>
      <c r="C123" s="261" t="s">
        <v>85</v>
      </c>
      <c r="D123" s="262"/>
      <c r="E123" s="262"/>
      <c r="F123" s="262"/>
      <c r="G123" s="262"/>
      <c r="H123" s="262"/>
      <c r="I123" s="262"/>
      <c r="J123" s="262"/>
      <c r="K123" s="263"/>
      <c r="L123" s="261" t="s">
        <v>86</v>
      </c>
      <c r="M123" s="262"/>
      <c r="N123" s="262"/>
      <c r="O123" s="262"/>
      <c r="P123" s="262"/>
      <c r="Q123" s="263"/>
      <c r="R123" s="267" t="s">
        <v>19</v>
      </c>
      <c r="S123" s="268"/>
      <c r="T123" s="278">
        <v>6</v>
      </c>
      <c r="U123" s="279"/>
      <c r="V123" s="256">
        <f t="shared" si="5"/>
        <v>6</v>
      </c>
      <c r="W123" s="257"/>
      <c r="X123" s="256">
        <f t="shared" si="4"/>
        <v>922</v>
      </c>
      <c r="Y123" s="257"/>
      <c r="Z123" s="256"/>
      <c r="AA123" s="257"/>
      <c r="AB123" s="256"/>
      <c r="AC123" s="257"/>
      <c r="AD123" s="256"/>
      <c r="AE123" s="257"/>
      <c r="AF123" s="19"/>
      <c r="AG123" s="20"/>
      <c r="AH123" s="20"/>
      <c r="AI123" s="20"/>
      <c r="AJ123" s="20"/>
      <c r="AK123" s="20"/>
      <c r="AL123" s="20"/>
      <c r="AM123" s="20"/>
      <c r="AN123" s="20"/>
      <c r="AO123" s="21"/>
      <c r="AP123" s="264"/>
      <c r="AQ123" s="265"/>
      <c r="AR123" s="265"/>
      <c r="AS123" s="265"/>
      <c r="AT123" s="265"/>
      <c r="AU123" s="265"/>
      <c r="AV123" s="265"/>
      <c r="AW123" s="265"/>
      <c r="AX123" s="265"/>
      <c r="AY123" s="265"/>
      <c r="AZ123" s="265"/>
      <c r="BA123" s="265"/>
      <c r="BB123" s="265"/>
      <c r="BC123" s="265"/>
      <c r="BD123" s="266"/>
      <c r="BE123" s="11"/>
    </row>
    <row r="124" spans="1:57" s="13" customFormat="1" ht="15" customHeight="1">
      <c r="A124" s="10"/>
      <c r="B124" s="18">
        <f t="shared" si="3"/>
        <v>111</v>
      </c>
      <c r="C124" s="261" t="s">
        <v>62</v>
      </c>
      <c r="D124" s="262"/>
      <c r="E124" s="262"/>
      <c r="F124" s="262"/>
      <c r="G124" s="262"/>
      <c r="H124" s="262"/>
      <c r="I124" s="262"/>
      <c r="J124" s="262"/>
      <c r="K124" s="263"/>
      <c r="L124" s="261" t="s">
        <v>63</v>
      </c>
      <c r="M124" s="262"/>
      <c r="N124" s="262"/>
      <c r="O124" s="262"/>
      <c r="P124" s="262"/>
      <c r="Q124" s="263"/>
      <c r="R124" s="267" t="s">
        <v>19</v>
      </c>
      <c r="S124" s="268"/>
      <c r="T124" s="278">
        <v>8</v>
      </c>
      <c r="U124" s="279"/>
      <c r="V124" s="256">
        <f t="shared" si="5"/>
        <v>8</v>
      </c>
      <c r="W124" s="257"/>
      <c r="X124" s="256">
        <f t="shared" si="4"/>
        <v>928</v>
      </c>
      <c r="Y124" s="257"/>
      <c r="Z124" s="256"/>
      <c r="AA124" s="257"/>
      <c r="AB124" s="256"/>
      <c r="AC124" s="257"/>
      <c r="AD124" s="256"/>
      <c r="AE124" s="257"/>
      <c r="AF124" s="19"/>
      <c r="AG124" s="20"/>
      <c r="AH124" s="20"/>
      <c r="AI124" s="20"/>
      <c r="AJ124" s="20"/>
      <c r="AK124" s="20"/>
      <c r="AL124" s="20"/>
      <c r="AM124" s="20"/>
      <c r="AN124" s="20"/>
      <c r="AO124" s="21"/>
      <c r="AP124" s="264"/>
      <c r="AQ124" s="265"/>
      <c r="AR124" s="265"/>
      <c r="AS124" s="265"/>
      <c r="AT124" s="265"/>
      <c r="AU124" s="265"/>
      <c r="AV124" s="265"/>
      <c r="AW124" s="265"/>
      <c r="AX124" s="265"/>
      <c r="AY124" s="265"/>
      <c r="AZ124" s="265"/>
      <c r="BA124" s="265"/>
      <c r="BB124" s="265"/>
      <c r="BC124" s="265"/>
      <c r="BD124" s="266"/>
      <c r="BE124" s="11"/>
    </row>
    <row r="125" spans="1:57" s="13" customFormat="1" ht="15" customHeight="1">
      <c r="A125" s="24"/>
      <c r="B125" s="25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7"/>
    </row>
    <row r="126" spans="1:57" s="13" customFormat="1" ht="15" customHeight="1">
      <c r="A126" s="10"/>
      <c r="B126" s="18">
        <f>B124+1</f>
        <v>112</v>
      </c>
      <c r="C126" s="261" t="s">
        <v>323</v>
      </c>
      <c r="D126" s="262"/>
      <c r="E126" s="262"/>
      <c r="F126" s="262"/>
      <c r="G126" s="262"/>
      <c r="H126" s="262"/>
      <c r="I126" s="262"/>
      <c r="J126" s="262"/>
      <c r="K126" s="263"/>
      <c r="L126" s="261" t="s">
        <v>324</v>
      </c>
      <c r="M126" s="262"/>
      <c r="N126" s="262"/>
      <c r="O126" s="262"/>
      <c r="P126" s="262"/>
      <c r="Q126" s="263"/>
      <c r="R126" s="267" t="s">
        <v>19</v>
      </c>
      <c r="S126" s="268"/>
      <c r="T126" s="278">
        <v>9</v>
      </c>
      <c r="U126" s="279"/>
      <c r="V126" s="256">
        <f t="shared" si="5"/>
        <v>9</v>
      </c>
      <c r="W126" s="257"/>
      <c r="X126" s="256">
        <f>IF(C126&lt;&gt;"",IF(V124="",X124,V124+X124),"")</f>
        <v>936</v>
      </c>
      <c r="Y126" s="257"/>
      <c r="Z126" s="256"/>
      <c r="AA126" s="257"/>
      <c r="AB126" s="256"/>
      <c r="AC126" s="257"/>
      <c r="AD126" s="256"/>
      <c r="AE126" s="257"/>
      <c r="AF126" s="19"/>
      <c r="AG126" s="20"/>
      <c r="AH126" s="20"/>
      <c r="AI126" s="20"/>
      <c r="AJ126" s="20"/>
      <c r="AK126" s="20"/>
      <c r="AL126" s="20"/>
      <c r="AM126" s="20"/>
      <c r="AN126" s="20"/>
      <c r="AO126" s="21"/>
      <c r="AP126" s="264"/>
      <c r="AQ126" s="265"/>
      <c r="AR126" s="265"/>
      <c r="AS126" s="265"/>
      <c r="AT126" s="265"/>
      <c r="AU126" s="265"/>
      <c r="AV126" s="265"/>
      <c r="AW126" s="265"/>
      <c r="AX126" s="265"/>
      <c r="AY126" s="265"/>
      <c r="AZ126" s="265"/>
      <c r="BA126" s="265"/>
      <c r="BB126" s="265"/>
      <c r="BC126" s="265"/>
      <c r="BD126" s="266"/>
      <c r="BE126" s="11"/>
    </row>
    <row r="127" spans="1:57" s="13" customFormat="1" ht="15" customHeight="1">
      <c r="A127" s="10"/>
      <c r="B127" s="18">
        <f t="shared" si="3"/>
        <v>113</v>
      </c>
      <c r="C127" s="261" t="s">
        <v>325</v>
      </c>
      <c r="D127" s="262"/>
      <c r="E127" s="262"/>
      <c r="F127" s="262"/>
      <c r="G127" s="262"/>
      <c r="H127" s="262"/>
      <c r="I127" s="262"/>
      <c r="J127" s="262"/>
      <c r="K127" s="263"/>
      <c r="L127" s="261" t="s">
        <v>326</v>
      </c>
      <c r="M127" s="262"/>
      <c r="N127" s="262"/>
      <c r="O127" s="262"/>
      <c r="P127" s="262"/>
      <c r="Q127" s="263"/>
      <c r="R127" s="256" t="s">
        <v>19</v>
      </c>
      <c r="S127" s="257"/>
      <c r="T127" s="256">
        <v>9</v>
      </c>
      <c r="U127" s="257"/>
      <c r="V127" s="256">
        <f t="shared" si="5"/>
        <v>9</v>
      </c>
      <c r="W127" s="257"/>
      <c r="X127" s="256">
        <f t="shared" si="4"/>
        <v>945</v>
      </c>
      <c r="Y127" s="257"/>
      <c r="Z127" s="256"/>
      <c r="AA127" s="257"/>
      <c r="AB127" s="256"/>
      <c r="AC127" s="257"/>
      <c r="AD127" s="256"/>
      <c r="AE127" s="257"/>
      <c r="AF127" s="19"/>
      <c r="AG127" s="20"/>
      <c r="AH127" s="20"/>
      <c r="AI127" s="20"/>
      <c r="AJ127" s="20"/>
      <c r="AK127" s="20"/>
      <c r="AL127" s="20"/>
      <c r="AM127" s="20"/>
      <c r="AN127" s="20"/>
      <c r="AO127" s="21"/>
      <c r="AP127" s="264"/>
      <c r="AQ127" s="265"/>
      <c r="AR127" s="265"/>
      <c r="AS127" s="265"/>
      <c r="AT127" s="265"/>
      <c r="AU127" s="265"/>
      <c r="AV127" s="265"/>
      <c r="AW127" s="265"/>
      <c r="AX127" s="265"/>
      <c r="AY127" s="265"/>
      <c r="AZ127" s="265"/>
      <c r="BA127" s="265"/>
      <c r="BB127" s="265"/>
      <c r="BC127" s="265"/>
      <c r="BD127" s="266"/>
      <c r="BE127" s="11"/>
    </row>
    <row r="128" spans="1:57" s="13" customFormat="1" ht="15" customHeight="1">
      <c r="A128" s="10"/>
      <c r="B128" s="18">
        <f t="shared" si="3"/>
        <v>114</v>
      </c>
      <c r="C128" s="261" t="s">
        <v>327</v>
      </c>
      <c r="D128" s="262"/>
      <c r="E128" s="262"/>
      <c r="F128" s="262"/>
      <c r="G128" s="262"/>
      <c r="H128" s="262"/>
      <c r="I128" s="262"/>
      <c r="J128" s="262"/>
      <c r="K128" s="263"/>
      <c r="L128" s="261" t="s">
        <v>328</v>
      </c>
      <c r="M128" s="262"/>
      <c r="N128" s="262"/>
      <c r="O128" s="262"/>
      <c r="P128" s="262"/>
      <c r="Q128" s="263"/>
      <c r="R128" s="256" t="s">
        <v>19</v>
      </c>
      <c r="S128" s="257"/>
      <c r="T128" s="256">
        <v>9</v>
      </c>
      <c r="U128" s="257"/>
      <c r="V128" s="256">
        <f t="shared" si="5"/>
        <v>9</v>
      </c>
      <c r="W128" s="257"/>
      <c r="X128" s="256">
        <f t="shared" si="4"/>
        <v>954</v>
      </c>
      <c r="Y128" s="257"/>
      <c r="Z128" s="256"/>
      <c r="AA128" s="257"/>
      <c r="AB128" s="256"/>
      <c r="AC128" s="257"/>
      <c r="AD128" s="256"/>
      <c r="AE128" s="257"/>
      <c r="AF128" s="19"/>
      <c r="AG128" s="20"/>
      <c r="AH128" s="20"/>
      <c r="AI128" s="20"/>
      <c r="AJ128" s="20"/>
      <c r="AK128" s="20"/>
      <c r="AL128" s="20"/>
      <c r="AM128" s="20"/>
      <c r="AN128" s="20"/>
      <c r="AO128" s="21"/>
      <c r="AP128" s="264"/>
      <c r="AQ128" s="265"/>
      <c r="AR128" s="265"/>
      <c r="AS128" s="265"/>
      <c r="AT128" s="265"/>
      <c r="AU128" s="265"/>
      <c r="AV128" s="265"/>
      <c r="AW128" s="265"/>
      <c r="AX128" s="265"/>
      <c r="AY128" s="265"/>
      <c r="AZ128" s="265"/>
      <c r="BA128" s="265"/>
      <c r="BB128" s="265"/>
      <c r="BC128" s="265"/>
      <c r="BD128" s="266"/>
      <c r="BE128" s="11"/>
    </row>
    <row r="129" spans="1:57" s="13" customFormat="1" ht="15" customHeight="1">
      <c r="A129" s="10"/>
      <c r="B129" s="18">
        <f t="shared" si="3"/>
        <v>115</v>
      </c>
      <c r="C129" s="261" t="s">
        <v>329</v>
      </c>
      <c r="D129" s="262"/>
      <c r="E129" s="262"/>
      <c r="F129" s="262"/>
      <c r="G129" s="262"/>
      <c r="H129" s="262"/>
      <c r="I129" s="262"/>
      <c r="J129" s="262"/>
      <c r="K129" s="263"/>
      <c r="L129" s="261" t="s">
        <v>330</v>
      </c>
      <c r="M129" s="262"/>
      <c r="N129" s="262"/>
      <c r="O129" s="262"/>
      <c r="P129" s="262"/>
      <c r="Q129" s="263"/>
      <c r="R129" s="256" t="s">
        <v>19</v>
      </c>
      <c r="S129" s="257"/>
      <c r="T129" s="256">
        <v>9</v>
      </c>
      <c r="U129" s="257"/>
      <c r="V129" s="256">
        <f t="shared" si="5"/>
        <v>9</v>
      </c>
      <c r="W129" s="257"/>
      <c r="X129" s="256">
        <f t="shared" si="4"/>
        <v>963</v>
      </c>
      <c r="Y129" s="257"/>
      <c r="Z129" s="256"/>
      <c r="AA129" s="257"/>
      <c r="AB129" s="256"/>
      <c r="AC129" s="257"/>
      <c r="AD129" s="256"/>
      <c r="AE129" s="257"/>
      <c r="AF129" s="19"/>
      <c r="AG129" s="20"/>
      <c r="AH129" s="20"/>
      <c r="AI129" s="20"/>
      <c r="AJ129" s="20"/>
      <c r="AK129" s="20"/>
      <c r="AL129" s="20"/>
      <c r="AM129" s="20"/>
      <c r="AN129" s="20"/>
      <c r="AO129" s="21"/>
      <c r="AP129" s="264"/>
      <c r="AQ129" s="265"/>
      <c r="AR129" s="265"/>
      <c r="AS129" s="265"/>
      <c r="AT129" s="265"/>
      <c r="AU129" s="265"/>
      <c r="AV129" s="265"/>
      <c r="AW129" s="265"/>
      <c r="AX129" s="265"/>
      <c r="AY129" s="265"/>
      <c r="AZ129" s="265"/>
      <c r="BA129" s="265"/>
      <c r="BB129" s="265"/>
      <c r="BC129" s="265"/>
      <c r="BD129" s="266"/>
      <c r="BE129" s="11"/>
    </row>
    <row r="130" spans="1:57" s="13" customFormat="1" ht="15" customHeight="1">
      <c r="A130" s="10"/>
      <c r="B130" s="18">
        <f t="shared" si="3"/>
        <v>116</v>
      </c>
      <c r="C130" s="261" t="s">
        <v>331</v>
      </c>
      <c r="D130" s="262"/>
      <c r="E130" s="262"/>
      <c r="F130" s="262"/>
      <c r="G130" s="262"/>
      <c r="H130" s="262"/>
      <c r="I130" s="262"/>
      <c r="J130" s="262"/>
      <c r="K130" s="263"/>
      <c r="L130" s="261" t="s">
        <v>332</v>
      </c>
      <c r="M130" s="262"/>
      <c r="N130" s="262"/>
      <c r="O130" s="262"/>
      <c r="P130" s="262"/>
      <c r="Q130" s="263"/>
      <c r="R130" s="256" t="s">
        <v>19</v>
      </c>
      <c r="S130" s="257"/>
      <c r="T130" s="267">
        <v>9</v>
      </c>
      <c r="U130" s="268"/>
      <c r="V130" s="256">
        <f t="shared" si="5"/>
        <v>9</v>
      </c>
      <c r="W130" s="257"/>
      <c r="X130" s="256">
        <f t="shared" si="4"/>
        <v>972</v>
      </c>
      <c r="Y130" s="257"/>
      <c r="Z130" s="256"/>
      <c r="AA130" s="257"/>
      <c r="AB130" s="256"/>
      <c r="AC130" s="257"/>
      <c r="AD130" s="256"/>
      <c r="AE130" s="257"/>
      <c r="AF130" s="19"/>
      <c r="AG130" s="20"/>
      <c r="AH130" s="20"/>
      <c r="AI130" s="20"/>
      <c r="AJ130" s="20"/>
      <c r="AK130" s="20"/>
      <c r="AL130" s="20"/>
      <c r="AM130" s="20"/>
      <c r="AN130" s="20"/>
      <c r="AO130" s="21"/>
      <c r="AP130" s="264"/>
      <c r="AQ130" s="265"/>
      <c r="AR130" s="265"/>
      <c r="AS130" s="265"/>
      <c r="AT130" s="265"/>
      <c r="AU130" s="265"/>
      <c r="AV130" s="265"/>
      <c r="AW130" s="265"/>
      <c r="AX130" s="265"/>
      <c r="AY130" s="265"/>
      <c r="AZ130" s="265"/>
      <c r="BA130" s="265"/>
      <c r="BB130" s="265"/>
      <c r="BC130" s="265"/>
      <c r="BD130" s="266"/>
      <c r="BE130" s="11"/>
    </row>
    <row r="131" spans="1:57" s="13" customFormat="1" ht="15" customHeight="1">
      <c r="A131" s="10"/>
      <c r="B131" s="18">
        <f t="shared" si="3"/>
        <v>117</v>
      </c>
      <c r="C131" s="261" t="s">
        <v>333</v>
      </c>
      <c r="D131" s="262"/>
      <c r="E131" s="262"/>
      <c r="F131" s="262"/>
      <c r="G131" s="262"/>
      <c r="H131" s="262"/>
      <c r="I131" s="262"/>
      <c r="J131" s="262"/>
      <c r="K131" s="263"/>
      <c r="L131" s="261" t="s">
        <v>334</v>
      </c>
      <c r="M131" s="262"/>
      <c r="N131" s="262"/>
      <c r="O131" s="262"/>
      <c r="P131" s="262"/>
      <c r="Q131" s="263"/>
      <c r="R131" s="267" t="s">
        <v>19</v>
      </c>
      <c r="S131" s="268"/>
      <c r="T131" s="267">
        <v>9</v>
      </c>
      <c r="U131" s="268"/>
      <c r="V131" s="256">
        <f t="shared" si="5"/>
        <v>9</v>
      </c>
      <c r="W131" s="257"/>
      <c r="X131" s="256">
        <f t="shared" si="4"/>
        <v>981</v>
      </c>
      <c r="Y131" s="257"/>
      <c r="Z131" s="256"/>
      <c r="AA131" s="257"/>
      <c r="AB131" s="256"/>
      <c r="AC131" s="257"/>
      <c r="AD131" s="256"/>
      <c r="AE131" s="257"/>
      <c r="AF131" s="19"/>
      <c r="AG131" s="20"/>
      <c r="AH131" s="20"/>
      <c r="AI131" s="20"/>
      <c r="AJ131" s="20"/>
      <c r="AK131" s="20"/>
      <c r="AL131" s="20"/>
      <c r="AM131" s="20"/>
      <c r="AN131" s="20"/>
      <c r="AO131" s="21"/>
      <c r="AP131" s="264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  <c r="BC131" s="265"/>
      <c r="BD131" s="266"/>
      <c r="BE131" s="11"/>
    </row>
    <row r="132" spans="1:57" s="13" customFormat="1" ht="15" customHeight="1">
      <c r="A132" s="10"/>
      <c r="B132" s="18">
        <f t="shared" si="3"/>
        <v>118</v>
      </c>
      <c r="C132" s="261" t="s">
        <v>335</v>
      </c>
      <c r="D132" s="262"/>
      <c r="E132" s="262"/>
      <c r="F132" s="262"/>
      <c r="G132" s="262"/>
      <c r="H132" s="262"/>
      <c r="I132" s="262"/>
      <c r="J132" s="262"/>
      <c r="K132" s="263"/>
      <c r="L132" s="261" t="s">
        <v>336</v>
      </c>
      <c r="M132" s="262"/>
      <c r="N132" s="262"/>
      <c r="O132" s="262"/>
      <c r="P132" s="262"/>
      <c r="Q132" s="263"/>
      <c r="R132" s="267" t="s">
        <v>19</v>
      </c>
      <c r="S132" s="268"/>
      <c r="T132" s="267">
        <v>9</v>
      </c>
      <c r="U132" s="268"/>
      <c r="V132" s="256">
        <f t="shared" si="5"/>
        <v>9</v>
      </c>
      <c r="W132" s="257"/>
      <c r="X132" s="256">
        <f t="shared" si="4"/>
        <v>990</v>
      </c>
      <c r="Y132" s="257"/>
      <c r="Z132" s="267"/>
      <c r="AA132" s="268"/>
      <c r="AB132" s="267"/>
      <c r="AC132" s="268"/>
      <c r="AD132" s="256"/>
      <c r="AE132" s="257"/>
      <c r="AF132" s="19"/>
      <c r="AG132" s="20"/>
      <c r="AH132" s="20"/>
      <c r="AI132" s="20"/>
      <c r="AJ132" s="20"/>
      <c r="AK132" s="20"/>
      <c r="AL132" s="20"/>
      <c r="AM132" s="20"/>
      <c r="AN132" s="20"/>
      <c r="AO132" s="21"/>
      <c r="AP132" s="264"/>
      <c r="AQ132" s="265"/>
      <c r="AR132" s="265"/>
      <c r="AS132" s="265"/>
      <c r="AT132" s="265"/>
      <c r="AU132" s="265"/>
      <c r="AV132" s="265"/>
      <c r="AW132" s="265"/>
      <c r="AX132" s="265"/>
      <c r="AY132" s="265"/>
      <c r="AZ132" s="265"/>
      <c r="BA132" s="265"/>
      <c r="BB132" s="265"/>
      <c r="BC132" s="265"/>
      <c r="BD132" s="266"/>
      <c r="BE132" s="11"/>
    </row>
    <row r="133" spans="1:57" s="13" customFormat="1" ht="15" customHeight="1">
      <c r="A133" s="10"/>
      <c r="B133" s="18">
        <f t="shared" si="3"/>
        <v>119</v>
      </c>
      <c r="C133" s="261" t="s">
        <v>337</v>
      </c>
      <c r="D133" s="262"/>
      <c r="E133" s="262"/>
      <c r="F133" s="262"/>
      <c r="G133" s="262"/>
      <c r="H133" s="262"/>
      <c r="I133" s="262"/>
      <c r="J133" s="262"/>
      <c r="K133" s="263"/>
      <c r="L133" s="261" t="s">
        <v>338</v>
      </c>
      <c r="M133" s="262"/>
      <c r="N133" s="262"/>
      <c r="O133" s="262"/>
      <c r="P133" s="262"/>
      <c r="Q133" s="263"/>
      <c r="R133" s="267" t="s">
        <v>19</v>
      </c>
      <c r="S133" s="268"/>
      <c r="T133" s="267">
        <v>9</v>
      </c>
      <c r="U133" s="268"/>
      <c r="V133" s="256">
        <f t="shared" si="5"/>
        <v>9</v>
      </c>
      <c r="W133" s="257"/>
      <c r="X133" s="256">
        <f t="shared" si="4"/>
        <v>999</v>
      </c>
      <c r="Y133" s="257"/>
      <c r="Z133" s="267"/>
      <c r="AA133" s="268"/>
      <c r="AB133" s="267"/>
      <c r="AC133" s="268"/>
      <c r="AD133" s="256"/>
      <c r="AE133" s="257"/>
      <c r="AF133" s="19"/>
      <c r="AG133" s="20"/>
      <c r="AH133" s="20"/>
      <c r="AI133" s="20"/>
      <c r="AJ133" s="20"/>
      <c r="AK133" s="20"/>
      <c r="AL133" s="20"/>
      <c r="AM133" s="20"/>
      <c r="AN133" s="20"/>
      <c r="AO133" s="21"/>
      <c r="AP133" s="264"/>
      <c r="AQ133" s="265"/>
      <c r="AR133" s="265"/>
      <c r="AS133" s="265"/>
      <c r="AT133" s="265"/>
      <c r="AU133" s="265"/>
      <c r="AV133" s="265"/>
      <c r="AW133" s="265"/>
      <c r="AX133" s="265"/>
      <c r="AY133" s="265"/>
      <c r="AZ133" s="265"/>
      <c r="BA133" s="265"/>
      <c r="BB133" s="265"/>
      <c r="BC133" s="265"/>
      <c r="BD133" s="266"/>
      <c r="BE133" s="11"/>
    </row>
    <row r="134" spans="1:57" s="13" customFormat="1" ht="15" customHeight="1">
      <c r="A134" s="10"/>
      <c r="B134" s="18">
        <f t="shared" si="3"/>
        <v>120</v>
      </c>
      <c r="C134" s="261" t="s">
        <v>339</v>
      </c>
      <c r="D134" s="262"/>
      <c r="E134" s="262"/>
      <c r="F134" s="262"/>
      <c r="G134" s="262"/>
      <c r="H134" s="262"/>
      <c r="I134" s="262"/>
      <c r="J134" s="262"/>
      <c r="K134" s="263"/>
      <c r="L134" s="261" t="s">
        <v>340</v>
      </c>
      <c r="M134" s="262"/>
      <c r="N134" s="262"/>
      <c r="O134" s="262"/>
      <c r="P134" s="262"/>
      <c r="Q134" s="263"/>
      <c r="R134" s="267" t="s">
        <v>19</v>
      </c>
      <c r="S134" s="268"/>
      <c r="T134" s="278">
        <v>9</v>
      </c>
      <c r="U134" s="279"/>
      <c r="V134" s="256">
        <f t="shared" si="5"/>
        <v>9</v>
      </c>
      <c r="W134" s="257"/>
      <c r="X134" s="256">
        <f t="shared" si="4"/>
        <v>1008</v>
      </c>
      <c r="Y134" s="257"/>
      <c r="Z134" s="256"/>
      <c r="AA134" s="257"/>
      <c r="AB134" s="256"/>
      <c r="AC134" s="257"/>
      <c r="AD134" s="256"/>
      <c r="AE134" s="257"/>
      <c r="AF134" s="19"/>
      <c r="AG134" s="20"/>
      <c r="AH134" s="20"/>
      <c r="AI134" s="20"/>
      <c r="AJ134" s="20"/>
      <c r="AK134" s="20"/>
      <c r="AL134" s="20"/>
      <c r="AM134" s="20"/>
      <c r="AN134" s="20"/>
      <c r="AO134" s="21"/>
      <c r="AP134" s="264"/>
      <c r="AQ134" s="265"/>
      <c r="AR134" s="265"/>
      <c r="AS134" s="265"/>
      <c r="AT134" s="265"/>
      <c r="AU134" s="265"/>
      <c r="AV134" s="265"/>
      <c r="AW134" s="265"/>
      <c r="AX134" s="265"/>
      <c r="AY134" s="265"/>
      <c r="AZ134" s="265"/>
      <c r="BA134" s="265"/>
      <c r="BB134" s="265"/>
      <c r="BC134" s="265"/>
      <c r="BD134" s="266"/>
      <c r="BE134" s="11"/>
    </row>
    <row r="135" spans="1:57" s="13" customFormat="1" ht="15" customHeight="1">
      <c r="A135" s="10"/>
      <c r="B135" s="18">
        <f t="shared" si="3"/>
        <v>121</v>
      </c>
      <c r="C135" s="261" t="s">
        <v>341</v>
      </c>
      <c r="D135" s="262"/>
      <c r="E135" s="262"/>
      <c r="F135" s="262"/>
      <c r="G135" s="262"/>
      <c r="H135" s="262"/>
      <c r="I135" s="262"/>
      <c r="J135" s="262"/>
      <c r="K135" s="263"/>
      <c r="L135" s="261" t="s">
        <v>342</v>
      </c>
      <c r="M135" s="262"/>
      <c r="N135" s="262"/>
      <c r="O135" s="262"/>
      <c r="P135" s="262"/>
      <c r="Q135" s="263"/>
      <c r="R135" s="267" t="s">
        <v>19</v>
      </c>
      <c r="S135" s="268"/>
      <c r="T135" s="278">
        <v>9</v>
      </c>
      <c r="U135" s="279"/>
      <c r="V135" s="256">
        <f t="shared" si="5"/>
        <v>9</v>
      </c>
      <c r="W135" s="257"/>
      <c r="X135" s="256">
        <f t="shared" si="4"/>
        <v>1017</v>
      </c>
      <c r="Y135" s="257"/>
      <c r="Z135" s="256"/>
      <c r="AA135" s="257"/>
      <c r="AB135" s="256"/>
      <c r="AC135" s="257"/>
      <c r="AD135" s="256"/>
      <c r="AE135" s="257"/>
      <c r="AF135" s="19"/>
      <c r="AG135" s="20"/>
      <c r="AH135" s="20"/>
      <c r="AI135" s="20"/>
      <c r="AJ135" s="20"/>
      <c r="AK135" s="20"/>
      <c r="AL135" s="20"/>
      <c r="AM135" s="20"/>
      <c r="AN135" s="20"/>
      <c r="AO135" s="21"/>
      <c r="AP135" s="264"/>
      <c r="AQ135" s="265"/>
      <c r="AR135" s="265"/>
      <c r="AS135" s="265"/>
      <c r="AT135" s="265"/>
      <c r="AU135" s="265"/>
      <c r="AV135" s="265"/>
      <c r="AW135" s="265"/>
      <c r="AX135" s="265"/>
      <c r="AY135" s="265"/>
      <c r="AZ135" s="265"/>
      <c r="BA135" s="265"/>
      <c r="BB135" s="265"/>
      <c r="BC135" s="265"/>
      <c r="BD135" s="266"/>
      <c r="BE135" s="11"/>
    </row>
    <row r="136" spans="1:57" s="13" customFormat="1" ht="15" customHeight="1">
      <c r="A136" s="10"/>
      <c r="B136" s="18">
        <f t="shared" si="3"/>
        <v>122</v>
      </c>
      <c r="C136" s="261" t="s">
        <v>343</v>
      </c>
      <c r="D136" s="262"/>
      <c r="E136" s="262"/>
      <c r="F136" s="262"/>
      <c r="G136" s="262"/>
      <c r="H136" s="262"/>
      <c r="I136" s="262"/>
      <c r="J136" s="262"/>
      <c r="K136" s="263"/>
      <c r="L136" s="261" t="s">
        <v>344</v>
      </c>
      <c r="M136" s="262"/>
      <c r="N136" s="262"/>
      <c r="O136" s="262"/>
      <c r="P136" s="262"/>
      <c r="Q136" s="263"/>
      <c r="R136" s="267" t="s">
        <v>19</v>
      </c>
      <c r="S136" s="268"/>
      <c r="T136" s="278">
        <v>8</v>
      </c>
      <c r="U136" s="279"/>
      <c r="V136" s="256">
        <f t="shared" si="5"/>
        <v>8</v>
      </c>
      <c r="W136" s="257"/>
      <c r="X136" s="256">
        <f t="shared" si="4"/>
        <v>1026</v>
      </c>
      <c r="Y136" s="257"/>
      <c r="Z136" s="256"/>
      <c r="AA136" s="257"/>
      <c r="AB136" s="256"/>
      <c r="AC136" s="257"/>
      <c r="AD136" s="256"/>
      <c r="AE136" s="257"/>
      <c r="AF136" s="19"/>
      <c r="AG136" s="20"/>
      <c r="AH136" s="20"/>
      <c r="AI136" s="20"/>
      <c r="AJ136" s="20"/>
      <c r="AK136" s="20"/>
      <c r="AL136" s="20"/>
      <c r="AM136" s="20"/>
      <c r="AN136" s="20"/>
      <c r="AO136" s="21"/>
      <c r="AP136" s="264"/>
      <c r="AQ136" s="265"/>
      <c r="AR136" s="265"/>
      <c r="AS136" s="265"/>
      <c r="AT136" s="265"/>
      <c r="AU136" s="265"/>
      <c r="AV136" s="265"/>
      <c r="AW136" s="265"/>
      <c r="AX136" s="265"/>
      <c r="AY136" s="265"/>
      <c r="AZ136" s="265"/>
      <c r="BA136" s="265"/>
      <c r="BB136" s="265"/>
      <c r="BC136" s="265"/>
      <c r="BD136" s="266"/>
      <c r="BE136" s="11"/>
    </row>
    <row r="137" spans="1:57" s="13" customFormat="1" ht="15" customHeight="1">
      <c r="A137" s="10"/>
      <c r="B137" s="18">
        <f t="shared" si="3"/>
        <v>123</v>
      </c>
      <c r="C137" s="261" t="s">
        <v>345</v>
      </c>
      <c r="D137" s="262"/>
      <c r="E137" s="262"/>
      <c r="F137" s="262"/>
      <c r="G137" s="262"/>
      <c r="H137" s="262"/>
      <c r="I137" s="262"/>
      <c r="J137" s="262"/>
      <c r="K137" s="263"/>
      <c r="L137" s="261" t="s">
        <v>346</v>
      </c>
      <c r="M137" s="262"/>
      <c r="N137" s="262"/>
      <c r="O137" s="262"/>
      <c r="P137" s="262"/>
      <c r="Q137" s="263"/>
      <c r="R137" s="267" t="s">
        <v>19</v>
      </c>
      <c r="S137" s="268"/>
      <c r="T137" s="278">
        <v>8</v>
      </c>
      <c r="U137" s="279"/>
      <c r="V137" s="256">
        <f t="shared" si="5"/>
        <v>8</v>
      </c>
      <c r="W137" s="257"/>
      <c r="X137" s="256">
        <f t="shared" si="4"/>
        <v>1034</v>
      </c>
      <c r="Y137" s="257"/>
      <c r="Z137" s="256"/>
      <c r="AA137" s="257"/>
      <c r="AB137" s="256"/>
      <c r="AC137" s="257"/>
      <c r="AD137" s="256"/>
      <c r="AE137" s="257"/>
      <c r="AF137" s="19"/>
      <c r="AG137" s="20"/>
      <c r="AH137" s="20"/>
      <c r="AI137" s="20"/>
      <c r="AJ137" s="20"/>
      <c r="AK137" s="20"/>
      <c r="AL137" s="20"/>
      <c r="AM137" s="20"/>
      <c r="AN137" s="20"/>
      <c r="AO137" s="21"/>
      <c r="AP137" s="264"/>
      <c r="AQ137" s="265"/>
      <c r="AR137" s="265"/>
      <c r="AS137" s="265"/>
      <c r="AT137" s="265"/>
      <c r="AU137" s="265"/>
      <c r="AV137" s="265"/>
      <c r="AW137" s="265"/>
      <c r="AX137" s="265"/>
      <c r="AY137" s="265"/>
      <c r="AZ137" s="265"/>
      <c r="BA137" s="265"/>
      <c r="BB137" s="265"/>
      <c r="BC137" s="265"/>
      <c r="BD137" s="266"/>
      <c r="BE137" s="11"/>
    </row>
    <row r="138" spans="1:57" s="13" customFormat="1" ht="15" customHeight="1">
      <c r="A138" s="10"/>
      <c r="B138" s="18">
        <f t="shared" si="3"/>
        <v>124</v>
      </c>
      <c r="C138" s="261" t="s">
        <v>347</v>
      </c>
      <c r="D138" s="262"/>
      <c r="E138" s="262"/>
      <c r="F138" s="262"/>
      <c r="G138" s="262"/>
      <c r="H138" s="262"/>
      <c r="I138" s="262"/>
      <c r="J138" s="262"/>
      <c r="K138" s="263"/>
      <c r="L138" s="261" t="s">
        <v>348</v>
      </c>
      <c r="M138" s="262"/>
      <c r="N138" s="262"/>
      <c r="O138" s="262"/>
      <c r="P138" s="262"/>
      <c r="Q138" s="263"/>
      <c r="R138" s="267" t="s">
        <v>19</v>
      </c>
      <c r="S138" s="268"/>
      <c r="T138" s="278">
        <v>30</v>
      </c>
      <c r="U138" s="279"/>
      <c r="V138" s="256">
        <f t="shared" si="5"/>
        <v>30</v>
      </c>
      <c r="W138" s="257"/>
      <c r="X138" s="256">
        <f t="shared" si="4"/>
        <v>1042</v>
      </c>
      <c r="Y138" s="257"/>
      <c r="Z138" s="256"/>
      <c r="AA138" s="257"/>
      <c r="AB138" s="256"/>
      <c r="AC138" s="257"/>
      <c r="AD138" s="256"/>
      <c r="AE138" s="257"/>
      <c r="AF138" s="19"/>
      <c r="AG138" s="20"/>
      <c r="AH138" s="20"/>
      <c r="AI138" s="20"/>
      <c r="AJ138" s="20"/>
      <c r="AK138" s="20"/>
      <c r="AL138" s="20"/>
      <c r="AM138" s="20"/>
      <c r="AN138" s="20"/>
      <c r="AO138" s="21"/>
      <c r="AP138" s="264"/>
      <c r="AQ138" s="265"/>
      <c r="AR138" s="265"/>
      <c r="AS138" s="265"/>
      <c r="AT138" s="265"/>
      <c r="AU138" s="265"/>
      <c r="AV138" s="265"/>
      <c r="AW138" s="265"/>
      <c r="AX138" s="265"/>
      <c r="AY138" s="265"/>
      <c r="AZ138" s="265"/>
      <c r="BA138" s="265"/>
      <c r="BB138" s="265"/>
      <c r="BC138" s="265"/>
      <c r="BD138" s="266"/>
      <c r="BE138" s="11"/>
    </row>
    <row r="139" spans="1:57" s="13" customFormat="1" ht="15" customHeight="1">
      <c r="A139" s="10"/>
      <c r="B139" s="18">
        <f t="shared" si="3"/>
        <v>125</v>
      </c>
      <c r="C139" s="261" t="s">
        <v>349</v>
      </c>
      <c r="D139" s="262"/>
      <c r="E139" s="262"/>
      <c r="F139" s="262"/>
      <c r="G139" s="262"/>
      <c r="H139" s="262"/>
      <c r="I139" s="262"/>
      <c r="J139" s="262"/>
      <c r="K139" s="263"/>
      <c r="L139" s="261" t="s">
        <v>350</v>
      </c>
      <c r="M139" s="262"/>
      <c r="N139" s="262"/>
      <c r="O139" s="262"/>
      <c r="P139" s="262"/>
      <c r="Q139" s="263"/>
      <c r="R139" s="267" t="s">
        <v>150</v>
      </c>
      <c r="S139" s="268"/>
      <c r="T139" s="278">
        <v>10</v>
      </c>
      <c r="U139" s="279"/>
      <c r="V139" s="256">
        <f t="shared" si="5"/>
        <v>20</v>
      </c>
      <c r="W139" s="257"/>
      <c r="X139" s="256">
        <f t="shared" si="4"/>
        <v>1072</v>
      </c>
      <c r="Y139" s="257"/>
      <c r="Z139" s="256"/>
      <c r="AA139" s="257"/>
      <c r="AB139" s="256"/>
      <c r="AC139" s="257"/>
      <c r="AD139" s="256"/>
      <c r="AE139" s="257"/>
      <c r="AF139" s="19"/>
      <c r="AG139" s="20"/>
      <c r="AH139" s="20"/>
      <c r="AI139" s="20"/>
      <c r="AJ139" s="20"/>
      <c r="AK139" s="20"/>
      <c r="AL139" s="20"/>
      <c r="AM139" s="20"/>
      <c r="AN139" s="20"/>
      <c r="AO139" s="21"/>
      <c r="AP139" s="264"/>
      <c r="AQ139" s="265"/>
      <c r="AR139" s="265"/>
      <c r="AS139" s="265"/>
      <c r="AT139" s="265"/>
      <c r="AU139" s="265"/>
      <c r="AV139" s="265"/>
      <c r="AW139" s="265"/>
      <c r="AX139" s="265"/>
      <c r="AY139" s="265"/>
      <c r="AZ139" s="265"/>
      <c r="BA139" s="265"/>
      <c r="BB139" s="265"/>
      <c r="BC139" s="265"/>
      <c r="BD139" s="266"/>
      <c r="BE139" s="11"/>
    </row>
    <row r="140" spans="1:57" s="13" customFormat="1" ht="15" customHeight="1">
      <c r="A140" s="10"/>
      <c r="B140" s="18">
        <f t="shared" si="3"/>
        <v>126</v>
      </c>
      <c r="C140" s="261" t="s">
        <v>58</v>
      </c>
      <c r="D140" s="262"/>
      <c r="E140" s="262"/>
      <c r="F140" s="262"/>
      <c r="G140" s="262"/>
      <c r="H140" s="262"/>
      <c r="I140" s="262"/>
      <c r="J140" s="262"/>
      <c r="K140" s="263"/>
      <c r="L140" s="261" t="s">
        <v>351</v>
      </c>
      <c r="M140" s="262"/>
      <c r="N140" s="262"/>
      <c r="O140" s="262"/>
      <c r="P140" s="262"/>
      <c r="Q140" s="263"/>
      <c r="R140" s="267" t="s">
        <v>19</v>
      </c>
      <c r="S140" s="268"/>
      <c r="T140" s="278">
        <v>8</v>
      </c>
      <c r="U140" s="279"/>
      <c r="V140" s="256">
        <f t="shared" si="5"/>
        <v>8</v>
      </c>
      <c r="W140" s="257"/>
      <c r="X140" s="256">
        <f t="shared" si="4"/>
        <v>1092</v>
      </c>
      <c r="Y140" s="257"/>
      <c r="Z140" s="256"/>
      <c r="AA140" s="257"/>
      <c r="AB140" s="256"/>
      <c r="AC140" s="257"/>
      <c r="AD140" s="256"/>
      <c r="AE140" s="257"/>
      <c r="AF140" s="19"/>
      <c r="AG140" s="20"/>
      <c r="AH140" s="20"/>
      <c r="AI140" s="20"/>
      <c r="AJ140" s="20"/>
      <c r="AK140" s="20"/>
      <c r="AL140" s="20"/>
      <c r="AM140" s="20"/>
      <c r="AN140" s="20"/>
      <c r="AO140" s="21"/>
      <c r="AP140" s="264"/>
      <c r="AQ140" s="265"/>
      <c r="AR140" s="265"/>
      <c r="AS140" s="265"/>
      <c r="AT140" s="265"/>
      <c r="AU140" s="265"/>
      <c r="AV140" s="265"/>
      <c r="AW140" s="265"/>
      <c r="AX140" s="265"/>
      <c r="AY140" s="265"/>
      <c r="AZ140" s="265"/>
      <c r="BA140" s="265"/>
      <c r="BB140" s="265"/>
      <c r="BC140" s="265"/>
      <c r="BD140" s="266"/>
      <c r="BE140" s="11"/>
    </row>
    <row r="141" spans="1:57" s="13" customFormat="1" ht="15" customHeight="1">
      <c r="A141" s="10"/>
      <c r="B141" s="18">
        <f t="shared" si="3"/>
        <v>127</v>
      </c>
      <c r="C141" s="261" t="s">
        <v>92</v>
      </c>
      <c r="D141" s="262"/>
      <c r="E141" s="262"/>
      <c r="F141" s="262"/>
      <c r="G141" s="262"/>
      <c r="H141" s="262"/>
      <c r="I141" s="262"/>
      <c r="J141" s="262"/>
      <c r="K141" s="263"/>
      <c r="L141" s="261" t="s">
        <v>93</v>
      </c>
      <c r="M141" s="262"/>
      <c r="N141" s="262"/>
      <c r="O141" s="262"/>
      <c r="P141" s="262"/>
      <c r="Q141" s="263"/>
      <c r="R141" s="267" t="s">
        <v>19</v>
      </c>
      <c r="S141" s="268"/>
      <c r="T141" s="278">
        <v>1</v>
      </c>
      <c r="U141" s="279"/>
      <c r="V141" s="256">
        <f t="shared" si="5"/>
        <v>1</v>
      </c>
      <c r="W141" s="257"/>
      <c r="X141" s="256">
        <f t="shared" si="4"/>
        <v>1100</v>
      </c>
      <c r="Y141" s="257"/>
      <c r="Z141" s="256"/>
      <c r="AA141" s="257"/>
      <c r="AB141" s="256"/>
      <c r="AC141" s="257"/>
      <c r="AD141" s="256"/>
      <c r="AE141" s="257"/>
      <c r="AF141" s="19"/>
      <c r="AG141" s="20"/>
      <c r="AH141" s="20"/>
      <c r="AI141" s="20"/>
      <c r="AJ141" s="20"/>
      <c r="AK141" s="20"/>
      <c r="AL141" s="20"/>
      <c r="AM141" s="20"/>
      <c r="AN141" s="20"/>
      <c r="AO141" s="21"/>
      <c r="AP141" s="264"/>
      <c r="AQ141" s="265"/>
      <c r="AR141" s="265"/>
      <c r="AS141" s="265"/>
      <c r="AT141" s="265"/>
      <c r="AU141" s="265"/>
      <c r="AV141" s="265"/>
      <c r="AW141" s="265"/>
      <c r="AX141" s="265"/>
      <c r="AY141" s="265"/>
      <c r="AZ141" s="265"/>
      <c r="BA141" s="265"/>
      <c r="BB141" s="265"/>
      <c r="BC141" s="265"/>
      <c r="BD141" s="266"/>
      <c r="BE141" s="11"/>
    </row>
    <row r="142" spans="1:57" s="13" customFormat="1" ht="15" customHeight="1">
      <c r="A142" s="10"/>
      <c r="B142" s="18">
        <f>B141+1</f>
        <v>128</v>
      </c>
      <c r="C142" s="261" t="s">
        <v>131</v>
      </c>
      <c r="D142" s="262"/>
      <c r="E142" s="262"/>
      <c r="F142" s="262"/>
      <c r="G142" s="262"/>
      <c r="H142" s="262"/>
      <c r="I142" s="262"/>
      <c r="J142" s="262"/>
      <c r="K142" s="263"/>
      <c r="L142" s="261" t="s">
        <v>132</v>
      </c>
      <c r="M142" s="262"/>
      <c r="N142" s="262"/>
      <c r="O142" s="262"/>
      <c r="P142" s="262"/>
      <c r="Q142" s="263"/>
      <c r="R142" s="267" t="s">
        <v>151</v>
      </c>
      <c r="S142" s="268"/>
      <c r="T142" s="278">
        <v>26</v>
      </c>
      <c r="U142" s="279"/>
      <c r="V142" s="256">
        <f t="shared" si="5"/>
        <v>26</v>
      </c>
      <c r="W142" s="257"/>
      <c r="X142" s="256">
        <f t="shared" ref="X142:X147" si="6">IF(C142&lt;&gt;"",IF(V141="",X141,V141+X141),"")</f>
        <v>1101</v>
      </c>
      <c r="Y142" s="257"/>
      <c r="Z142" s="256"/>
      <c r="AA142" s="257"/>
      <c r="AB142" s="256"/>
      <c r="AC142" s="257"/>
      <c r="AD142" s="256"/>
      <c r="AE142" s="257"/>
      <c r="AF142" s="19"/>
      <c r="AG142" s="20"/>
      <c r="AH142" s="20"/>
      <c r="AI142" s="20"/>
      <c r="AJ142" s="20"/>
      <c r="AK142" s="20"/>
      <c r="AL142" s="20"/>
      <c r="AM142" s="20"/>
      <c r="AN142" s="20"/>
      <c r="AO142" s="21"/>
      <c r="AP142" s="264"/>
      <c r="AQ142" s="265"/>
      <c r="AR142" s="265"/>
      <c r="AS142" s="265"/>
      <c r="AT142" s="265"/>
      <c r="AU142" s="265"/>
      <c r="AV142" s="265"/>
      <c r="AW142" s="265"/>
      <c r="AX142" s="265"/>
      <c r="AY142" s="265"/>
      <c r="AZ142" s="265"/>
      <c r="BA142" s="265"/>
      <c r="BB142" s="265"/>
      <c r="BC142" s="265"/>
      <c r="BD142" s="266"/>
      <c r="BE142" s="11"/>
    </row>
    <row r="143" spans="1:57" s="13" customFormat="1" ht="15" customHeight="1">
      <c r="A143" s="10"/>
      <c r="B143" s="18">
        <f>B142+1</f>
        <v>129</v>
      </c>
      <c r="C143" s="261" t="s">
        <v>133</v>
      </c>
      <c r="D143" s="262"/>
      <c r="E143" s="262"/>
      <c r="F143" s="262"/>
      <c r="G143" s="262"/>
      <c r="H143" s="262"/>
      <c r="I143" s="262"/>
      <c r="J143" s="262"/>
      <c r="K143" s="263"/>
      <c r="L143" s="261" t="s">
        <v>134</v>
      </c>
      <c r="M143" s="262"/>
      <c r="N143" s="262"/>
      <c r="O143" s="262"/>
      <c r="P143" s="262"/>
      <c r="Q143" s="263"/>
      <c r="R143" s="267" t="s">
        <v>151</v>
      </c>
      <c r="S143" s="268"/>
      <c r="T143" s="278">
        <v>26</v>
      </c>
      <c r="U143" s="279"/>
      <c r="V143" s="256">
        <f t="shared" si="5"/>
        <v>26</v>
      </c>
      <c r="W143" s="257"/>
      <c r="X143" s="256">
        <f t="shared" si="6"/>
        <v>1127</v>
      </c>
      <c r="Y143" s="257"/>
      <c r="Z143" s="256"/>
      <c r="AA143" s="257"/>
      <c r="AB143" s="256"/>
      <c r="AC143" s="257"/>
      <c r="AD143" s="256"/>
      <c r="AE143" s="257"/>
      <c r="AF143" s="19"/>
      <c r="AG143" s="20"/>
      <c r="AH143" s="20"/>
      <c r="AI143" s="20"/>
      <c r="AJ143" s="20"/>
      <c r="AK143" s="20"/>
      <c r="AL143" s="20"/>
      <c r="AM143" s="20"/>
      <c r="AN143" s="20"/>
      <c r="AO143" s="21"/>
      <c r="AP143" s="264"/>
      <c r="AQ143" s="265"/>
      <c r="AR143" s="265"/>
      <c r="AS143" s="265"/>
      <c r="AT143" s="265"/>
      <c r="AU143" s="265"/>
      <c r="AV143" s="265"/>
      <c r="AW143" s="265"/>
      <c r="AX143" s="265"/>
      <c r="AY143" s="265"/>
      <c r="AZ143" s="265"/>
      <c r="BA143" s="265"/>
      <c r="BB143" s="265"/>
      <c r="BC143" s="265"/>
      <c r="BD143" s="266"/>
      <c r="BE143" s="11"/>
    </row>
    <row r="144" spans="1:57" s="13" customFormat="1" ht="15" customHeight="1">
      <c r="A144" s="10"/>
      <c r="B144" s="18">
        <f>B143+1</f>
        <v>130</v>
      </c>
      <c r="C144" s="261" t="s">
        <v>135</v>
      </c>
      <c r="D144" s="262"/>
      <c r="E144" s="262"/>
      <c r="F144" s="262"/>
      <c r="G144" s="262"/>
      <c r="H144" s="262"/>
      <c r="I144" s="262"/>
      <c r="J144" s="262"/>
      <c r="K144" s="263"/>
      <c r="L144" s="261" t="s">
        <v>136</v>
      </c>
      <c r="M144" s="262"/>
      <c r="N144" s="262"/>
      <c r="O144" s="262"/>
      <c r="P144" s="262"/>
      <c r="Q144" s="263"/>
      <c r="R144" s="267" t="s">
        <v>19</v>
      </c>
      <c r="S144" s="268"/>
      <c r="T144" s="278">
        <v>12</v>
      </c>
      <c r="U144" s="279"/>
      <c r="V144" s="256">
        <f t="shared" si="5"/>
        <v>12</v>
      </c>
      <c r="W144" s="257"/>
      <c r="X144" s="256">
        <f t="shared" si="6"/>
        <v>1153</v>
      </c>
      <c r="Y144" s="257"/>
      <c r="Z144" s="256"/>
      <c r="AA144" s="257"/>
      <c r="AB144" s="256"/>
      <c r="AC144" s="257"/>
      <c r="AD144" s="256"/>
      <c r="AE144" s="257"/>
      <c r="AF144" s="19"/>
      <c r="AG144" s="20"/>
      <c r="AH144" s="20"/>
      <c r="AI144" s="20"/>
      <c r="AJ144" s="20"/>
      <c r="AK144" s="20"/>
      <c r="AL144" s="20"/>
      <c r="AM144" s="20"/>
      <c r="AN144" s="20"/>
      <c r="AO144" s="21"/>
      <c r="AP144" s="264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  <c r="BC144" s="265"/>
      <c r="BD144" s="266"/>
      <c r="BE144" s="11"/>
    </row>
    <row r="145" spans="1:57" s="13" customFormat="1" ht="15" customHeight="1">
      <c r="A145" s="10"/>
      <c r="B145" s="18">
        <f>B144+1</f>
        <v>131</v>
      </c>
      <c r="C145" s="261" t="s">
        <v>137</v>
      </c>
      <c r="D145" s="262"/>
      <c r="E145" s="262"/>
      <c r="F145" s="262"/>
      <c r="G145" s="262"/>
      <c r="H145" s="262"/>
      <c r="I145" s="262"/>
      <c r="J145" s="262"/>
      <c r="K145" s="263"/>
      <c r="L145" s="261" t="s">
        <v>138</v>
      </c>
      <c r="M145" s="262"/>
      <c r="N145" s="262"/>
      <c r="O145" s="262"/>
      <c r="P145" s="262"/>
      <c r="Q145" s="263"/>
      <c r="R145" s="267" t="s">
        <v>19</v>
      </c>
      <c r="S145" s="268"/>
      <c r="T145" s="278">
        <v>10</v>
      </c>
      <c r="U145" s="279"/>
      <c r="V145" s="256">
        <f>IF(R145&lt;&gt;"",IF(R145="N",T145*2,IF(R145="DATE",8,IF(R145="TIMESTAMP",26,T145))),"")</f>
        <v>10</v>
      </c>
      <c r="W145" s="257"/>
      <c r="X145" s="256">
        <f t="shared" si="6"/>
        <v>1165</v>
      </c>
      <c r="Y145" s="257"/>
      <c r="Z145" s="256"/>
      <c r="AA145" s="257"/>
      <c r="AB145" s="256"/>
      <c r="AC145" s="257"/>
      <c r="AD145" s="256"/>
      <c r="AE145" s="257"/>
      <c r="AF145" s="19"/>
      <c r="AG145" s="20"/>
      <c r="AH145" s="20"/>
      <c r="AI145" s="20"/>
      <c r="AJ145" s="20"/>
      <c r="AK145" s="20"/>
      <c r="AL145" s="20"/>
      <c r="AM145" s="20"/>
      <c r="AN145" s="20"/>
      <c r="AO145" s="21"/>
      <c r="AP145" s="264"/>
      <c r="AQ145" s="265"/>
      <c r="AR145" s="265"/>
      <c r="AS145" s="265"/>
      <c r="AT145" s="265"/>
      <c r="AU145" s="265"/>
      <c r="AV145" s="265"/>
      <c r="AW145" s="265"/>
      <c r="AX145" s="265"/>
      <c r="AY145" s="265"/>
      <c r="AZ145" s="265"/>
      <c r="BA145" s="265"/>
      <c r="BB145" s="265"/>
      <c r="BC145" s="265"/>
      <c r="BD145" s="266"/>
      <c r="BE145" s="11"/>
    </row>
    <row r="146" spans="1:57" s="13" customFormat="1" ht="15" customHeight="1">
      <c r="A146" s="10"/>
      <c r="B146" s="18">
        <f>B145+1</f>
        <v>132</v>
      </c>
      <c r="C146" s="261" t="s">
        <v>139</v>
      </c>
      <c r="D146" s="262"/>
      <c r="E146" s="262"/>
      <c r="F146" s="262"/>
      <c r="G146" s="262"/>
      <c r="H146" s="262"/>
      <c r="I146" s="262"/>
      <c r="J146" s="262"/>
      <c r="K146" s="263"/>
      <c r="L146" s="261" t="s">
        <v>140</v>
      </c>
      <c r="M146" s="262"/>
      <c r="N146" s="262"/>
      <c r="O146" s="262"/>
      <c r="P146" s="262"/>
      <c r="Q146" s="263"/>
      <c r="R146" s="267" t="s">
        <v>19</v>
      </c>
      <c r="S146" s="268"/>
      <c r="T146" s="278">
        <v>1</v>
      </c>
      <c r="U146" s="279"/>
      <c r="V146" s="256">
        <f>IF(R146&lt;&gt;"",IF(R146="N",T146*2,IF(R146="DATE",8,IF(R146="TIMESTAMP",26,T146))),"")</f>
        <v>1</v>
      </c>
      <c r="W146" s="257"/>
      <c r="X146" s="256">
        <f t="shared" si="6"/>
        <v>1175</v>
      </c>
      <c r="Y146" s="257"/>
      <c r="Z146" s="256"/>
      <c r="AA146" s="257"/>
      <c r="AB146" s="256"/>
      <c r="AC146" s="257"/>
      <c r="AD146" s="256"/>
      <c r="AE146" s="257"/>
      <c r="AF146" s="19"/>
      <c r="AG146" s="20"/>
      <c r="AH146" s="20"/>
      <c r="AI146" s="20"/>
      <c r="AJ146" s="20"/>
      <c r="AK146" s="20"/>
      <c r="AL146" s="20"/>
      <c r="AM146" s="20"/>
      <c r="AN146" s="20"/>
      <c r="AO146" s="21"/>
      <c r="AP146" s="264"/>
      <c r="AQ146" s="265"/>
      <c r="AR146" s="265"/>
      <c r="AS146" s="265"/>
      <c r="AT146" s="265"/>
      <c r="AU146" s="265"/>
      <c r="AV146" s="265"/>
      <c r="AW146" s="265"/>
      <c r="AX146" s="265"/>
      <c r="AY146" s="265"/>
      <c r="AZ146" s="265"/>
      <c r="BA146" s="265"/>
      <c r="BB146" s="265"/>
      <c r="BC146" s="265"/>
      <c r="BD146" s="266"/>
      <c r="BE146" s="11"/>
    </row>
    <row r="147" spans="1:57" s="13" customFormat="1" ht="15" customHeight="1">
      <c r="A147" s="10"/>
      <c r="B147" s="18"/>
      <c r="C147" s="261" t="s">
        <v>352</v>
      </c>
      <c r="D147" s="262"/>
      <c r="E147" s="262"/>
      <c r="F147" s="262"/>
      <c r="G147" s="262"/>
      <c r="H147" s="262"/>
      <c r="I147" s="262"/>
      <c r="J147" s="262"/>
      <c r="K147" s="263"/>
      <c r="L147" s="261"/>
      <c r="M147" s="262"/>
      <c r="N147" s="262"/>
      <c r="O147" s="262"/>
      <c r="P147" s="262"/>
      <c r="Q147" s="263"/>
      <c r="R147" s="269"/>
      <c r="S147" s="269"/>
      <c r="T147" s="256"/>
      <c r="U147" s="257"/>
      <c r="V147" s="256" t="str">
        <f>IF(R147&lt;&gt;"",IF(R147="N",T147*2,IF(R147="DATE",8,IF(R147="TIMESTAMP",26,T147))),"")</f>
        <v/>
      </c>
      <c r="W147" s="257"/>
      <c r="X147" s="256">
        <f t="shared" si="6"/>
        <v>1176</v>
      </c>
      <c r="Y147" s="257"/>
      <c r="Z147" s="256"/>
      <c r="AA147" s="257"/>
      <c r="AB147" s="256"/>
      <c r="AC147" s="257"/>
      <c r="AD147" s="256"/>
      <c r="AE147" s="257"/>
      <c r="AF147" s="19"/>
      <c r="AG147" s="20"/>
      <c r="AH147" s="20"/>
      <c r="AI147" s="20"/>
      <c r="AJ147" s="20"/>
      <c r="AK147" s="20"/>
      <c r="AL147" s="20"/>
      <c r="AM147" s="20"/>
      <c r="AN147" s="20"/>
      <c r="AO147" s="21"/>
      <c r="AP147" s="264"/>
      <c r="AQ147" s="265"/>
      <c r="AR147" s="265"/>
      <c r="AS147" s="265"/>
      <c r="AT147" s="265"/>
      <c r="AU147" s="265"/>
      <c r="AV147" s="265"/>
      <c r="AW147" s="265"/>
      <c r="AX147" s="265"/>
      <c r="AY147" s="265"/>
      <c r="AZ147" s="265"/>
      <c r="BA147" s="265"/>
      <c r="BB147" s="265"/>
      <c r="BC147" s="265"/>
      <c r="BD147" s="266"/>
      <c r="BE147" s="11"/>
    </row>
    <row r="148" spans="1:57" s="13" customFormat="1" ht="15" customHeight="1">
      <c r="A148" s="10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11"/>
    </row>
    <row r="149" spans="1:57" s="13" customFormat="1" ht="15" customHeight="1">
      <c r="A149" s="10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11"/>
    </row>
    <row r="150" spans="1:57" s="13" customFormat="1" ht="15" customHeight="1">
      <c r="A150" s="10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11"/>
    </row>
    <row r="151" spans="1:57" s="13" customFormat="1" ht="15" customHeight="1">
      <c r="A151" s="10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11"/>
    </row>
    <row r="152" spans="1:57" s="13" customFormat="1" ht="15" customHeight="1">
      <c r="A152" s="10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11"/>
    </row>
    <row r="153" spans="1:57" s="13" customFormat="1" ht="15" customHeight="1">
      <c r="A153" s="10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11"/>
    </row>
    <row r="154" spans="1:57" s="13" customFormat="1" ht="15" customHeight="1">
      <c r="A154" s="10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11"/>
    </row>
    <row r="155" spans="1:57" s="13" customFormat="1" ht="15" customHeight="1">
      <c r="A155" s="10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11"/>
    </row>
    <row r="156" spans="1:57" s="13" customFormat="1" ht="15" customHeight="1">
      <c r="A156" s="10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11"/>
    </row>
    <row r="157" spans="1:57" s="13" customFormat="1" ht="15" customHeight="1">
      <c r="A157" s="10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11"/>
    </row>
    <row r="158" spans="1:57" s="13" customFormat="1" ht="15" customHeight="1">
      <c r="A158" s="10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11"/>
    </row>
    <row r="159" spans="1:57" s="13" customFormat="1" ht="15" customHeight="1">
      <c r="A159" s="10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11"/>
    </row>
    <row r="160" spans="1:57" s="13" customFormat="1" ht="15" customHeight="1">
      <c r="A160" s="10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11"/>
    </row>
    <row r="161" spans="1:57" s="13" customFormat="1" ht="15" customHeight="1">
      <c r="A161" s="10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11"/>
    </row>
    <row r="162" spans="1:57" s="13" customFormat="1" ht="15" customHeight="1">
      <c r="A162" s="10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11"/>
    </row>
    <row r="163" spans="1:57" s="13" customFormat="1" ht="15" customHeight="1">
      <c r="A163" s="24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  <c r="BE163" s="27"/>
    </row>
  </sheetData>
  <mergeCells count="1362">
    <mergeCell ref="Z147:AA147"/>
    <mergeCell ref="AB147:AC147"/>
    <mergeCell ref="AD147:AE147"/>
    <mergeCell ref="AP147:BD147"/>
    <mergeCell ref="Z146:AA146"/>
    <mergeCell ref="AB146:AC146"/>
    <mergeCell ref="AD146:AE146"/>
    <mergeCell ref="AP146:BD146"/>
    <mergeCell ref="C147:K147"/>
    <mergeCell ref="L147:Q147"/>
    <mergeCell ref="R147:S147"/>
    <mergeCell ref="T147:U147"/>
    <mergeCell ref="V147:W147"/>
    <mergeCell ref="X147:Y147"/>
    <mergeCell ref="Z145:AA145"/>
    <mergeCell ref="AB145:AC145"/>
    <mergeCell ref="AD145:AE145"/>
    <mergeCell ref="AP145:BD145"/>
    <mergeCell ref="C146:K146"/>
    <mergeCell ref="L146:Q146"/>
    <mergeCell ref="R146:S146"/>
    <mergeCell ref="T146:U146"/>
    <mergeCell ref="V146:W146"/>
    <mergeCell ref="X146:Y146"/>
    <mergeCell ref="Z144:AA144"/>
    <mergeCell ref="AB144:AC144"/>
    <mergeCell ref="AD144:AE144"/>
    <mergeCell ref="AP144:BD144"/>
    <mergeCell ref="C145:K145"/>
    <mergeCell ref="L145:Q145"/>
    <mergeCell ref="R145:S145"/>
    <mergeCell ref="T145:U145"/>
    <mergeCell ref="V145:W145"/>
    <mergeCell ref="X145:Y145"/>
    <mergeCell ref="Z143:AA143"/>
    <mergeCell ref="AB143:AC143"/>
    <mergeCell ref="AD143:AE143"/>
    <mergeCell ref="AP143:BD143"/>
    <mergeCell ref="C144:K144"/>
    <mergeCell ref="L144:Q144"/>
    <mergeCell ref="R144:S144"/>
    <mergeCell ref="T144:U144"/>
    <mergeCell ref="V144:W144"/>
    <mergeCell ref="X144:Y144"/>
    <mergeCell ref="Z142:AA142"/>
    <mergeCell ref="AB142:AC142"/>
    <mergeCell ref="AD142:AE142"/>
    <mergeCell ref="AP142:BD142"/>
    <mergeCell ref="C143:K143"/>
    <mergeCell ref="L143:Q143"/>
    <mergeCell ref="R143:S143"/>
    <mergeCell ref="T143:U143"/>
    <mergeCell ref="V143:W143"/>
    <mergeCell ref="X143:Y143"/>
    <mergeCell ref="Z141:AA141"/>
    <mergeCell ref="AB141:AC141"/>
    <mergeCell ref="AD141:AE141"/>
    <mergeCell ref="AP141:BD141"/>
    <mergeCell ref="C142:K142"/>
    <mergeCell ref="L142:Q142"/>
    <mergeCell ref="R142:S142"/>
    <mergeCell ref="T142:U142"/>
    <mergeCell ref="V142:W142"/>
    <mergeCell ref="X142:Y142"/>
    <mergeCell ref="Z140:AA140"/>
    <mergeCell ref="AB140:AC140"/>
    <mergeCell ref="AD140:AE140"/>
    <mergeCell ref="AP140:BD140"/>
    <mergeCell ref="C141:K141"/>
    <mergeCell ref="L141:Q141"/>
    <mergeCell ref="R141:S141"/>
    <mergeCell ref="T141:U141"/>
    <mergeCell ref="V141:W141"/>
    <mergeCell ref="X141:Y141"/>
    <mergeCell ref="Z139:AA139"/>
    <mergeCell ref="AB139:AC139"/>
    <mergeCell ref="AD139:AE139"/>
    <mergeCell ref="AP139:BD139"/>
    <mergeCell ref="C140:K140"/>
    <mergeCell ref="L140:Q140"/>
    <mergeCell ref="R140:S140"/>
    <mergeCell ref="T140:U140"/>
    <mergeCell ref="V140:W140"/>
    <mergeCell ref="X140:Y140"/>
    <mergeCell ref="Z138:AA138"/>
    <mergeCell ref="AB138:AC138"/>
    <mergeCell ref="AD138:AE138"/>
    <mergeCell ref="AP138:BD138"/>
    <mergeCell ref="C139:K139"/>
    <mergeCell ref="L139:Q139"/>
    <mergeCell ref="R139:S139"/>
    <mergeCell ref="T139:U139"/>
    <mergeCell ref="V139:W139"/>
    <mergeCell ref="X139:Y139"/>
    <mergeCell ref="Z137:AA137"/>
    <mergeCell ref="AB137:AC137"/>
    <mergeCell ref="AD137:AE137"/>
    <mergeCell ref="AP137:BD137"/>
    <mergeCell ref="C138:K138"/>
    <mergeCell ref="L138:Q138"/>
    <mergeCell ref="R138:S138"/>
    <mergeCell ref="T138:U138"/>
    <mergeCell ref="V138:W138"/>
    <mergeCell ref="X138:Y138"/>
    <mergeCell ref="Z136:AA136"/>
    <mergeCell ref="AB136:AC136"/>
    <mergeCell ref="AD136:AE136"/>
    <mergeCell ref="AP136:BD136"/>
    <mergeCell ref="C137:K137"/>
    <mergeCell ref="L137:Q137"/>
    <mergeCell ref="R137:S137"/>
    <mergeCell ref="T137:U137"/>
    <mergeCell ref="V137:W137"/>
    <mergeCell ref="X137:Y137"/>
    <mergeCell ref="Z135:AA135"/>
    <mergeCell ref="AB135:AC135"/>
    <mergeCell ref="AD135:AE135"/>
    <mergeCell ref="AP135:BD135"/>
    <mergeCell ref="C136:K136"/>
    <mergeCell ref="L136:Q136"/>
    <mergeCell ref="R136:S136"/>
    <mergeCell ref="T136:U136"/>
    <mergeCell ref="V136:W136"/>
    <mergeCell ref="X136:Y136"/>
    <mergeCell ref="Z134:AA134"/>
    <mergeCell ref="AB134:AC134"/>
    <mergeCell ref="AD134:AE134"/>
    <mergeCell ref="AP134:BD134"/>
    <mergeCell ref="C135:K135"/>
    <mergeCell ref="L135:Q135"/>
    <mergeCell ref="R135:S135"/>
    <mergeCell ref="T135:U135"/>
    <mergeCell ref="V135:W135"/>
    <mergeCell ref="X135:Y135"/>
    <mergeCell ref="Z133:AA133"/>
    <mergeCell ref="AB133:AC133"/>
    <mergeCell ref="AD133:AE133"/>
    <mergeCell ref="AP133:BD133"/>
    <mergeCell ref="C134:K134"/>
    <mergeCell ref="L134:Q134"/>
    <mergeCell ref="R134:S134"/>
    <mergeCell ref="T134:U134"/>
    <mergeCell ref="V134:W134"/>
    <mergeCell ref="X134:Y134"/>
    <mergeCell ref="Z132:AA132"/>
    <mergeCell ref="AB132:AC132"/>
    <mergeCell ref="AD132:AE132"/>
    <mergeCell ref="AP132:BD132"/>
    <mergeCell ref="C133:K133"/>
    <mergeCell ref="L133:Q133"/>
    <mergeCell ref="R133:S133"/>
    <mergeCell ref="T133:U133"/>
    <mergeCell ref="V133:W133"/>
    <mergeCell ref="X133:Y133"/>
    <mergeCell ref="Z131:AA131"/>
    <mergeCell ref="AB131:AC131"/>
    <mergeCell ref="AD131:AE131"/>
    <mergeCell ref="AP131:BD131"/>
    <mergeCell ref="C132:K132"/>
    <mergeCell ref="L132:Q132"/>
    <mergeCell ref="R132:S132"/>
    <mergeCell ref="T132:U132"/>
    <mergeCell ref="V132:W132"/>
    <mergeCell ref="X132:Y132"/>
    <mergeCell ref="Z130:AA130"/>
    <mergeCell ref="AB130:AC130"/>
    <mergeCell ref="AD130:AE130"/>
    <mergeCell ref="AP130:BD130"/>
    <mergeCell ref="C131:K131"/>
    <mergeCell ref="L131:Q131"/>
    <mergeCell ref="R131:S131"/>
    <mergeCell ref="T131:U131"/>
    <mergeCell ref="V131:W131"/>
    <mergeCell ref="X131:Y131"/>
    <mergeCell ref="Z129:AA129"/>
    <mergeCell ref="AB129:AC129"/>
    <mergeCell ref="AD129:AE129"/>
    <mergeCell ref="AP129:BD129"/>
    <mergeCell ref="C130:K130"/>
    <mergeCell ref="L130:Q130"/>
    <mergeCell ref="R130:S130"/>
    <mergeCell ref="T130:U130"/>
    <mergeCell ref="V130:W130"/>
    <mergeCell ref="X130:Y130"/>
    <mergeCell ref="Z128:AA128"/>
    <mergeCell ref="AB128:AC128"/>
    <mergeCell ref="AD128:AE128"/>
    <mergeCell ref="AP128:BD128"/>
    <mergeCell ref="C129:K129"/>
    <mergeCell ref="L129:Q129"/>
    <mergeCell ref="R129:S129"/>
    <mergeCell ref="T129:U129"/>
    <mergeCell ref="V129:W129"/>
    <mergeCell ref="X129:Y129"/>
    <mergeCell ref="Z127:AA127"/>
    <mergeCell ref="AB127:AC127"/>
    <mergeCell ref="AD127:AE127"/>
    <mergeCell ref="AP127:BD127"/>
    <mergeCell ref="C128:K128"/>
    <mergeCell ref="L128:Q128"/>
    <mergeCell ref="R128:S128"/>
    <mergeCell ref="T128:U128"/>
    <mergeCell ref="V128:W128"/>
    <mergeCell ref="X128:Y128"/>
    <mergeCell ref="Z126:AA126"/>
    <mergeCell ref="AB126:AC126"/>
    <mergeCell ref="AD126:AE126"/>
    <mergeCell ref="AP126:BD126"/>
    <mergeCell ref="C127:K127"/>
    <mergeCell ref="L127:Q127"/>
    <mergeCell ref="R127:S127"/>
    <mergeCell ref="T127:U127"/>
    <mergeCell ref="V127:W127"/>
    <mergeCell ref="X127:Y127"/>
    <mergeCell ref="Z124:AA124"/>
    <mergeCell ref="AB124:AC124"/>
    <mergeCell ref="AD124:AE124"/>
    <mergeCell ref="AP124:BD124"/>
    <mergeCell ref="C126:K126"/>
    <mergeCell ref="L126:Q126"/>
    <mergeCell ref="R126:S126"/>
    <mergeCell ref="T126:U126"/>
    <mergeCell ref="V126:W126"/>
    <mergeCell ref="X126:Y126"/>
    <mergeCell ref="Z123:AA123"/>
    <mergeCell ref="AB123:AC123"/>
    <mergeCell ref="AD123:AE123"/>
    <mergeCell ref="AP123:BD123"/>
    <mergeCell ref="C124:K124"/>
    <mergeCell ref="L124:Q124"/>
    <mergeCell ref="R124:S124"/>
    <mergeCell ref="T124:U124"/>
    <mergeCell ref="V124:W124"/>
    <mergeCell ref="X124:Y124"/>
    <mergeCell ref="Z122:AA122"/>
    <mergeCell ref="AB122:AC122"/>
    <mergeCell ref="AD122:AE122"/>
    <mergeCell ref="AP122:BD122"/>
    <mergeCell ref="C123:K123"/>
    <mergeCell ref="L123:Q123"/>
    <mergeCell ref="R123:S123"/>
    <mergeCell ref="T123:U123"/>
    <mergeCell ref="V123:W123"/>
    <mergeCell ref="X123:Y123"/>
    <mergeCell ref="Z121:AA121"/>
    <mergeCell ref="AB121:AC121"/>
    <mergeCell ref="AD121:AE121"/>
    <mergeCell ref="AP121:BD121"/>
    <mergeCell ref="C122:K122"/>
    <mergeCell ref="L122:Q122"/>
    <mergeCell ref="R122:S122"/>
    <mergeCell ref="T122:U122"/>
    <mergeCell ref="V122:W122"/>
    <mergeCell ref="X122:Y122"/>
    <mergeCell ref="Z120:AA120"/>
    <mergeCell ref="AB120:AC120"/>
    <mergeCell ref="AD120:AE120"/>
    <mergeCell ref="AP120:BD120"/>
    <mergeCell ref="C121:K121"/>
    <mergeCell ref="L121:Q121"/>
    <mergeCell ref="R121:S121"/>
    <mergeCell ref="T121:U121"/>
    <mergeCell ref="V121:W121"/>
    <mergeCell ref="X121:Y121"/>
    <mergeCell ref="Z119:AA119"/>
    <mergeCell ref="AB119:AC119"/>
    <mergeCell ref="AD119:AE119"/>
    <mergeCell ref="AP119:BD119"/>
    <mergeCell ref="C120:K120"/>
    <mergeCell ref="L120:Q120"/>
    <mergeCell ref="R120:S120"/>
    <mergeCell ref="T120:U120"/>
    <mergeCell ref="V120:W120"/>
    <mergeCell ref="X120:Y120"/>
    <mergeCell ref="Z118:AA118"/>
    <mergeCell ref="AB118:AC118"/>
    <mergeCell ref="AD118:AE118"/>
    <mergeCell ref="AP118:BD118"/>
    <mergeCell ref="C119:K119"/>
    <mergeCell ref="L119:Q119"/>
    <mergeCell ref="R119:S119"/>
    <mergeCell ref="T119:U119"/>
    <mergeCell ref="V119:W119"/>
    <mergeCell ref="X119:Y119"/>
    <mergeCell ref="Z117:AA117"/>
    <mergeCell ref="AB117:AC117"/>
    <mergeCell ref="AD117:AE117"/>
    <mergeCell ref="AP117:BD117"/>
    <mergeCell ref="C118:K118"/>
    <mergeCell ref="L118:Q118"/>
    <mergeCell ref="R118:S118"/>
    <mergeCell ref="T118:U118"/>
    <mergeCell ref="V118:W118"/>
    <mergeCell ref="X118:Y118"/>
    <mergeCell ref="Z116:AA116"/>
    <mergeCell ref="AB116:AC116"/>
    <mergeCell ref="AD116:AE116"/>
    <mergeCell ref="AP116:BD116"/>
    <mergeCell ref="C117:K117"/>
    <mergeCell ref="L117:Q117"/>
    <mergeCell ref="R117:S117"/>
    <mergeCell ref="T117:U117"/>
    <mergeCell ref="V117:W117"/>
    <mergeCell ref="X117:Y117"/>
    <mergeCell ref="Z115:AA115"/>
    <mergeCell ref="AB115:AC115"/>
    <mergeCell ref="AD115:AE115"/>
    <mergeCell ref="AP115:BD115"/>
    <mergeCell ref="C116:K116"/>
    <mergeCell ref="L116:Q116"/>
    <mergeCell ref="R116:S116"/>
    <mergeCell ref="T116:U116"/>
    <mergeCell ref="V116:W116"/>
    <mergeCell ref="X116:Y116"/>
    <mergeCell ref="Z114:AA114"/>
    <mergeCell ref="AB114:AC114"/>
    <mergeCell ref="AD114:AE114"/>
    <mergeCell ref="AP114:BD114"/>
    <mergeCell ref="C115:K115"/>
    <mergeCell ref="L115:Q115"/>
    <mergeCell ref="R115:S115"/>
    <mergeCell ref="T115:U115"/>
    <mergeCell ref="V115:W115"/>
    <mergeCell ref="X115:Y115"/>
    <mergeCell ref="Z113:AA113"/>
    <mergeCell ref="AB113:AC113"/>
    <mergeCell ref="AD113:AE113"/>
    <mergeCell ref="AP113:BD113"/>
    <mergeCell ref="C114:K114"/>
    <mergeCell ref="L114:Q114"/>
    <mergeCell ref="R114:S114"/>
    <mergeCell ref="T114:U114"/>
    <mergeCell ref="V114:W114"/>
    <mergeCell ref="X114:Y114"/>
    <mergeCell ref="Z112:AA112"/>
    <mergeCell ref="AB112:AC112"/>
    <mergeCell ref="AD112:AE112"/>
    <mergeCell ref="AP112:BD112"/>
    <mergeCell ref="C113:K113"/>
    <mergeCell ref="L113:Q113"/>
    <mergeCell ref="R113:S113"/>
    <mergeCell ref="T113:U113"/>
    <mergeCell ref="V113:W113"/>
    <mergeCell ref="X113:Y113"/>
    <mergeCell ref="Z111:AA111"/>
    <mergeCell ref="AB111:AC111"/>
    <mergeCell ref="AD111:AE111"/>
    <mergeCell ref="AP111:BD111"/>
    <mergeCell ref="C112:K112"/>
    <mergeCell ref="L112:Q112"/>
    <mergeCell ref="R112:S112"/>
    <mergeCell ref="T112:U112"/>
    <mergeCell ref="V112:W112"/>
    <mergeCell ref="X112:Y112"/>
    <mergeCell ref="Z110:AA110"/>
    <mergeCell ref="AB110:AC110"/>
    <mergeCell ref="AD110:AE110"/>
    <mergeCell ref="AP110:BD110"/>
    <mergeCell ref="C111:K111"/>
    <mergeCell ref="L111:Q111"/>
    <mergeCell ref="R111:S111"/>
    <mergeCell ref="T111:U111"/>
    <mergeCell ref="V111:W111"/>
    <mergeCell ref="X111:Y111"/>
    <mergeCell ref="Z109:AA109"/>
    <mergeCell ref="AB109:AC109"/>
    <mergeCell ref="AD109:AE109"/>
    <mergeCell ref="AP109:BD109"/>
    <mergeCell ref="C110:K110"/>
    <mergeCell ref="L110:Q110"/>
    <mergeCell ref="R110:S110"/>
    <mergeCell ref="T110:U110"/>
    <mergeCell ref="V110:W110"/>
    <mergeCell ref="X110:Y110"/>
    <mergeCell ref="Z108:AA108"/>
    <mergeCell ref="AB108:AC108"/>
    <mergeCell ref="AD108:AE108"/>
    <mergeCell ref="AP108:BD108"/>
    <mergeCell ref="C109:K109"/>
    <mergeCell ref="L109:Q109"/>
    <mergeCell ref="R109:S109"/>
    <mergeCell ref="T109:U109"/>
    <mergeCell ref="V109:W109"/>
    <mergeCell ref="X109:Y109"/>
    <mergeCell ref="Z107:AA107"/>
    <mergeCell ref="AB107:AC107"/>
    <mergeCell ref="AD107:AE107"/>
    <mergeCell ref="AP107:BD107"/>
    <mergeCell ref="C108:K108"/>
    <mergeCell ref="L108:Q108"/>
    <mergeCell ref="R108:S108"/>
    <mergeCell ref="T108:U108"/>
    <mergeCell ref="V108:W108"/>
    <mergeCell ref="X108:Y108"/>
    <mergeCell ref="Z106:AA106"/>
    <mergeCell ref="AB106:AC106"/>
    <mergeCell ref="AD106:AE106"/>
    <mergeCell ref="AP106:BD106"/>
    <mergeCell ref="C107:K107"/>
    <mergeCell ref="L107:Q107"/>
    <mergeCell ref="R107:S107"/>
    <mergeCell ref="T107:U107"/>
    <mergeCell ref="V107:W107"/>
    <mergeCell ref="X107:Y107"/>
    <mergeCell ref="Z105:AA105"/>
    <mergeCell ref="AB105:AC105"/>
    <mergeCell ref="AD105:AE105"/>
    <mergeCell ref="AP105:BD105"/>
    <mergeCell ref="C106:K106"/>
    <mergeCell ref="L106:Q106"/>
    <mergeCell ref="R106:S106"/>
    <mergeCell ref="T106:U106"/>
    <mergeCell ref="V106:W106"/>
    <mergeCell ref="X106:Y106"/>
    <mergeCell ref="Z104:AA104"/>
    <mergeCell ref="AB104:AC104"/>
    <mergeCell ref="AD104:AE104"/>
    <mergeCell ref="AP104:BD104"/>
    <mergeCell ref="C105:K105"/>
    <mergeCell ref="L105:Q105"/>
    <mergeCell ref="R105:S105"/>
    <mergeCell ref="T105:U105"/>
    <mergeCell ref="V105:W105"/>
    <mergeCell ref="X105:Y105"/>
    <mergeCell ref="Z103:AA103"/>
    <mergeCell ref="AB103:AC103"/>
    <mergeCell ref="AD103:AE103"/>
    <mergeCell ref="AP103:BD103"/>
    <mergeCell ref="C104:K104"/>
    <mergeCell ref="L104:Q104"/>
    <mergeCell ref="R104:S104"/>
    <mergeCell ref="T104:U104"/>
    <mergeCell ref="V104:W104"/>
    <mergeCell ref="X104:Y104"/>
    <mergeCell ref="Z102:AA102"/>
    <mergeCell ref="AB102:AC102"/>
    <mergeCell ref="AD102:AE102"/>
    <mergeCell ref="AP102:BD102"/>
    <mergeCell ref="C103:K103"/>
    <mergeCell ref="L103:Q103"/>
    <mergeCell ref="R103:S103"/>
    <mergeCell ref="T103:U103"/>
    <mergeCell ref="V103:W103"/>
    <mergeCell ref="X103:Y103"/>
    <mergeCell ref="Z101:AA101"/>
    <mergeCell ref="AB101:AC101"/>
    <mergeCell ref="AD101:AE101"/>
    <mergeCell ref="AP101:BD101"/>
    <mergeCell ref="C102:K102"/>
    <mergeCell ref="L102:Q102"/>
    <mergeCell ref="R102:S102"/>
    <mergeCell ref="T102:U102"/>
    <mergeCell ref="V102:W102"/>
    <mergeCell ref="X102:Y102"/>
    <mergeCell ref="Z100:AA100"/>
    <mergeCell ref="AB100:AC100"/>
    <mergeCell ref="AD100:AE100"/>
    <mergeCell ref="AP100:BD100"/>
    <mergeCell ref="C101:K101"/>
    <mergeCell ref="L101:Q101"/>
    <mergeCell ref="R101:S101"/>
    <mergeCell ref="T101:U101"/>
    <mergeCell ref="V101:W101"/>
    <mergeCell ref="X101:Y101"/>
    <mergeCell ref="Z99:AA99"/>
    <mergeCell ref="AB99:AC99"/>
    <mergeCell ref="AD99:AE99"/>
    <mergeCell ref="AP99:BD99"/>
    <mergeCell ref="C100:K100"/>
    <mergeCell ref="L100:Q100"/>
    <mergeCell ref="R100:S100"/>
    <mergeCell ref="T100:U100"/>
    <mergeCell ref="V100:W100"/>
    <mergeCell ref="X100:Y100"/>
    <mergeCell ref="Z98:AA98"/>
    <mergeCell ref="AB98:AC98"/>
    <mergeCell ref="AD98:AE98"/>
    <mergeCell ref="AP98:BD98"/>
    <mergeCell ref="C99:K99"/>
    <mergeCell ref="L99:Q99"/>
    <mergeCell ref="R99:S99"/>
    <mergeCell ref="T99:U99"/>
    <mergeCell ref="V99:W99"/>
    <mergeCell ref="X99:Y99"/>
    <mergeCell ref="Z97:AA97"/>
    <mergeCell ref="AB97:AC97"/>
    <mergeCell ref="AD97:AE97"/>
    <mergeCell ref="AP97:BD97"/>
    <mergeCell ref="C98:K98"/>
    <mergeCell ref="L98:Q98"/>
    <mergeCell ref="R98:S98"/>
    <mergeCell ref="T98:U98"/>
    <mergeCell ref="V98:W98"/>
    <mergeCell ref="X98:Y98"/>
    <mergeCell ref="Z96:AA96"/>
    <mergeCell ref="AB96:AC96"/>
    <mergeCell ref="AD96:AE96"/>
    <mergeCell ref="AP96:BD96"/>
    <mergeCell ref="C97:K97"/>
    <mergeCell ref="L97:Q97"/>
    <mergeCell ref="R97:S97"/>
    <mergeCell ref="T97:U97"/>
    <mergeCell ref="V97:W97"/>
    <mergeCell ref="X97:Y97"/>
    <mergeCell ref="Z95:AA95"/>
    <mergeCell ref="AB95:AC95"/>
    <mergeCell ref="AD95:AE95"/>
    <mergeCell ref="AP95:BD95"/>
    <mergeCell ref="C96:K96"/>
    <mergeCell ref="L96:Q96"/>
    <mergeCell ref="R96:S96"/>
    <mergeCell ref="T96:U96"/>
    <mergeCell ref="V96:W96"/>
    <mergeCell ref="X96:Y96"/>
    <mergeCell ref="Z94:AA94"/>
    <mergeCell ref="AB94:AC94"/>
    <mergeCell ref="AD94:AE94"/>
    <mergeCell ref="AP94:BD94"/>
    <mergeCell ref="C95:K95"/>
    <mergeCell ref="L95:Q95"/>
    <mergeCell ref="R95:S95"/>
    <mergeCell ref="T95:U95"/>
    <mergeCell ref="V95:W95"/>
    <mergeCell ref="X95:Y95"/>
    <mergeCell ref="Z93:AA93"/>
    <mergeCell ref="AB93:AC93"/>
    <mergeCell ref="AD93:AE93"/>
    <mergeCell ref="AP93:BD93"/>
    <mergeCell ref="C94:K94"/>
    <mergeCell ref="L94:Q94"/>
    <mergeCell ref="R94:S94"/>
    <mergeCell ref="T94:U94"/>
    <mergeCell ref="V94:W94"/>
    <mergeCell ref="X94:Y94"/>
    <mergeCell ref="Z92:AA92"/>
    <mergeCell ref="AB92:AC92"/>
    <mergeCell ref="AD92:AE92"/>
    <mergeCell ref="AP92:BD92"/>
    <mergeCell ref="C93:K93"/>
    <mergeCell ref="L93:Q93"/>
    <mergeCell ref="R93:S93"/>
    <mergeCell ref="T93:U93"/>
    <mergeCell ref="V93:W93"/>
    <mergeCell ref="X93:Y93"/>
    <mergeCell ref="Z91:AA91"/>
    <mergeCell ref="AB91:AC91"/>
    <mergeCell ref="AD91:AE91"/>
    <mergeCell ref="AP91:BD91"/>
    <mergeCell ref="C92:K92"/>
    <mergeCell ref="L92:Q92"/>
    <mergeCell ref="R92:S92"/>
    <mergeCell ref="T92:U92"/>
    <mergeCell ref="V92:W92"/>
    <mergeCell ref="X92:Y92"/>
    <mergeCell ref="Z90:AA90"/>
    <mergeCell ref="AB90:AC90"/>
    <mergeCell ref="AD90:AE90"/>
    <mergeCell ref="AP90:BD90"/>
    <mergeCell ref="C91:K91"/>
    <mergeCell ref="L91:Q91"/>
    <mergeCell ref="R91:S91"/>
    <mergeCell ref="T91:U91"/>
    <mergeCell ref="V91:W91"/>
    <mergeCell ref="X91:Y91"/>
    <mergeCell ref="Z89:AA89"/>
    <mergeCell ref="AB89:AC89"/>
    <mergeCell ref="AD89:AE89"/>
    <mergeCell ref="AP89:BD89"/>
    <mergeCell ref="C90:K90"/>
    <mergeCell ref="L90:Q90"/>
    <mergeCell ref="R90:S90"/>
    <mergeCell ref="T90:U90"/>
    <mergeCell ref="V90:W90"/>
    <mergeCell ref="X90:Y90"/>
    <mergeCell ref="Z88:AA88"/>
    <mergeCell ref="AB88:AC88"/>
    <mergeCell ref="AD88:AE88"/>
    <mergeCell ref="AP88:BD88"/>
    <mergeCell ref="C89:K89"/>
    <mergeCell ref="L89:Q89"/>
    <mergeCell ref="R89:S89"/>
    <mergeCell ref="T89:U89"/>
    <mergeCell ref="V89:W89"/>
    <mergeCell ref="X89:Y89"/>
    <mergeCell ref="Z86:AA86"/>
    <mergeCell ref="AB86:AC86"/>
    <mergeCell ref="AD86:AE86"/>
    <mergeCell ref="AP86:BD86"/>
    <mergeCell ref="C88:K88"/>
    <mergeCell ref="L88:Q88"/>
    <mergeCell ref="R88:S88"/>
    <mergeCell ref="T88:U88"/>
    <mergeCell ref="V88:W88"/>
    <mergeCell ref="X88:Y88"/>
    <mergeCell ref="Z85:AA85"/>
    <mergeCell ref="AB85:AC85"/>
    <mergeCell ref="AD85:AE85"/>
    <mergeCell ref="AP85:BD85"/>
    <mergeCell ref="C86:K86"/>
    <mergeCell ref="L86:Q86"/>
    <mergeCell ref="R86:S86"/>
    <mergeCell ref="T86:U86"/>
    <mergeCell ref="V86:W86"/>
    <mergeCell ref="X86:Y86"/>
    <mergeCell ref="Z84:AA84"/>
    <mergeCell ref="AB84:AC84"/>
    <mergeCell ref="AD84:AE84"/>
    <mergeCell ref="AP84:BD84"/>
    <mergeCell ref="C85:K85"/>
    <mergeCell ref="L85:Q85"/>
    <mergeCell ref="R85:S85"/>
    <mergeCell ref="T85:U85"/>
    <mergeCell ref="V85:W85"/>
    <mergeCell ref="X85:Y85"/>
    <mergeCell ref="Z83:AA83"/>
    <mergeCell ref="AB83:AC83"/>
    <mergeCell ref="AD83:AE83"/>
    <mergeCell ref="AP83:BD83"/>
    <mergeCell ref="C84:K84"/>
    <mergeCell ref="L84:Q84"/>
    <mergeCell ref="R84:S84"/>
    <mergeCell ref="T84:U84"/>
    <mergeCell ref="V84:W84"/>
    <mergeCell ref="X84:Y84"/>
    <mergeCell ref="Z82:AA82"/>
    <mergeCell ref="AB82:AC82"/>
    <mergeCell ref="AD82:AE82"/>
    <mergeCell ref="AP82:BD82"/>
    <mergeCell ref="C83:K83"/>
    <mergeCell ref="L83:Q83"/>
    <mergeCell ref="R83:S83"/>
    <mergeCell ref="T83:U83"/>
    <mergeCell ref="V83:W83"/>
    <mergeCell ref="X83:Y83"/>
    <mergeCell ref="Z81:AA81"/>
    <mergeCell ref="AB81:AC81"/>
    <mergeCell ref="AD81:AE81"/>
    <mergeCell ref="AP81:BD81"/>
    <mergeCell ref="C82:K82"/>
    <mergeCell ref="L82:Q82"/>
    <mergeCell ref="R82:S82"/>
    <mergeCell ref="T82:U82"/>
    <mergeCell ref="V82:W82"/>
    <mergeCell ref="X82:Y82"/>
    <mergeCell ref="Z80:AA80"/>
    <mergeCell ref="AB80:AC80"/>
    <mergeCell ref="AD80:AE80"/>
    <mergeCell ref="AP80:BD80"/>
    <mergeCell ref="C81:K81"/>
    <mergeCell ref="L81:Q81"/>
    <mergeCell ref="R81:S81"/>
    <mergeCell ref="T81:U81"/>
    <mergeCell ref="V81:W81"/>
    <mergeCell ref="X81:Y81"/>
    <mergeCell ref="Z79:AA79"/>
    <mergeCell ref="AB79:AC79"/>
    <mergeCell ref="AD79:AE79"/>
    <mergeCell ref="AP79:BD79"/>
    <mergeCell ref="C80:K80"/>
    <mergeCell ref="L80:Q80"/>
    <mergeCell ref="R80:S80"/>
    <mergeCell ref="T80:U80"/>
    <mergeCell ref="V80:W80"/>
    <mergeCell ref="X80:Y80"/>
    <mergeCell ref="Z78:AA78"/>
    <mergeCell ref="AB78:AC78"/>
    <mergeCell ref="AD78:AE78"/>
    <mergeCell ref="AP78:BD78"/>
    <mergeCell ref="C79:K79"/>
    <mergeCell ref="L79:Q79"/>
    <mergeCell ref="R79:S79"/>
    <mergeCell ref="T79:U79"/>
    <mergeCell ref="V79:W79"/>
    <mergeCell ref="X79:Y79"/>
    <mergeCell ref="Z77:AA77"/>
    <mergeCell ref="AB77:AC77"/>
    <mergeCell ref="AD77:AE77"/>
    <mergeCell ref="AP77:BD77"/>
    <mergeCell ref="C78:K78"/>
    <mergeCell ref="L78:Q78"/>
    <mergeCell ref="R78:S78"/>
    <mergeCell ref="T78:U78"/>
    <mergeCell ref="V78:W78"/>
    <mergeCell ref="X78:Y78"/>
    <mergeCell ref="Z76:AA76"/>
    <mergeCell ref="AB76:AC76"/>
    <mergeCell ref="AD76:AE76"/>
    <mergeCell ref="AP76:BD76"/>
    <mergeCell ref="C77:K77"/>
    <mergeCell ref="L77:Q77"/>
    <mergeCell ref="R77:S77"/>
    <mergeCell ref="T77:U77"/>
    <mergeCell ref="V77:W77"/>
    <mergeCell ref="X77:Y77"/>
    <mergeCell ref="Z75:AA75"/>
    <mergeCell ref="AB75:AC75"/>
    <mergeCell ref="AD75:AE75"/>
    <mergeCell ref="AP75:BD75"/>
    <mergeCell ref="C76:K76"/>
    <mergeCell ref="L76:Q76"/>
    <mergeCell ref="R76:S76"/>
    <mergeCell ref="T76:U76"/>
    <mergeCell ref="V76:W76"/>
    <mergeCell ref="X76:Y76"/>
    <mergeCell ref="Z74:AA74"/>
    <mergeCell ref="AB74:AC74"/>
    <mergeCell ref="AD74:AE74"/>
    <mergeCell ref="AP74:BD74"/>
    <mergeCell ref="C75:K75"/>
    <mergeCell ref="L75:Q75"/>
    <mergeCell ref="R75:S75"/>
    <mergeCell ref="T75:U75"/>
    <mergeCell ref="V75:W75"/>
    <mergeCell ref="X75:Y75"/>
    <mergeCell ref="Z73:AA73"/>
    <mergeCell ref="AB73:AC73"/>
    <mergeCell ref="AD73:AE73"/>
    <mergeCell ref="AP73:BD73"/>
    <mergeCell ref="C74:K74"/>
    <mergeCell ref="L74:Q74"/>
    <mergeCell ref="R74:S74"/>
    <mergeCell ref="T74:U74"/>
    <mergeCell ref="V74:W74"/>
    <mergeCell ref="X74:Y74"/>
    <mergeCell ref="Z72:AA72"/>
    <mergeCell ref="AB72:AC72"/>
    <mergeCell ref="AD72:AE72"/>
    <mergeCell ref="AP72:BD72"/>
    <mergeCell ref="C73:K73"/>
    <mergeCell ref="L73:Q73"/>
    <mergeCell ref="R73:S73"/>
    <mergeCell ref="T73:U73"/>
    <mergeCell ref="V73:W73"/>
    <mergeCell ref="X73:Y73"/>
    <mergeCell ref="Z71:AA71"/>
    <mergeCell ref="AB71:AC71"/>
    <mergeCell ref="AD71:AE71"/>
    <mergeCell ref="AP71:BD71"/>
    <mergeCell ref="C72:K72"/>
    <mergeCell ref="L72:Q72"/>
    <mergeCell ref="R72:S72"/>
    <mergeCell ref="T72:U72"/>
    <mergeCell ref="V72:W72"/>
    <mergeCell ref="X72:Y72"/>
    <mergeCell ref="Z70:AA70"/>
    <mergeCell ref="AB70:AC70"/>
    <mergeCell ref="AD70:AE70"/>
    <mergeCell ref="AP70:BD70"/>
    <mergeCell ref="C71:K71"/>
    <mergeCell ref="L71:Q71"/>
    <mergeCell ref="R71:S71"/>
    <mergeCell ref="T71:U71"/>
    <mergeCell ref="V71:W71"/>
    <mergeCell ref="X71:Y71"/>
    <mergeCell ref="Z69:AA69"/>
    <mergeCell ref="AB69:AC69"/>
    <mergeCell ref="AD69:AE69"/>
    <mergeCell ref="AP69:BD69"/>
    <mergeCell ref="C70:K70"/>
    <mergeCell ref="L70:Q70"/>
    <mergeCell ref="R70:S70"/>
    <mergeCell ref="T70:U70"/>
    <mergeCell ref="V70:W70"/>
    <mergeCell ref="X70:Y70"/>
    <mergeCell ref="Z68:AA68"/>
    <mergeCell ref="AB68:AC68"/>
    <mergeCell ref="AD68:AE68"/>
    <mergeCell ref="AP68:BD68"/>
    <mergeCell ref="C69:K69"/>
    <mergeCell ref="L69:Q69"/>
    <mergeCell ref="R69:S69"/>
    <mergeCell ref="T69:U69"/>
    <mergeCell ref="V69:W69"/>
    <mergeCell ref="X69:Y69"/>
    <mergeCell ref="Z67:AA67"/>
    <mergeCell ref="AB67:AC67"/>
    <mergeCell ref="AD67:AE67"/>
    <mergeCell ref="AP67:BD67"/>
    <mergeCell ref="C68:K68"/>
    <mergeCell ref="L68:Q68"/>
    <mergeCell ref="R68:S68"/>
    <mergeCell ref="T68:U68"/>
    <mergeCell ref="V68:W68"/>
    <mergeCell ref="X68:Y68"/>
    <mergeCell ref="Z66:AA66"/>
    <mergeCell ref="AB66:AC66"/>
    <mergeCell ref="AD66:AE66"/>
    <mergeCell ref="AP66:BD66"/>
    <mergeCell ref="C67:K67"/>
    <mergeCell ref="L67:Q67"/>
    <mergeCell ref="R67:S67"/>
    <mergeCell ref="T67:U67"/>
    <mergeCell ref="V67:W67"/>
    <mergeCell ref="X67:Y67"/>
    <mergeCell ref="Z65:AA65"/>
    <mergeCell ref="AB65:AC65"/>
    <mergeCell ref="AD65:AE65"/>
    <mergeCell ref="AP65:BD65"/>
    <mergeCell ref="C66:K66"/>
    <mergeCell ref="L66:Q66"/>
    <mergeCell ref="R66:S66"/>
    <mergeCell ref="T66:U66"/>
    <mergeCell ref="V66:W66"/>
    <mergeCell ref="X66:Y66"/>
    <mergeCell ref="Z64:AA64"/>
    <mergeCell ref="AB64:AC64"/>
    <mergeCell ref="AD64:AE64"/>
    <mergeCell ref="AP64:BD64"/>
    <mergeCell ref="C65:K65"/>
    <mergeCell ref="L65:Q65"/>
    <mergeCell ref="R65:S65"/>
    <mergeCell ref="T65:U65"/>
    <mergeCell ref="V65:W65"/>
    <mergeCell ref="X65:Y65"/>
    <mergeCell ref="Z63:AA63"/>
    <mergeCell ref="AB63:AC63"/>
    <mergeCell ref="AD63:AE63"/>
    <mergeCell ref="AP63:BD63"/>
    <mergeCell ref="C64:K64"/>
    <mergeCell ref="L64:Q64"/>
    <mergeCell ref="R64:S64"/>
    <mergeCell ref="T64:U64"/>
    <mergeCell ref="V64:W64"/>
    <mergeCell ref="X64:Y64"/>
    <mergeCell ref="Z62:AA62"/>
    <mergeCell ref="AB62:AC62"/>
    <mergeCell ref="AD62:AE62"/>
    <mergeCell ref="AP62:BD62"/>
    <mergeCell ref="C63:K63"/>
    <mergeCell ref="L63:Q63"/>
    <mergeCell ref="R63:S63"/>
    <mergeCell ref="T63:U63"/>
    <mergeCell ref="V63:W63"/>
    <mergeCell ref="X63:Y63"/>
    <mergeCell ref="Z61:AA61"/>
    <mergeCell ref="AB61:AC61"/>
    <mergeCell ref="AD61:AE61"/>
    <mergeCell ref="AP61:BD61"/>
    <mergeCell ref="C62:K62"/>
    <mergeCell ref="L62:Q62"/>
    <mergeCell ref="R62:S62"/>
    <mergeCell ref="T62:U62"/>
    <mergeCell ref="V62:W62"/>
    <mergeCell ref="X62:Y62"/>
    <mergeCell ref="Z60:AA60"/>
    <mergeCell ref="AB60:AC60"/>
    <mergeCell ref="AD60:AE60"/>
    <mergeCell ref="AP60:BD60"/>
    <mergeCell ref="C61:K61"/>
    <mergeCell ref="L61:Q61"/>
    <mergeCell ref="R61:S61"/>
    <mergeCell ref="T61:U61"/>
    <mergeCell ref="V61:W61"/>
    <mergeCell ref="X61:Y61"/>
    <mergeCell ref="Z59:AA59"/>
    <mergeCell ref="AB59:AC59"/>
    <mergeCell ref="AD59:AE59"/>
    <mergeCell ref="AP59:BD59"/>
    <mergeCell ref="C60:K60"/>
    <mergeCell ref="L60:Q60"/>
    <mergeCell ref="R60:S60"/>
    <mergeCell ref="T60:U60"/>
    <mergeCell ref="V60:W60"/>
    <mergeCell ref="X60:Y60"/>
    <mergeCell ref="Z58:AA58"/>
    <mergeCell ref="AB58:AC58"/>
    <mergeCell ref="AD58:AE58"/>
    <mergeCell ref="AP58:BD58"/>
    <mergeCell ref="C59:K59"/>
    <mergeCell ref="L59:Q59"/>
    <mergeCell ref="R59:S59"/>
    <mergeCell ref="T59:U59"/>
    <mergeCell ref="V59:W59"/>
    <mergeCell ref="X59:Y59"/>
    <mergeCell ref="Z57:AA57"/>
    <mergeCell ref="AB57:AC57"/>
    <mergeCell ref="AD57:AE57"/>
    <mergeCell ref="AP57:BD57"/>
    <mergeCell ref="C58:K58"/>
    <mergeCell ref="L58:Q58"/>
    <mergeCell ref="R58:S58"/>
    <mergeCell ref="T58:U58"/>
    <mergeCell ref="V58:W58"/>
    <mergeCell ref="X58:Y58"/>
    <mergeCell ref="Z56:AA56"/>
    <mergeCell ref="AB56:AC56"/>
    <mergeCell ref="AD56:AE56"/>
    <mergeCell ref="AP56:BD56"/>
    <mergeCell ref="C57:K57"/>
    <mergeCell ref="L57:Q57"/>
    <mergeCell ref="R57:S57"/>
    <mergeCell ref="T57:U57"/>
    <mergeCell ref="V57:W57"/>
    <mergeCell ref="X57:Y57"/>
    <mergeCell ref="Z55:AA55"/>
    <mergeCell ref="AB55:AC55"/>
    <mergeCell ref="AD55:AE55"/>
    <mergeCell ref="AP55:BD55"/>
    <mergeCell ref="C56:K56"/>
    <mergeCell ref="L56:Q56"/>
    <mergeCell ref="R56:S56"/>
    <mergeCell ref="T56:U56"/>
    <mergeCell ref="V56:W56"/>
    <mergeCell ref="X56:Y56"/>
    <mergeCell ref="Z54:AA54"/>
    <mergeCell ref="AB54:AC54"/>
    <mergeCell ref="AD54:AE54"/>
    <mergeCell ref="AP54:BD54"/>
    <mergeCell ref="C55:K55"/>
    <mergeCell ref="L55:Q55"/>
    <mergeCell ref="R55:S55"/>
    <mergeCell ref="T55:U55"/>
    <mergeCell ref="V55:W55"/>
    <mergeCell ref="X55:Y55"/>
    <mergeCell ref="Z53:AA53"/>
    <mergeCell ref="AB53:AC53"/>
    <mergeCell ref="AD53:AE53"/>
    <mergeCell ref="AP53:BD53"/>
    <mergeCell ref="C54:K54"/>
    <mergeCell ref="L54:Q54"/>
    <mergeCell ref="R54:S54"/>
    <mergeCell ref="T54:U54"/>
    <mergeCell ref="V54:W54"/>
    <mergeCell ref="X54:Y54"/>
    <mergeCell ref="Z52:AA52"/>
    <mergeCell ref="AB52:AC52"/>
    <mergeCell ref="AD52:AE52"/>
    <mergeCell ref="AP52:BD52"/>
    <mergeCell ref="C53:K53"/>
    <mergeCell ref="L53:Q53"/>
    <mergeCell ref="R53:S53"/>
    <mergeCell ref="T53:U53"/>
    <mergeCell ref="V53:W53"/>
    <mergeCell ref="X53:Y53"/>
    <mergeCell ref="Z51:AA51"/>
    <mergeCell ref="AB51:AC51"/>
    <mergeCell ref="AD51:AE51"/>
    <mergeCell ref="AP51:BD51"/>
    <mergeCell ref="C52:K52"/>
    <mergeCell ref="L52:Q52"/>
    <mergeCell ref="R52:S52"/>
    <mergeCell ref="T52:U52"/>
    <mergeCell ref="V52:W52"/>
    <mergeCell ref="X52:Y52"/>
    <mergeCell ref="Z50:AA50"/>
    <mergeCell ref="AB50:AC50"/>
    <mergeCell ref="AD50:AE50"/>
    <mergeCell ref="AP50:BD50"/>
    <mergeCell ref="C51:K51"/>
    <mergeCell ref="L51:Q51"/>
    <mergeCell ref="R51:S51"/>
    <mergeCell ref="T51:U51"/>
    <mergeCell ref="V51:W51"/>
    <mergeCell ref="X51:Y51"/>
    <mergeCell ref="Z48:AA48"/>
    <mergeCell ref="AB48:AC48"/>
    <mergeCell ref="AD48:AE48"/>
    <mergeCell ref="AP48:BD48"/>
    <mergeCell ref="C50:K50"/>
    <mergeCell ref="L50:Q50"/>
    <mergeCell ref="R50:S50"/>
    <mergeCell ref="T50:U50"/>
    <mergeCell ref="V50:W50"/>
    <mergeCell ref="X50:Y50"/>
    <mergeCell ref="Z47:AA47"/>
    <mergeCell ref="AB47:AC47"/>
    <mergeCell ref="AD47:AE47"/>
    <mergeCell ref="AP47:BD47"/>
    <mergeCell ref="C48:K48"/>
    <mergeCell ref="L48:Q48"/>
    <mergeCell ref="R48:S48"/>
    <mergeCell ref="T48:U48"/>
    <mergeCell ref="V48:W48"/>
    <mergeCell ref="X48:Y48"/>
    <mergeCell ref="Z46:AA46"/>
    <mergeCell ref="AB46:AC46"/>
    <mergeCell ref="AD46:AE46"/>
    <mergeCell ref="AP46:BD46"/>
    <mergeCell ref="C47:K47"/>
    <mergeCell ref="L47:Q47"/>
    <mergeCell ref="R47:S47"/>
    <mergeCell ref="T47:U47"/>
    <mergeCell ref="V47:W47"/>
    <mergeCell ref="X47:Y47"/>
    <mergeCell ref="Z45:AA45"/>
    <mergeCell ref="AB45:AC45"/>
    <mergeCell ref="AD45:AE45"/>
    <mergeCell ref="AP45:BD45"/>
    <mergeCell ref="C46:K46"/>
    <mergeCell ref="L46:Q46"/>
    <mergeCell ref="R46:S46"/>
    <mergeCell ref="T46:U46"/>
    <mergeCell ref="V46:W46"/>
    <mergeCell ref="X46:Y46"/>
    <mergeCell ref="Z44:AA44"/>
    <mergeCell ref="AB44:AC44"/>
    <mergeCell ref="AD44:AE44"/>
    <mergeCell ref="AP44:BD44"/>
    <mergeCell ref="C45:K45"/>
    <mergeCell ref="L45:Q45"/>
    <mergeCell ref="R45:S45"/>
    <mergeCell ref="T45:U45"/>
    <mergeCell ref="V45:W45"/>
    <mergeCell ref="X45:Y45"/>
    <mergeCell ref="Z43:AA43"/>
    <mergeCell ref="AB43:AC43"/>
    <mergeCell ref="AD43:AE43"/>
    <mergeCell ref="AP43:BD43"/>
    <mergeCell ref="C44:K44"/>
    <mergeCell ref="L44:Q44"/>
    <mergeCell ref="R44:S44"/>
    <mergeCell ref="T44:U44"/>
    <mergeCell ref="V44:W44"/>
    <mergeCell ref="X44:Y44"/>
    <mergeCell ref="Z42:AA42"/>
    <mergeCell ref="AB42:AC42"/>
    <mergeCell ref="AD42:AE42"/>
    <mergeCell ref="AP42:BD42"/>
    <mergeCell ref="C43:K43"/>
    <mergeCell ref="L43:Q43"/>
    <mergeCell ref="R43:S43"/>
    <mergeCell ref="T43:U43"/>
    <mergeCell ref="V43:W43"/>
    <mergeCell ref="X43:Y43"/>
    <mergeCell ref="Z41:AA41"/>
    <mergeCell ref="AB41:AC41"/>
    <mergeCell ref="AD41:AE41"/>
    <mergeCell ref="AP41:BD41"/>
    <mergeCell ref="C42:K42"/>
    <mergeCell ref="L42:Q42"/>
    <mergeCell ref="R42:S42"/>
    <mergeCell ref="T42:U42"/>
    <mergeCell ref="V42:W42"/>
    <mergeCell ref="X42:Y42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Z39:AA39"/>
    <mergeCell ref="AB39:AC39"/>
    <mergeCell ref="AD39:AE39"/>
    <mergeCell ref="AP39:BD39"/>
    <mergeCell ref="C40:K40"/>
    <mergeCell ref="L40:Q40"/>
    <mergeCell ref="R40:S40"/>
    <mergeCell ref="T40:U40"/>
    <mergeCell ref="V40:W40"/>
    <mergeCell ref="X40:Y40"/>
    <mergeCell ref="Z38:AA38"/>
    <mergeCell ref="AB38:AC38"/>
    <mergeCell ref="AD38:AE38"/>
    <mergeCell ref="AP38:BD38"/>
    <mergeCell ref="C39:K39"/>
    <mergeCell ref="L39:Q39"/>
    <mergeCell ref="R39:S39"/>
    <mergeCell ref="T39:U39"/>
    <mergeCell ref="V39:W39"/>
    <mergeCell ref="X39:Y39"/>
    <mergeCell ref="Z37:AA37"/>
    <mergeCell ref="AB37:AC37"/>
    <mergeCell ref="AD37:AE37"/>
    <mergeCell ref="AP37:BD37"/>
    <mergeCell ref="C38:K38"/>
    <mergeCell ref="L38:Q38"/>
    <mergeCell ref="R38:S38"/>
    <mergeCell ref="T38:U38"/>
    <mergeCell ref="V38:W38"/>
    <mergeCell ref="X38:Y38"/>
    <mergeCell ref="Z36:AA36"/>
    <mergeCell ref="AB36:AC36"/>
    <mergeCell ref="AD36:AE36"/>
    <mergeCell ref="AP36:BD36"/>
    <mergeCell ref="C37:K37"/>
    <mergeCell ref="L37:Q37"/>
    <mergeCell ref="R37:S37"/>
    <mergeCell ref="T37:U37"/>
    <mergeCell ref="V37:W37"/>
    <mergeCell ref="X37:Y37"/>
    <mergeCell ref="Z35:AA35"/>
    <mergeCell ref="AB35:AC35"/>
    <mergeCell ref="AD35:AE35"/>
    <mergeCell ref="AP35:BD35"/>
    <mergeCell ref="C36:K36"/>
    <mergeCell ref="L36:Q36"/>
    <mergeCell ref="R36:S36"/>
    <mergeCell ref="T36:U36"/>
    <mergeCell ref="V36:W36"/>
    <mergeCell ref="X36:Y36"/>
    <mergeCell ref="Z34:AA34"/>
    <mergeCell ref="AB34:AC34"/>
    <mergeCell ref="AD34:AE34"/>
    <mergeCell ref="AP34:BD34"/>
    <mergeCell ref="C35:K35"/>
    <mergeCell ref="L35:Q35"/>
    <mergeCell ref="R35:S35"/>
    <mergeCell ref="T35:U35"/>
    <mergeCell ref="V35:W35"/>
    <mergeCell ref="X35:Y35"/>
    <mergeCell ref="Z33:AA33"/>
    <mergeCell ref="AB33:AC33"/>
    <mergeCell ref="AD33:AE33"/>
    <mergeCell ref="AP33:BD33"/>
    <mergeCell ref="C34:K34"/>
    <mergeCell ref="L34:Q34"/>
    <mergeCell ref="R34:S34"/>
    <mergeCell ref="T34:U34"/>
    <mergeCell ref="V34:W34"/>
    <mergeCell ref="X34:Y34"/>
    <mergeCell ref="Z32:AA32"/>
    <mergeCell ref="AB32:AC32"/>
    <mergeCell ref="AD32:AE32"/>
    <mergeCell ref="AP32:BD32"/>
    <mergeCell ref="C33:K33"/>
    <mergeCell ref="L33:Q33"/>
    <mergeCell ref="R33:S33"/>
    <mergeCell ref="T33:U33"/>
    <mergeCell ref="V33:W33"/>
    <mergeCell ref="X33:Y33"/>
    <mergeCell ref="Z31:AA31"/>
    <mergeCell ref="AB31:AC31"/>
    <mergeCell ref="AD31:AE31"/>
    <mergeCell ref="AP31:BD31"/>
    <mergeCell ref="C32:K32"/>
    <mergeCell ref="L32:Q32"/>
    <mergeCell ref="R32:S32"/>
    <mergeCell ref="T32:U32"/>
    <mergeCell ref="V32:W32"/>
    <mergeCell ref="X32:Y32"/>
    <mergeCell ref="Z30:AA30"/>
    <mergeCell ref="AB30:AC30"/>
    <mergeCell ref="AD30:AE30"/>
    <mergeCell ref="AP30:BD30"/>
    <mergeCell ref="C31:K31"/>
    <mergeCell ref="L31:Q31"/>
    <mergeCell ref="R31:S31"/>
    <mergeCell ref="T31:U31"/>
    <mergeCell ref="V31:W31"/>
    <mergeCell ref="X31:Y31"/>
    <mergeCell ref="Z29:AA29"/>
    <mergeCell ref="AB29:AC29"/>
    <mergeCell ref="AD29:AE29"/>
    <mergeCell ref="AP29:BD29"/>
    <mergeCell ref="C30:K30"/>
    <mergeCell ref="L30:Q30"/>
    <mergeCell ref="R30:S30"/>
    <mergeCell ref="T30:U30"/>
    <mergeCell ref="V30:W30"/>
    <mergeCell ref="X30:Y30"/>
    <mergeCell ref="Z28:AA28"/>
    <mergeCell ref="AB28:AC28"/>
    <mergeCell ref="AD28:AE28"/>
    <mergeCell ref="AP28:BD28"/>
    <mergeCell ref="C29:K29"/>
    <mergeCell ref="L29:Q29"/>
    <mergeCell ref="R29:S29"/>
    <mergeCell ref="T29:U29"/>
    <mergeCell ref="V29:W29"/>
    <mergeCell ref="X29:Y29"/>
    <mergeCell ref="Z27:AA27"/>
    <mergeCell ref="AB27:AC27"/>
    <mergeCell ref="AD27:AE27"/>
    <mergeCell ref="AP27:BD27"/>
    <mergeCell ref="C28:K28"/>
    <mergeCell ref="L28:Q28"/>
    <mergeCell ref="R28:S28"/>
    <mergeCell ref="T28:U28"/>
    <mergeCell ref="V28:W28"/>
    <mergeCell ref="X28:Y28"/>
    <mergeCell ref="Z26:AA26"/>
    <mergeCell ref="AB26:AC26"/>
    <mergeCell ref="AD26:AE26"/>
    <mergeCell ref="AP26:BD26"/>
    <mergeCell ref="C27:K27"/>
    <mergeCell ref="L27:Q27"/>
    <mergeCell ref="R27:S27"/>
    <mergeCell ref="T27:U27"/>
    <mergeCell ref="V27:W27"/>
    <mergeCell ref="X27:Y27"/>
    <mergeCell ref="Z25:AA25"/>
    <mergeCell ref="AB25:AC25"/>
    <mergeCell ref="AD25:AE25"/>
    <mergeCell ref="AP25:BD25"/>
    <mergeCell ref="C26:K26"/>
    <mergeCell ref="L26:Q26"/>
    <mergeCell ref="R26:S26"/>
    <mergeCell ref="T26:U26"/>
    <mergeCell ref="V26:W26"/>
    <mergeCell ref="X26:Y26"/>
    <mergeCell ref="Z24:AA24"/>
    <mergeCell ref="AB24:AC24"/>
    <mergeCell ref="AD24:AE24"/>
    <mergeCell ref="AP24:BD24"/>
    <mergeCell ref="C25:K25"/>
    <mergeCell ref="L25:Q25"/>
    <mergeCell ref="R25:S25"/>
    <mergeCell ref="T25:U25"/>
    <mergeCell ref="V25:W25"/>
    <mergeCell ref="X25:Y25"/>
    <mergeCell ref="Z23:AA23"/>
    <mergeCell ref="AB23:AC23"/>
    <mergeCell ref="AD23:AE23"/>
    <mergeCell ref="AP23:BD23"/>
    <mergeCell ref="C24:K24"/>
    <mergeCell ref="L24:Q24"/>
    <mergeCell ref="R24:S24"/>
    <mergeCell ref="T24:U24"/>
    <mergeCell ref="V24:W24"/>
    <mergeCell ref="X24:Y24"/>
    <mergeCell ref="Z22:AA22"/>
    <mergeCell ref="AB22:AC22"/>
    <mergeCell ref="AD22:AE22"/>
    <mergeCell ref="AP22:BD22"/>
    <mergeCell ref="C23:K23"/>
    <mergeCell ref="L23:Q23"/>
    <mergeCell ref="R23:S23"/>
    <mergeCell ref="T23:U23"/>
    <mergeCell ref="V23:W23"/>
    <mergeCell ref="X23:Y23"/>
    <mergeCell ref="Z21:AA21"/>
    <mergeCell ref="AB21:AC21"/>
    <mergeCell ref="AD21:AE21"/>
    <mergeCell ref="AP21:BD21"/>
    <mergeCell ref="C22:K22"/>
    <mergeCell ref="L22:Q22"/>
    <mergeCell ref="R22:S22"/>
    <mergeCell ref="T22:U22"/>
    <mergeCell ref="V22:W22"/>
    <mergeCell ref="X22:Y22"/>
    <mergeCell ref="Z20:AA20"/>
    <mergeCell ref="AB20:AC20"/>
    <mergeCell ref="AD20:AE20"/>
    <mergeCell ref="AP20:BD20"/>
    <mergeCell ref="C21:K21"/>
    <mergeCell ref="L21:Q21"/>
    <mergeCell ref="R21:S21"/>
    <mergeCell ref="T21:U21"/>
    <mergeCell ref="V21:W21"/>
    <mergeCell ref="X21:Y21"/>
    <mergeCell ref="Z19:AA19"/>
    <mergeCell ref="AB19:AC19"/>
    <mergeCell ref="AD19:AE19"/>
    <mergeCell ref="AP19:BD19"/>
    <mergeCell ref="C20:K20"/>
    <mergeCell ref="L20:Q20"/>
    <mergeCell ref="R20:S20"/>
    <mergeCell ref="T20:U20"/>
    <mergeCell ref="V20:W20"/>
    <mergeCell ref="X20:Y20"/>
    <mergeCell ref="Z18:AA18"/>
    <mergeCell ref="AB18:AC18"/>
    <mergeCell ref="AD18:AE18"/>
    <mergeCell ref="AP18:BD18"/>
    <mergeCell ref="C19:K19"/>
    <mergeCell ref="L19:Q19"/>
    <mergeCell ref="R19:S19"/>
    <mergeCell ref="T19:U19"/>
    <mergeCell ref="V19:W19"/>
    <mergeCell ref="X19:Y19"/>
    <mergeCell ref="Z17:AA17"/>
    <mergeCell ref="AB17:AC17"/>
    <mergeCell ref="AD17:AE17"/>
    <mergeCell ref="AP17:BD17"/>
    <mergeCell ref="C18:K18"/>
    <mergeCell ref="L18:Q18"/>
    <mergeCell ref="R18:S18"/>
    <mergeCell ref="T18:U18"/>
    <mergeCell ref="V18:W18"/>
    <mergeCell ref="X18:Y18"/>
    <mergeCell ref="Z16:AA16"/>
    <mergeCell ref="AB16:AC16"/>
    <mergeCell ref="AD16:AE16"/>
    <mergeCell ref="AP16:BD16"/>
    <mergeCell ref="C17:K17"/>
    <mergeCell ref="L17:Q17"/>
    <mergeCell ref="R17:S17"/>
    <mergeCell ref="T17:U17"/>
    <mergeCell ref="V17:W17"/>
    <mergeCell ref="X17:Y17"/>
    <mergeCell ref="Z15:AA15"/>
    <mergeCell ref="AB15:AC15"/>
    <mergeCell ref="AD15:AE15"/>
    <mergeCell ref="AP15:BD15"/>
    <mergeCell ref="C16:K16"/>
    <mergeCell ref="L16:Q16"/>
    <mergeCell ref="R16:S16"/>
    <mergeCell ref="T16:U16"/>
    <mergeCell ref="V16:W16"/>
    <mergeCell ref="X16:Y16"/>
    <mergeCell ref="Z14:AA14"/>
    <mergeCell ref="AB14:AC14"/>
    <mergeCell ref="AD14:AE14"/>
    <mergeCell ref="AP14:BD14"/>
    <mergeCell ref="C15:K15"/>
    <mergeCell ref="L15:Q15"/>
    <mergeCell ref="R15:S15"/>
    <mergeCell ref="T15:U15"/>
    <mergeCell ref="V15:W15"/>
    <mergeCell ref="X15:Y15"/>
    <mergeCell ref="Z13:AA13"/>
    <mergeCell ref="AB13:AC13"/>
    <mergeCell ref="AD13:AE13"/>
    <mergeCell ref="AP13:BD13"/>
    <mergeCell ref="C14:K14"/>
    <mergeCell ref="L14:Q14"/>
    <mergeCell ref="R14:S14"/>
    <mergeCell ref="T14:U14"/>
    <mergeCell ref="V14:W14"/>
    <mergeCell ref="X14:Y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3" manualBreakCount="3">
    <brk id="49" max="56" man="1"/>
    <brk id="87" max="56" man="1"/>
    <brk id="125" max="56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D16"/>
  <sheetViews>
    <sheetView workbookViewId="0">
      <selection sqref="A1:BH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464</v>
      </c>
      <c r="C2" s="1" t="s">
        <v>467</v>
      </c>
      <c r="D2" s="1" t="s">
        <v>466</v>
      </c>
    </row>
    <row r="3" spans="2:4">
      <c r="B3" s="1" t="s">
        <v>472</v>
      </c>
      <c r="C3" s="79" t="s">
        <v>479</v>
      </c>
      <c r="D3" s="1" t="s">
        <v>473</v>
      </c>
    </row>
    <row r="4" spans="2:4">
      <c r="B4" s="1" t="s">
        <v>474</v>
      </c>
      <c r="C4" s="1" t="s">
        <v>477</v>
      </c>
      <c r="D4" s="1" t="s">
        <v>476</v>
      </c>
    </row>
    <row r="5" spans="2:4">
      <c r="B5" s="1" t="s">
        <v>39</v>
      </c>
      <c r="C5" s="1" t="s">
        <v>1180</v>
      </c>
      <c r="D5" s="1" t="s">
        <v>36</v>
      </c>
    </row>
    <row r="6" spans="2:4">
      <c r="B6" s="1" t="s">
        <v>37</v>
      </c>
      <c r="C6" s="1"/>
      <c r="D6" s="1" t="s">
        <v>38</v>
      </c>
    </row>
    <row r="7" spans="2:4">
      <c r="B7" s="1" t="s">
        <v>1182</v>
      </c>
      <c r="C7" s="1" t="s">
        <v>1183</v>
      </c>
      <c r="D7" s="1" t="s">
        <v>1184</v>
      </c>
    </row>
    <row r="8" spans="2:4">
      <c r="B8" s="1" t="s">
        <v>1187</v>
      </c>
      <c r="C8" s="1" t="s">
        <v>1185</v>
      </c>
      <c r="D8" s="1" t="s">
        <v>1186</v>
      </c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4:B94"/>
  <sheetViews>
    <sheetView topLeftCell="B1" workbookViewId="0">
      <selection sqref="A1:BH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1966</v>
      </c>
    </row>
    <row r="6" spans="2:2">
      <c r="B6" s="1"/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F5"/>
  <sheetViews>
    <sheetView workbookViewId="0">
      <selection sqref="A1:BH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152</v>
      </c>
    </row>
    <row r="2" spans="2:6">
      <c r="B2" s="1" t="s">
        <v>1181</v>
      </c>
      <c r="C2" s="1"/>
      <c r="D2" s="1" t="s">
        <v>396</v>
      </c>
      <c r="E2" s="1" t="s">
        <v>147</v>
      </c>
      <c r="F2" s="1" t="s">
        <v>663</v>
      </c>
    </row>
    <row r="3" spans="2:6">
      <c r="B3" s="1"/>
      <c r="C3" s="1"/>
      <c r="D3" s="1"/>
      <c r="E3" s="1"/>
      <c r="F3" s="1"/>
    </row>
    <row r="4" spans="2:6">
      <c r="B4" s="1"/>
      <c r="C4" s="1"/>
      <c r="D4" s="1"/>
      <c r="E4" s="1"/>
      <c r="F4" s="1"/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BX367"/>
  <sheetViews>
    <sheetView view="pageBreakPreview" topLeftCell="G1" zoomScaleNormal="75" zoomScaleSheetLayoutView="100" workbookViewId="0">
      <selection sqref="A1:BH4"/>
    </sheetView>
  </sheetViews>
  <sheetFormatPr defaultColWidth="3.125" defaultRowHeight="15" customHeight="1"/>
  <cols>
    <col min="1" max="1" width="1.625" style="176" customWidth="1"/>
    <col min="2" max="2" width="3.125" style="176" customWidth="1"/>
    <col min="3" max="8" width="3.125" style="205" customWidth="1"/>
    <col min="9" max="16" width="3.125" style="176" customWidth="1"/>
    <col min="17" max="40" width="3.125" style="205" customWidth="1"/>
    <col min="41" max="56" width="3.125" style="176" customWidth="1"/>
    <col min="57" max="57" width="1.625" style="97" customWidth="1"/>
    <col min="58" max="16384" width="3.125" style="176"/>
  </cols>
  <sheetData>
    <row r="1" spans="1:76" s="152" customFormat="1" ht="15" customHeight="1">
      <c r="A1" s="339" t="s">
        <v>664</v>
      </c>
      <c r="B1" s="340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150"/>
      <c r="V1" s="341" t="s">
        <v>7</v>
      </c>
      <c r="W1" s="342"/>
      <c r="X1" s="342"/>
      <c r="Y1" s="342"/>
      <c r="Z1" s="343"/>
      <c r="AA1" s="341" t="s">
        <v>665</v>
      </c>
      <c r="AB1" s="342"/>
      <c r="AC1" s="342"/>
      <c r="AD1" s="342"/>
      <c r="AE1" s="342"/>
      <c r="AF1" s="342"/>
      <c r="AG1" s="342"/>
      <c r="AH1" s="342"/>
      <c r="AI1" s="342"/>
      <c r="AJ1" s="342"/>
      <c r="AK1" s="342"/>
      <c r="AL1" s="342"/>
      <c r="AM1" s="342"/>
      <c r="AN1" s="342"/>
      <c r="AO1" s="343"/>
      <c r="AP1" s="151"/>
      <c r="AQ1" s="347" t="s">
        <v>8</v>
      </c>
      <c r="AR1" s="347"/>
      <c r="AS1" s="347"/>
      <c r="AT1" s="347"/>
      <c r="AU1" s="347"/>
      <c r="AV1" s="348"/>
      <c r="AW1" s="347"/>
      <c r="AX1" s="347"/>
      <c r="AY1" s="327"/>
      <c r="AZ1" s="327"/>
      <c r="BA1" s="327"/>
      <c r="BB1" s="327"/>
      <c r="BC1" s="327"/>
      <c r="BD1" s="327"/>
      <c r="BE1" s="327"/>
    </row>
    <row r="2" spans="1:76" s="152" customFormat="1" ht="15" customHeight="1">
      <c r="A2" s="340"/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150"/>
      <c r="V2" s="344"/>
      <c r="W2" s="345"/>
      <c r="X2" s="345"/>
      <c r="Y2" s="345"/>
      <c r="Z2" s="346"/>
      <c r="AA2" s="344"/>
      <c r="AB2" s="345"/>
      <c r="AC2" s="345"/>
      <c r="AD2" s="345"/>
      <c r="AE2" s="345"/>
      <c r="AF2" s="345"/>
      <c r="AG2" s="345"/>
      <c r="AH2" s="345"/>
      <c r="AI2" s="345"/>
      <c r="AJ2" s="345"/>
      <c r="AK2" s="345"/>
      <c r="AL2" s="345"/>
      <c r="AM2" s="345"/>
      <c r="AN2" s="345"/>
      <c r="AO2" s="346"/>
      <c r="AP2" s="151"/>
      <c r="AQ2" s="347"/>
      <c r="AR2" s="347"/>
      <c r="AS2" s="347"/>
      <c r="AT2" s="347"/>
      <c r="AU2" s="347"/>
      <c r="AV2" s="347"/>
      <c r="AW2" s="347"/>
      <c r="AX2" s="347"/>
      <c r="AY2" s="327"/>
      <c r="AZ2" s="327"/>
      <c r="BA2" s="327"/>
      <c r="BB2" s="327"/>
      <c r="BC2" s="327"/>
      <c r="BD2" s="327"/>
      <c r="BE2" s="327"/>
    </row>
    <row r="3" spans="1:76" s="152" customFormat="1" ht="15" customHeight="1">
      <c r="A3" s="340"/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150"/>
      <c r="V3" s="341" t="s">
        <v>9</v>
      </c>
      <c r="W3" s="342"/>
      <c r="X3" s="342"/>
      <c r="Y3" s="342"/>
      <c r="Z3" s="343"/>
      <c r="AA3" s="347"/>
      <c r="AB3" s="347"/>
      <c r="AC3" s="347"/>
      <c r="AD3" s="347"/>
      <c r="AE3" s="347"/>
      <c r="AF3" s="347"/>
      <c r="AG3" s="347"/>
      <c r="AH3" s="347"/>
      <c r="AI3" s="347"/>
      <c r="AJ3" s="347"/>
      <c r="AK3" s="347"/>
      <c r="AL3" s="347"/>
      <c r="AM3" s="347"/>
      <c r="AN3" s="347"/>
      <c r="AO3" s="347"/>
      <c r="AP3" s="151"/>
      <c r="AQ3" s="347" t="s">
        <v>10</v>
      </c>
      <c r="AR3" s="347"/>
      <c r="AS3" s="347"/>
      <c r="AT3" s="347"/>
      <c r="AU3" s="347"/>
      <c r="AV3" s="348"/>
      <c r="AW3" s="347"/>
      <c r="AX3" s="347"/>
      <c r="AY3" s="327"/>
      <c r="AZ3" s="327"/>
      <c r="BA3" s="327"/>
      <c r="BB3" s="327"/>
      <c r="BC3" s="327"/>
      <c r="BD3" s="327"/>
      <c r="BE3" s="327"/>
    </row>
    <row r="4" spans="1:76" s="152" customFormat="1" ht="15" customHeight="1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150"/>
      <c r="V4" s="344"/>
      <c r="W4" s="345"/>
      <c r="X4" s="345"/>
      <c r="Y4" s="345"/>
      <c r="Z4" s="346"/>
      <c r="AA4" s="347"/>
      <c r="AB4" s="347"/>
      <c r="AC4" s="347"/>
      <c r="AD4" s="347"/>
      <c r="AE4" s="347"/>
      <c r="AF4" s="347"/>
      <c r="AG4" s="347"/>
      <c r="AH4" s="347"/>
      <c r="AI4" s="347"/>
      <c r="AJ4" s="347"/>
      <c r="AK4" s="347"/>
      <c r="AL4" s="347"/>
      <c r="AM4" s="347"/>
      <c r="AN4" s="347"/>
      <c r="AO4" s="347"/>
      <c r="AP4" s="151"/>
      <c r="AQ4" s="347"/>
      <c r="AR4" s="347"/>
      <c r="AS4" s="347"/>
      <c r="AT4" s="347"/>
      <c r="AU4" s="347"/>
      <c r="AV4" s="347"/>
      <c r="AW4" s="347"/>
      <c r="AX4" s="347"/>
      <c r="AY4" s="327"/>
      <c r="AZ4" s="327"/>
      <c r="BA4" s="327"/>
      <c r="BB4" s="327"/>
      <c r="BC4" s="327"/>
      <c r="BD4" s="327"/>
      <c r="BE4" s="327"/>
    </row>
    <row r="5" spans="1:76" s="152" customFormat="1" ht="15" customHeight="1">
      <c r="A5" s="153"/>
      <c r="B5" s="153"/>
      <c r="C5" s="154"/>
      <c r="D5" s="154"/>
      <c r="E5" s="154"/>
      <c r="F5" s="154"/>
      <c r="G5" s="154"/>
      <c r="H5" s="154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3"/>
      <c r="AP5" s="153"/>
      <c r="AQ5" s="153"/>
      <c r="AR5" s="153"/>
      <c r="AS5" s="153"/>
      <c r="AT5" s="153"/>
      <c r="AU5" s="153"/>
      <c r="AV5" s="153"/>
      <c r="AW5" s="153"/>
      <c r="AX5" s="153"/>
      <c r="AY5" s="153"/>
      <c r="AZ5" s="153"/>
      <c r="BA5" s="153"/>
      <c r="BB5" s="153"/>
      <c r="BC5" s="153"/>
      <c r="BD5" s="153"/>
      <c r="BE5" s="155"/>
    </row>
    <row r="6" spans="1:76" s="161" customFormat="1" ht="12" customHeight="1">
      <c r="A6" s="156"/>
      <c r="B6" s="157"/>
      <c r="C6" s="158"/>
      <c r="D6" s="158"/>
      <c r="E6" s="158"/>
      <c r="F6" s="159"/>
      <c r="G6" s="159"/>
      <c r="H6" s="158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60"/>
    </row>
    <row r="7" spans="1:76" s="161" customFormat="1" ht="12" customHeight="1">
      <c r="A7" s="162"/>
      <c r="B7" s="328" t="s">
        <v>666</v>
      </c>
      <c r="C7" s="329"/>
      <c r="D7" s="329"/>
      <c r="E7" s="329"/>
      <c r="F7" s="329"/>
      <c r="G7" s="330"/>
      <c r="H7" s="337"/>
      <c r="I7" s="329"/>
      <c r="J7" s="329"/>
      <c r="K7" s="329"/>
      <c r="L7" s="329"/>
      <c r="M7" s="329"/>
      <c r="N7" s="329"/>
      <c r="O7" s="329"/>
      <c r="P7" s="330"/>
      <c r="Q7" s="328" t="s">
        <v>667</v>
      </c>
      <c r="R7" s="329"/>
      <c r="S7" s="329"/>
      <c r="T7" s="329"/>
      <c r="U7" s="329"/>
      <c r="V7" s="330"/>
      <c r="W7" s="338" t="s">
        <v>668</v>
      </c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  <c r="AO7" s="329"/>
      <c r="AP7" s="329"/>
      <c r="AQ7" s="330"/>
      <c r="AR7" s="328" t="s">
        <v>669</v>
      </c>
      <c r="AS7" s="329"/>
      <c r="AT7" s="330"/>
      <c r="AU7" s="328">
        <v>2</v>
      </c>
      <c r="AV7" s="329"/>
      <c r="AW7" s="329"/>
      <c r="AX7" s="329"/>
      <c r="AY7" s="329"/>
      <c r="AZ7" s="330"/>
      <c r="BA7" s="163"/>
      <c r="BB7" s="163"/>
      <c r="BC7" s="163"/>
      <c r="BD7" s="163"/>
      <c r="BE7" s="164"/>
    </row>
    <row r="8" spans="1:76" s="161" customFormat="1" ht="12" customHeight="1">
      <c r="A8" s="162"/>
      <c r="B8" s="331"/>
      <c r="C8" s="332"/>
      <c r="D8" s="332"/>
      <c r="E8" s="332"/>
      <c r="F8" s="332"/>
      <c r="G8" s="333"/>
      <c r="H8" s="331"/>
      <c r="I8" s="332"/>
      <c r="J8" s="332"/>
      <c r="K8" s="332"/>
      <c r="L8" s="332"/>
      <c r="M8" s="332"/>
      <c r="N8" s="332"/>
      <c r="O8" s="332"/>
      <c r="P8" s="333"/>
      <c r="Q8" s="331"/>
      <c r="R8" s="332"/>
      <c r="S8" s="332"/>
      <c r="T8" s="332"/>
      <c r="U8" s="332"/>
      <c r="V8" s="333"/>
      <c r="W8" s="331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2"/>
      <c r="AP8" s="332"/>
      <c r="AQ8" s="333"/>
      <c r="AR8" s="331"/>
      <c r="AS8" s="332"/>
      <c r="AT8" s="333"/>
      <c r="AU8" s="331"/>
      <c r="AV8" s="332"/>
      <c r="AW8" s="332"/>
      <c r="AX8" s="332"/>
      <c r="AY8" s="332"/>
      <c r="AZ8" s="333"/>
      <c r="BA8" s="163"/>
      <c r="BB8" s="163"/>
      <c r="BC8" s="163"/>
      <c r="BD8" s="163"/>
      <c r="BE8" s="164"/>
    </row>
    <row r="9" spans="1:76" s="161" customFormat="1" ht="12" customHeight="1">
      <c r="A9" s="162"/>
      <c r="B9" s="334"/>
      <c r="C9" s="335"/>
      <c r="D9" s="335"/>
      <c r="E9" s="335"/>
      <c r="F9" s="335"/>
      <c r="G9" s="336"/>
      <c r="H9" s="334"/>
      <c r="I9" s="335"/>
      <c r="J9" s="335"/>
      <c r="K9" s="335"/>
      <c r="L9" s="335"/>
      <c r="M9" s="335"/>
      <c r="N9" s="335"/>
      <c r="O9" s="335"/>
      <c r="P9" s="336"/>
      <c r="Q9" s="334"/>
      <c r="R9" s="335"/>
      <c r="S9" s="335"/>
      <c r="T9" s="335"/>
      <c r="U9" s="335"/>
      <c r="V9" s="336"/>
      <c r="W9" s="334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335"/>
      <c r="AQ9" s="336"/>
      <c r="AR9" s="334"/>
      <c r="AS9" s="335"/>
      <c r="AT9" s="336"/>
      <c r="AU9" s="334"/>
      <c r="AV9" s="335"/>
      <c r="AW9" s="335"/>
      <c r="AX9" s="335"/>
      <c r="AY9" s="335"/>
      <c r="AZ9" s="336"/>
      <c r="BA9" s="163"/>
      <c r="BB9" s="163"/>
      <c r="BC9" s="163"/>
      <c r="BD9" s="163"/>
      <c r="BE9" s="164"/>
    </row>
    <row r="10" spans="1:76" s="168" customFormat="1" ht="12" customHeight="1">
      <c r="A10" s="10"/>
      <c r="B10" s="28"/>
      <c r="C10" s="165"/>
      <c r="D10" s="165"/>
      <c r="E10" s="165"/>
      <c r="F10" s="165"/>
      <c r="G10" s="165"/>
      <c r="H10" s="165"/>
      <c r="I10" s="12"/>
      <c r="J10" s="12"/>
      <c r="K10" s="12"/>
      <c r="L10" s="12"/>
      <c r="M10" s="12"/>
      <c r="N10" s="28"/>
      <c r="O10" s="28"/>
      <c r="P10" s="28"/>
      <c r="Q10" s="166"/>
      <c r="R10" s="166"/>
      <c r="S10" s="166"/>
      <c r="T10" s="165"/>
      <c r="U10" s="165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28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67"/>
      <c r="BE10" s="11"/>
    </row>
    <row r="11" spans="1:76" s="168" customFormat="1" ht="12" customHeight="1">
      <c r="A11" s="10"/>
      <c r="B11" s="315" t="s">
        <v>670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7"/>
      <c r="Q11" s="318" t="s">
        <v>671</v>
      </c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20"/>
      <c r="AO11" s="324" t="s">
        <v>672</v>
      </c>
      <c r="AP11" s="325"/>
      <c r="AQ11" s="325"/>
      <c r="AR11" s="325"/>
      <c r="AS11" s="325"/>
      <c r="AT11" s="325"/>
      <c r="AU11" s="325"/>
      <c r="AV11" s="325"/>
      <c r="AW11" s="325"/>
      <c r="AX11" s="325"/>
      <c r="AY11" s="325"/>
      <c r="AZ11" s="325"/>
      <c r="BA11" s="325"/>
      <c r="BB11" s="325"/>
      <c r="BC11" s="326"/>
      <c r="BD11" s="169"/>
      <c r="BE11" s="11"/>
    </row>
    <row r="12" spans="1:76" s="168" customFormat="1" ht="12" customHeight="1">
      <c r="A12" s="10"/>
      <c r="B12" s="170" t="s">
        <v>411</v>
      </c>
      <c r="C12" s="171" t="s">
        <v>673</v>
      </c>
      <c r="D12" s="172"/>
      <c r="E12" s="172"/>
      <c r="F12" s="172"/>
      <c r="G12" s="172"/>
      <c r="H12" s="173"/>
      <c r="I12" s="171" t="s">
        <v>674</v>
      </c>
      <c r="J12" s="172"/>
      <c r="K12" s="172"/>
      <c r="L12" s="172"/>
      <c r="M12" s="172"/>
      <c r="N12" s="172"/>
      <c r="O12" s="172"/>
      <c r="P12" s="173"/>
      <c r="Q12" s="321"/>
      <c r="R12" s="322"/>
      <c r="S12" s="322"/>
      <c r="T12" s="322"/>
      <c r="U12" s="322"/>
      <c r="V12" s="322"/>
      <c r="W12" s="322"/>
      <c r="X12" s="322"/>
      <c r="Y12" s="322"/>
      <c r="Z12" s="322"/>
      <c r="AA12" s="322"/>
      <c r="AB12" s="322"/>
      <c r="AC12" s="322"/>
      <c r="AD12" s="322"/>
      <c r="AE12" s="322"/>
      <c r="AF12" s="322"/>
      <c r="AG12" s="322"/>
      <c r="AH12" s="322"/>
      <c r="AI12" s="322"/>
      <c r="AJ12" s="322"/>
      <c r="AK12" s="322"/>
      <c r="AL12" s="322"/>
      <c r="AM12" s="322"/>
      <c r="AN12" s="323"/>
      <c r="AO12" s="170" t="s">
        <v>411</v>
      </c>
      <c r="AP12" s="171" t="s">
        <v>675</v>
      </c>
      <c r="AQ12" s="172"/>
      <c r="AR12" s="172"/>
      <c r="AS12" s="172"/>
      <c r="AT12" s="172"/>
      <c r="AU12" s="173"/>
      <c r="AV12" s="171" t="s">
        <v>674</v>
      </c>
      <c r="AW12" s="172"/>
      <c r="AX12" s="172"/>
      <c r="AY12" s="172"/>
      <c r="AZ12" s="172"/>
      <c r="BA12" s="172"/>
      <c r="BB12" s="172"/>
      <c r="BC12" s="173"/>
      <c r="BD12" s="169"/>
      <c r="BE12" s="11"/>
    </row>
    <row r="13" spans="1:76" ht="12" customHeight="1">
      <c r="A13" s="10"/>
      <c r="B13" s="174">
        <v>1</v>
      </c>
      <c r="C13" s="297" t="s">
        <v>676</v>
      </c>
      <c r="D13" s="298"/>
      <c r="E13" s="298"/>
      <c r="F13" s="298"/>
      <c r="G13" s="298"/>
      <c r="H13" s="299"/>
      <c r="I13" s="288" t="s">
        <v>516</v>
      </c>
      <c r="J13" s="289"/>
      <c r="K13" s="289"/>
      <c r="L13" s="289"/>
      <c r="M13" s="289"/>
      <c r="N13" s="289"/>
      <c r="O13" s="289"/>
      <c r="P13" s="290"/>
      <c r="Q13" s="261" t="s">
        <v>677</v>
      </c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3"/>
      <c r="AO13" s="175">
        <v>1</v>
      </c>
      <c r="AP13" s="297" t="s">
        <v>678</v>
      </c>
      <c r="AQ13" s="298"/>
      <c r="AR13" s="298"/>
      <c r="AS13" s="298"/>
      <c r="AT13" s="298"/>
      <c r="AU13" s="299"/>
      <c r="AV13" s="288" t="s">
        <v>516</v>
      </c>
      <c r="AW13" s="289"/>
      <c r="AX13" s="289"/>
      <c r="AY13" s="289"/>
      <c r="AZ13" s="289"/>
      <c r="BA13" s="289"/>
      <c r="BB13" s="289"/>
      <c r="BC13" s="290"/>
      <c r="BD13" s="169"/>
      <c r="BE13" s="11"/>
      <c r="BF13" s="261" t="s">
        <v>679</v>
      </c>
      <c r="BG13" s="262"/>
      <c r="BH13" s="262"/>
      <c r="BI13" s="262"/>
      <c r="BJ13" s="262"/>
      <c r="BK13" s="262"/>
      <c r="BL13" s="262"/>
      <c r="BM13" s="262"/>
      <c r="BN13" s="263"/>
      <c r="BO13" s="261" t="s">
        <v>680</v>
      </c>
      <c r="BP13" s="262"/>
      <c r="BQ13" s="262"/>
      <c r="BR13" s="262"/>
      <c r="BS13" s="262"/>
      <c r="BT13" s="263"/>
      <c r="BU13" s="241"/>
      <c r="BW13" s="256">
        <v>3</v>
      </c>
      <c r="BX13" s="257"/>
    </row>
    <row r="14" spans="1:76" ht="12" customHeight="1">
      <c r="A14" s="10"/>
      <c r="B14" s="174">
        <f t="shared" ref="B14:B77" si="0">B13+1</f>
        <v>2</v>
      </c>
      <c r="C14" s="291"/>
      <c r="D14" s="292"/>
      <c r="E14" s="292"/>
      <c r="F14" s="292"/>
      <c r="G14" s="292"/>
      <c r="H14" s="293"/>
      <c r="I14" s="288" t="s">
        <v>681</v>
      </c>
      <c r="J14" s="289"/>
      <c r="K14" s="289"/>
      <c r="L14" s="289"/>
      <c r="M14" s="289"/>
      <c r="N14" s="289"/>
      <c r="O14" s="289"/>
      <c r="P14" s="290"/>
      <c r="Q14" s="261" t="s">
        <v>677</v>
      </c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3"/>
      <c r="AO14" s="175">
        <f t="shared" ref="AO14:AO77" si="1">AO13+1</f>
        <v>2</v>
      </c>
      <c r="AP14" s="291"/>
      <c r="AQ14" s="292"/>
      <c r="AR14" s="292"/>
      <c r="AS14" s="292"/>
      <c r="AT14" s="292"/>
      <c r="AU14" s="293"/>
      <c r="AV14" s="288" t="s">
        <v>682</v>
      </c>
      <c r="AW14" s="289"/>
      <c r="AX14" s="289"/>
      <c r="AY14" s="289"/>
      <c r="AZ14" s="289"/>
      <c r="BA14" s="289"/>
      <c r="BB14" s="289"/>
      <c r="BC14" s="290"/>
      <c r="BD14" s="169"/>
      <c r="BE14" s="11"/>
      <c r="BF14" s="261" t="s">
        <v>683</v>
      </c>
      <c r="BG14" s="262"/>
      <c r="BH14" s="262"/>
      <c r="BI14" s="262"/>
      <c r="BJ14" s="262"/>
      <c r="BK14" s="262"/>
      <c r="BL14" s="262"/>
      <c r="BM14" s="262"/>
      <c r="BN14" s="263"/>
      <c r="BO14" s="261" t="s">
        <v>684</v>
      </c>
      <c r="BP14" s="262"/>
      <c r="BQ14" s="262"/>
      <c r="BR14" s="262"/>
      <c r="BS14" s="262"/>
      <c r="BT14" s="263"/>
      <c r="BU14" s="241"/>
      <c r="BW14" s="256">
        <v>20</v>
      </c>
      <c r="BX14" s="257"/>
    </row>
    <row r="15" spans="1:76" ht="12" customHeight="1">
      <c r="A15" s="10"/>
      <c r="B15" s="174">
        <f t="shared" si="0"/>
        <v>3</v>
      </c>
      <c r="C15" s="291"/>
      <c r="D15" s="292"/>
      <c r="E15" s="292"/>
      <c r="F15" s="292"/>
      <c r="G15" s="292"/>
      <c r="H15" s="293"/>
      <c r="I15" s="288" t="s">
        <v>518</v>
      </c>
      <c r="J15" s="289"/>
      <c r="K15" s="289"/>
      <c r="L15" s="289"/>
      <c r="M15" s="289"/>
      <c r="N15" s="289"/>
      <c r="O15" s="289"/>
      <c r="P15" s="290"/>
      <c r="Q15" s="261" t="s">
        <v>677</v>
      </c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3"/>
      <c r="AO15" s="175">
        <f t="shared" si="1"/>
        <v>3</v>
      </c>
      <c r="AP15" s="291"/>
      <c r="AQ15" s="292"/>
      <c r="AR15" s="292"/>
      <c r="AS15" s="292"/>
      <c r="AT15" s="292"/>
      <c r="AU15" s="293"/>
      <c r="AV15" s="288" t="s">
        <v>518</v>
      </c>
      <c r="AW15" s="289"/>
      <c r="AX15" s="289"/>
      <c r="AY15" s="289"/>
      <c r="AZ15" s="289"/>
      <c r="BA15" s="289"/>
      <c r="BB15" s="289"/>
      <c r="BC15" s="290"/>
      <c r="BD15" s="169"/>
      <c r="BE15" s="11"/>
      <c r="BF15" s="261" t="s">
        <v>685</v>
      </c>
      <c r="BG15" s="262"/>
      <c r="BH15" s="262"/>
      <c r="BI15" s="262"/>
      <c r="BJ15" s="262"/>
      <c r="BK15" s="262"/>
      <c r="BL15" s="262"/>
      <c r="BM15" s="262"/>
      <c r="BN15" s="263"/>
      <c r="BO15" s="261" t="s">
        <v>686</v>
      </c>
      <c r="BP15" s="262"/>
      <c r="BQ15" s="262"/>
      <c r="BR15" s="262"/>
      <c r="BS15" s="262"/>
      <c r="BT15" s="263"/>
      <c r="BU15" s="241"/>
      <c r="BW15" s="256">
        <v>2</v>
      </c>
      <c r="BX15" s="257"/>
    </row>
    <row r="16" spans="1:76" ht="12" customHeight="1">
      <c r="A16" s="10"/>
      <c r="B16" s="174">
        <f t="shared" si="0"/>
        <v>4</v>
      </c>
      <c r="C16" s="297" t="s">
        <v>687</v>
      </c>
      <c r="D16" s="298"/>
      <c r="E16" s="298"/>
      <c r="F16" s="298"/>
      <c r="G16" s="298"/>
      <c r="H16" s="299"/>
      <c r="I16" s="314" t="s">
        <v>688</v>
      </c>
      <c r="J16" s="310"/>
      <c r="K16" s="310"/>
      <c r="L16" s="310"/>
      <c r="M16" s="310"/>
      <c r="N16" s="310"/>
      <c r="O16" s="310"/>
      <c r="P16" s="311"/>
      <c r="Q16" s="294" t="s">
        <v>677</v>
      </c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5"/>
      <c r="AG16" s="295"/>
      <c r="AH16" s="295"/>
      <c r="AI16" s="295"/>
      <c r="AJ16" s="295"/>
      <c r="AK16" s="295"/>
      <c r="AL16" s="295"/>
      <c r="AM16" s="295"/>
      <c r="AN16" s="296"/>
      <c r="AO16" s="175">
        <f t="shared" si="1"/>
        <v>4</v>
      </c>
      <c r="AP16" s="291"/>
      <c r="AQ16" s="292"/>
      <c r="AR16" s="292"/>
      <c r="AS16" s="292"/>
      <c r="AT16" s="292"/>
      <c r="AU16" s="293"/>
      <c r="AV16" s="288" t="s">
        <v>689</v>
      </c>
      <c r="AW16" s="289"/>
      <c r="AX16" s="289"/>
      <c r="AY16" s="289"/>
      <c r="AZ16" s="289"/>
      <c r="BA16" s="289"/>
      <c r="BB16" s="289"/>
      <c r="BC16" s="290"/>
      <c r="BD16" s="169"/>
      <c r="BE16" s="11"/>
      <c r="BF16" s="261" t="s">
        <v>690</v>
      </c>
      <c r="BG16" s="262"/>
      <c r="BH16" s="262"/>
      <c r="BI16" s="262"/>
      <c r="BJ16" s="262"/>
      <c r="BK16" s="262"/>
      <c r="BL16" s="262"/>
      <c r="BM16" s="262"/>
      <c r="BN16" s="263"/>
      <c r="BO16" s="261" t="s">
        <v>691</v>
      </c>
      <c r="BP16" s="262"/>
      <c r="BQ16" s="262"/>
      <c r="BR16" s="262"/>
      <c r="BS16" s="262"/>
      <c r="BT16" s="263"/>
      <c r="BU16" s="241"/>
      <c r="BW16" s="256">
        <v>8</v>
      </c>
      <c r="BX16" s="257"/>
    </row>
    <row r="17" spans="1:76" ht="12" customHeight="1">
      <c r="A17" s="10"/>
      <c r="B17" s="174">
        <f t="shared" si="0"/>
        <v>5</v>
      </c>
      <c r="C17" s="291"/>
      <c r="D17" s="292"/>
      <c r="E17" s="292"/>
      <c r="F17" s="292"/>
      <c r="G17" s="292"/>
      <c r="H17" s="293"/>
      <c r="I17" s="288" t="s">
        <v>687</v>
      </c>
      <c r="J17" s="289"/>
      <c r="K17" s="289"/>
      <c r="L17" s="289"/>
      <c r="M17" s="289"/>
      <c r="N17" s="289"/>
      <c r="O17" s="289"/>
      <c r="P17" s="290"/>
      <c r="Q17" s="261" t="s">
        <v>692</v>
      </c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3"/>
      <c r="AO17" s="175">
        <f t="shared" si="1"/>
        <v>5</v>
      </c>
      <c r="AP17" s="291"/>
      <c r="AQ17" s="292"/>
      <c r="AR17" s="292"/>
      <c r="AS17" s="292"/>
      <c r="AT17" s="292"/>
      <c r="AU17" s="293"/>
      <c r="AV17" s="288" t="s">
        <v>693</v>
      </c>
      <c r="AW17" s="289"/>
      <c r="AX17" s="289"/>
      <c r="AY17" s="289"/>
      <c r="AZ17" s="289"/>
      <c r="BA17" s="289"/>
      <c r="BB17" s="289"/>
      <c r="BC17" s="290"/>
      <c r="BD17" s="169"/>
      <c r="BE17" s="11"/>
      <c r="BF17" s="271" t="s">
        <v>694</v>
      </c>
      <c r="BG17" s="272"/>
      <c r="BH17" s="272"/>
      <c r="BI17" s="272"/>
      <c r="BJ17" s="272"/>
      <c r="BK17" s="272"/>
      <c r="BL17" s="272"/>
      <c r="BM17" s="272"/>
      <c r="BN17" s="273"/>
      <c r="BO17" s="271" t="s">
        <v>695</v>
      </c>
      <c r="BP17" s="272"/>
      <c r="BQ17" s="272"/>
      <c r="BR17" s="272"/>
      <c r="BS17" s="272"/>
      <c r="BT17" s="273"/>
      <c r="BU17" s="242"/>
      <c r="BW17" s="276">
        <v>1</v>
      </c>
      <c r="BX17" s="277"/>
    </row>
    <row r="18" spans="1:76" ht="12" customHeight="1">
      <c r="A18" s="10"/>
      <c r="B18" s="174">
        <f t="shared" si="0"/>
        <v>6</v>
      </c>
      <c r="C18" s="291"/>
      <c r="D18" s="292"/>
      <c r="E18" s="292"/>
      <c r="F18" s="292"/>
      <c r="G18" s="292"/>
      <c r="H18" s="293"/>
      <c r="I18" s="288" t="s">
        <v>687</v>
      </c>
      <c r="J18" s="289"/>
      <c r="K18" s="289"/>
      <c r="L18" s="289"/>
      <c r="M18" s="289"/>
      <c r="N18" s="289"/>
      <c r="O18" s="289"/>
      <c r="P18" s="290"/>
      <c r="Q18" s="261" t="s">
        <v>696</v>
      </c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3"/>
      <c r="AO18" s="175">
        <f t="shared" si="1"/>
        <v>6</v>
      </c>
      <c r="AP18" s="291"/>
      <c r="AQ18" s="292"/>
      <c r="AR18" s="292"/>
      <c r="AS18" s="292"/>
      <c r="AT18" s="292"/>
      <c r="AU18" s="293"/>
      <c r="AV18" s="288" t="s">
        <v>697</v>
      </c>
      <c r="AW18" s="289"/>
      <c r="AX18" s="289"/>
      <c r="AY18" s="289"/>
      <c r="AZ18" s="289"/>
      <c r="BA18" s="289"/>
      <c r="BB18" s="289"/>
      <c r="BC18" s="290"/>
      <c r="BD18" s="169"/>
      <c r="BE18" s="11"/>
      <c r="BF18" s="261" t="s">
        <v>698</v>
      </c>
      <c r="BG18" s="262"/>
      <c r="BH18" s="262"/>
      <c r="BI18" s="262"/>
      <c r="BJ18" s="262"/>
      <c r="BK18" s="262"/>
      <c r="BL18" s="262"/>
      <c r="BM18" s="262"/>
      <c r="BN18" s="263"/>
      <c r="BO18" s="261" t="s">
        <v>699</v>
      </c>
      <c r="BP18" s="262"/>
      <c r="BQ18" s="262"/>
      <c r="BR18" s="262"/>
      <c r="BS18" s="262"/>
      <c r="BT18" s="263"/>
      <c r="BU18" s="241"/>
      <c r="BW18" s="256">
        <v>1</v>
      </c>
      <c r="BX18" s="257"/>
    </row>
    <row r="19" spans="1:76" ht="12" customHeight="1">
      <c r="A19" s="10"/>
      <c r="B19" s="174">
        <f t="shared" si="0"/>
        <v>7</v>
      </c>
      <c r="C19" s="291"/>
      <c r="D19" s="292"/>
      <c r="E19" s="292"/>
      <c r="F19" s="292"/>
      <c r="G19" s="292"/>
      <c r="H19" s="293"/>
      <c r="I19" s="288" t="s">
        <v>687</v>
      </c>
      <c r="J19" s="289"/>
      <c r="K19" s="289"/>
      <c r="L19" s="289"/>
      <c r="M19" s="289"/>
      <c r="N19" s="289"/>
      <c r="O19" s="289"/>
      <c r="P19" s="290"/>
      <c r="Q19" s="261" t="s">
        <v>700</v>
      </c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3"/>
      <c r="AO19" s="175">
        <f t="shared" si="1"/>
        <v>7</v>
      </c>
      <c r="AP19" s="291"/>
      <c r="AQ19" s="292"/>
      <c r="AR19" s="292"/>
      <c r="AS19" s="292"/>
      <c r="AT19" s="292"/>
      <c r="AU19" s="293"/>
      <c r="AV19" s="288" t="s">
        <v>701</v>
      </c>
      <c r="AW19" s="289"/>
      <c r="AX19" s="289"/>
      <c r="AY19" s="289"/>
      <c r="AZ19" s="289"/>
      <c r="BA19" s="289"/>
      <c r="BB19" s="289"/>
      <c r="BC19" s="290"/>
      <c r="BD19" s="169"/>
      <c r="BE19" s="11"/>
      <c r="BF19" s="261" t="s">
        <v>702</v>
      </c>
      <c r="BG19" s="262"/>
      <c r="BH19" s="262"/>
      <c r="BI19" s="262"/>
      <c r="BJ19" s="262"/>
      <c r="BK19" s="262"/>
      <c r="BL19" s="262"/>
      <c r="BM19" s="262"/>
      <c r="BN19" s="263"/>
      <c r="BO19" s="261" t="s">
        <v>703</v>
      </c>
      <c r="BP19" s="262"/>
      <c r="BQ19" s="262"/>
      <c r="BR19" s="262"/>
      <c r="BS19" s="262"/>
      <c r="BT19" s="263"/>
      <c r="BU19" s="241"/>
      <c r="BW19" s="280">
        <v>1</v>
      </c>
      <c r="BX19" s="281"/>
    </row>
    <row r="20" spans="1:76" ht="12" customHeight="1">
      <c r="A20" s="10"/>
      <c r="B20" s="174">
        <f t="shared" si="0"/>
        <v>8</v>
      </c>
      <c r="C20" s="291"/>
      <c r="D20" s="292"/>
      <c r="E20" s="292"/>
      <c r="F20" s="292"/>
      <c r="G20" s="292"/>
      <c r="H20" s="293"/>
      <c r="I20" s="288" t="s">
        <v>687</v>
      </c>
      <c r="J20" s="289"/>
      <c r="K20" s="289"/>
      <c r="L20" s="289"/>
      <c r="M20" s="289"/>
      <c r="N20" s="289"/>
      <c r="O20" s="289"/>
      <c r="P20" s="290"/>
      <c r="Q20" s="261" t="s">
        <v>704</v>
      </c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3"/>
      <c r="AO20" s="175">
        <f t="shared" si="1"/>
        <v>8</v>
      </c>
      <c r="AP20" s="291"/>
      <c r="AQ20" s="292"/>
      <c r="AR20" s="292"/>
      <c r="AS20" s="292"/>
      <c r="AT20" s="292"/>
      <c r="AU20" s="293"/>
      <c r="AV20" s="288" t="s">
        <v>23</v>
      </c>
      <c r="AW20" s="289"/>
      <c r="AX20" s="289"/>
      <c r="AY20" s="289"/>
      <c r="AZ20" s="289"/>
      <c r="BA20" s="289"/>
      <c r="BB20" s="289"/>
      <c r="BC20" s="290"/>
      <c r="BD20" s="169"/>
      <c r="BE20" s="11"/>
      <c r="BF20" s="261" t="s">
        <v>705</v>
      </c>
      <c r="BG20" s="262"/>
      <c r="BH20" s="262"/>
      <c r="BI20" s="262"/>
      <c r="BJ20" s="262"/>
      <c r="BK20" s="262"/>
      <c r="BL20" s="262"/>
      <c r="BM20" s="262"/>
      <c r="BN20" s="263"/>
      <c r="BO20" s="261" t="s">
        <v>706</v>
      </c>
      <c r="BP20" s="262"/>
      <c r="BQ20" s="262"/>
      <c r="BR20" s="262"/>
      <c r="BS20" s="262"/>
      <c r="BT20" s="263"/>
      <c r="BU20" s="241"/>
      <c r="BW20" s="280">
        <v>1</v>
      </c>
      <c r="BX20" s="281"/>
    </row>
    <row r="21" spans="1:76" ht="12" customHeight="1">
      <c r="A21" s="10"/>
      <c r="B21" s="174">
        <f t="shared" si="0"/>
        <v>9</v>
      </c>
      <c r="C21" s="291"/>
      <c r="D21" s="292"/>
      <c r="E21" s="292"/>
      <c r="F21" s="292"/>
      <c r="G21" s="292"/>
      <c r="H21" s="293"/>
      <c r="I21" s="288" t="s">
        <v>687</v>
      </c>
      <c r="J21" s="289"/>
      <c r="K21" s="289"/>
      <c r="L21" s="289"/>
      <c r="M21" s="289"/>
      <c r="N21" s="289"/>
      <c r="O21" s="289"/>
      <c r="P21" s="290"/>
      <c r="Q21" s="261" t="s">
        <v>704</v>
      </c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3"/>
      <c r="AO21" s="175">
        <f t="shared" si="1"/>
        <v>9</v>
      </c>
      <c r="AP21" s="291"/>
      <c r="AQ21" s="292"/>
      <c r="AR21" s="292"/>
      <c r="AS21" s="292"/>
      <c r="AT21" s="292"/>
      <c r="AU21" s="293"/>
      <c r="AV21" s="288" t="s">
        <v>80</v>
      </c>
      <c r="AW21" s="289"/>
      <c r="AX21" s="289"/>
      <c r="AY21" s="289"/>
      <c r="AZ21" s="289"/>
      <c r="BA21" s="289"/>
      <c r="BB21" s="289"/>
      <c r="BC21" s="290"/>
      <c r="BD21" s="169"/>
      <c r="BE21" s="11"/>
      <c r="BF21" s="261" t="s">
        <v>707</v>
      </c>
      <c r="BG21" s="262"/>
      <c r="BH21" s="262"/>
      <c r="BI21" s="262"/>
      <c r="BJ21" s="262"/>
      <c r="BK21" s="262"/>
      <c r="BL21" s="262"/>
      <c r="BM21" s="262"/>
      <c r="BN21" s="263"/>
      <c r="BO21" s="261" t="s">
        <v>708</v>
      </c>
      <c r="BP21" s="262"/>
      <c r="BQ21" s="262"/>
      <c r="BR21" s="262"/>
      <c r="BS21" s="262"/>
      <c r="BT21" s="263"/>
      <c r="BU21" s="241"/>
      <c r="BW21" s="280">
        <v>1</v>
      </c>
      <c r="BX21" s="281"/>
    </row>
    <row r="22" spans="1:76" ht="12" customHeight="1">
      <c r="A22" s="10"/>
      <c r="B22" s="174">
        <f t="shared" si="0"/>
        <v>10</v>
      </c>
      <c r="C22" s="291"/>
      <c r="D22" s="292"/>
      <c r="E22" s="292"/>
      <c r="F22" s="292"/>
      <c r="G22" s="292"/>
      <c r="H22" s="293"/>
      <c r="I22" s="288" t="s">
        <v>687</v>
      </c>
      <c r="J22" s="289"/>
      <c r="K22" s="289"/>
      <c r="L22" s="289"/>
      <c r="M22" s="289"/>
      <c r="N22" s="289"/>
      <c r="O22" s="289"/>
      <c r="P22" s="290"/>
      <c r="Q22" s="261" t="s">
        <v>709</v>
      </c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3"/>
      <c r="AO22" s="175">
        <f t="shared" si="1"/>
        <v>10</v>
      </c>
      <c r="AP22" s="291"/>
      <c r="AQ22" s="292"/>
      <c r="AR22" s="292"/>
      <c r="AS22" s="292"/>
      <c r="AT22" s="292"/>
      <c r="AU22" s="293"/>
      <c r="AV22" s="288" t="s">
        <v>710</v>
      </c>
      <c r="AW22" s="289"/>
      <c r="AX22" s="289"/>
      <c r="AY22" s="289"/>
      <c r="AZ22" s="289"/>
      <c r="BA22" s="289"/>
      <c r="BB22" s="289"/>
      <c r="BC22" s="290"/>
      <c r="BD22" s="169"/>
      <c r="BE22" s="11"/>
      <c r="BF22" s="261" t="s">
        <v>711</v>
      </c>
      <c r="BG22" s="262"/>
      <c r="BH22" s="262"/>
      <c r="BI22" s="262"/>
      <c r="BJ22" s="262"/>
      <c r="BK22" s="262"/>
      <c r="BL22" s="262"/>
      <c r="BM22" s="262"/>
      <c r="BN22" s="263"/>
      <c r="BO22" s="261" t="s">
        <v>712</v>
      </c>
      <c r="BP22" s="262"/>
      <c r="BQ22" s="262"/>
      <c r="BR22" s="262"/>
      <c r="BS22" s="262"/>
      <c r="BT22" s="263"/>
      <c r="BU22" s="241"/>
      <c r="BW22" s="280">
        <v>8</v>
      </c>
      <c r="BX22" s="281"/>
    </row>
    <row r="23" spans="1:76" ht="12" customHeight="1">
      <c r="A23" s="10"/>
      <c r="B23" s="174">
        <f t="shared" si="0"/>
        <v>11</v>
      </c>
      <c r="C23" s="291"/>
      <c r="D23" s="292"/>
      <c r="E23" s="292"/>
      <c r="F23" s="292"/>
      <c r="G23" s="292"/>
      <c r="H23" s="293"/>
      <c r="I23" s="288" t="s">
        <v>713</v>
      </c>
      <c r="J23" s="289"/>
      <c r="K23" s="289"/>
      <c r="L23" s="289"/>
      <c r="M23" s="289"/>
      <c r="N23" s="289"/>
      <c r="O23" s="289"/>
      <c r="P23" s="290"/>
      <c r="Q23" s="261" t="s">
        <v>714</v>
      </c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3"/>
      <c r="AO23" s="175">
        <f t="shared" si="1"/>
        <v>11</v>
      </c>
      <c r="AP23" s="291"/>
      <c r="AQ23" s="292"/>
      <c r="AR23" s="292"/>
      <c r="AS23" s="292"/>
      <c r="AT23" s="292"/>
      <c r="AU23" s="293"/>
      <c r="AV23" s="288" t="s">
        <v>715</v>
      </c>
      <c r="AW23" s="289"/>
      <c r="AX23" s="289"/>
      <c r="AY23" s="289"/>
      <c r="AZ23" s="289"/>
      <c r="BA23" s="289"/>
      <c r="BB23" s="289"/>
      <c r="BC23" s="290"/>
      <c r="BD23" s="169"/>
      <c r="BE23" s="11"/>
      <c r="BF23" s="261" t="s">
        <v>716</v>
      </c>
      <c r="BG23" s="262"/>
      <c r="BH23" s="262"/>
      <c r="BI23" s="262"/>
      <c r="BJ23" s="262"/>
      <c r="BK23" s="262"/>
      <c r="BL23" s="262"/>
      <c r="BM23" s="262"/>
      <c r="BN23" s="263"/>
      <c r="BO23" s="261" t="s">
        <v>717</v>
      </c>
      <c r="BP23" s="262"/>
      <c r="BQ23" s="262"/>
      <c r="BR23" s="262"/>
      <c r="BS23" s="262"/>
      <c r="BT23" s="263"/>
      <c r="BU23" s="241"/>
      <c r="BW23" s="280">
        <v>1</v>
      </c>
      <c r="BX23" s="281"/>
    </row>
    <row r="24" spans="1:76" ht="12" customHeight="1">
      <c r="A24" s="10"/>
      <c r="B24" s="174">
        <f t="shared" si="0"/>
        <v>12</v>
      </c>
      <c r="C24" s="291"/>
      <c r="D24" s="292"/>
      <c r="E24" s="292"/>
      <c r="F24" s="292"/>
      <c r="G24" s="292"/>
      <c r="H24" s="293"/>
      <c r="I24" s="288" t="s">
        <v>687</v>
      </c>
      <c r="J24" s="289"/>
      <c r="K24" s="289"/>
      <c r="L24" s="289"/>
      <c r="M24" s="289"/>
      <c r="N24" s="289"/>
      <c r="O24" s="289"/>
      <c r="P24" s="290"/>
      <c r="Q24" s="261" t="s">
        <v>718</v>
      </c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3"/>
      <c r="AO24" s="175">
        <f t="shared" si="1"/>
        <v>12</v>
      </c>
      <c r="AP24" s="291"/>
      <c r="AQ24" s="292"/>
      <c r="AR24" s="292"/>
      <c r="AS24" s="292"/>
      <c r="AT24" s="292"/>
      <c r="AU24" s="293"/>
      <c r="AV24" s="288" t="s">
        <v>719</v>
      </c>
      <c r="AW24" s="289"/>
      <c r="AX24" s="289"/>
      <c r="AY24" s="289"/>
      <c r="AZ24" s="289"/>
      <c r="BA24" s="289"/>
      <c r="BB24" s="289"/>
      <c r="BC24" s="290"/>
      <c r="BD24" s="169"/>
      <c r="BE24" s="11"/>
      <c r="BF24" s="261" t="s">
        <v>720</v>
      </c>
      <c r="BG24" s="262"/>
      <c r="BH24" s="262"/>
      <c r="BI24" s="262"/>
      <c r="BJ24" s="262"/>
      <c r="BK24" s="262"/>
      <c r="BL24" s="262"/>
      <c r="BM24" s="262"/>
      <c r="BN24" s="263"/>
      <c r="BO24" s="261" t="s">
        <v>721</v>
      </c>
      <c r="BP24" s="262"/>
      <c r="BQ24" s="262"/>
      <c r="BR24" s="262"/>
      <c r="BS24" s="262"/>
      <c r="BT24" s="263"/>
      <c r="BU24" s="241"/>
      <c r="BW24" s="280">
        <v>1</v>
      </c>
      <c r="BX24" s="281"/>
    </row>
    <row r="25" spans="1:76" ht="12" customHeight="1">
      <c r="A25" s="10"/>
      <c r="B25" s="174">
        <f t="shared" si="0"/>
        <v>13</v>
      </c>
      <c r="C25" s="291"/>
      <c r="D25" s="292"/>
      <c r="E25" s="292"/>
      <c r="F25" s="292"/>
      <c r="G25" s="292"/>
      <c r="H25" s="293"/>
      <c r="I25" s="288" t="s">
        <v>687</v>
      </c>
      <c r="J25" s="289"/>
      <c r="K25" s="289"/>
      <c r="L25" s="289"/>
      <c r="M25" s="289"/>
      <c r="N25" s="289"/>
      <c r="O25" s="289"/>
      <c r="P25" s="290"/>
      <c r="Q25" s="261" t="s">
        <v>714</v>
      </c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3"/>
      <c r="AO25" s="175">
        <f t="shared" si="1"/>
        <v>13</v>
      </c>
      <c r="AP25" s="291"/>
      <c r="AQ25" s="292"/>
      <c r="AR25" s="292"/>
      <c r="AS25" s="292"/>
      <c r="AT25" s="292"/>
      <c r="AU25" s="293"/>
      <c r="AV25" s="288" t="s">
        <v>722</v>
      </c>
      <c r="AW25" s="289"/>
      <c r="AX25" s="289"/>
      <c r="AY25" s="289"/>
      <c r="AZ25" s="289"/>
      <c r="BA25" s="289"/>
      <c r="BB25" s="289"/>
      <c r="BC25" s="290"/>
      <c r="BD25" s="169"/>
      <c r="BE25" s="11"/>
      <c r="BF25" s="261" t="s">
        <v>723</v>
      </c>
      <c r="BG25" s="262"/>
      <c r="BH25" s="262"/>
      <c r="BI25" s="262"/>
      <c r="BJ25" s="262"/>
      <c r="BK25" s="262"/>
      <c r="BL25" s="262"/>
      <c r="BM25" s="262"/>
      <c r="BN25" s="263"/>
      <c r="BO25" s="261" t="s">
        <v>724</v>
      </c>
      <c r="BP25" s="262"/>
      <c r="BQ25" s="262"/>
      <c r="BR25" s="262"/>
      <c r="BS25" s="262"/>
      <c r="BT25" s="263"/>
      <c r="BU25" s="241"/>
      <c r="BW25" s="280">
        <v>1</v>
      </c>
      <c r="BX25" s="281"/>
    </row>
    <row r="26" spans="1:76" ht="12" customHeight="1">
      <c r="A26" s="10"/>
      <c r="B26" s="174">
        <f t="shared" si="0"/>
        <v>14</v>
      </c>
      <c r="C26" s="291"/>
      <c r="D26" s="292"/>
      <c r="E26" s="292"/>
      <c r="F26" s="292"/>
      <c r="G26" s="292"/>
      <c r="H26" s="293"/>
      <c r="I26" s="288" t="s">
        <v>687</v>
      </c>
      <c r="J26" s="289"/>
      <c r="K26" s="289"/>
      <c r="L26" s="289"/>
      <c r="M26" s="289"/>
      <c r="N26" s="289"/>
      <c r="O26" s="289"/>
      <c r="P26" s="290"/>
      <c r="Q26" s="261" t="s">
        <v>714</v>
      </c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3"/>
      <c r="AO26" s="175">
        <f t="shared" si="1"/>
        <v>14</v>
      </c>
      <c r="AP26" s="291"/>
      <c r="AQ26" s="292"/>
      <c r="AR26" s="292"/>
      <c r="AS26" s="292"/>
      <c r="AT26" s="292"/>
      <c r="AU26" s="293"/>
      <c r="AV26" s="288" t="s">
        <v>725</v>
      </c>
      <c r="AW26" s="289"/>
      <c r="AX26" s="289"/>
      <c r="AY26" s="289"/>
      <c r="AZ26" s="289"/>
      <c r="BA26" s="289"/>
      <c r="BB26" s="289"/>
      <c r="BC26" s="290"/>
      <c r="BD26" s="169"/>
      <c r="BE26" s="11"/>
      <c r="BF26" s="261" t="s">
        <v>726</v>
      </c>
      <c r="BG26" s="262"/>
      <c r="BH26" s="262"/>
      <c r="BI26" s="262"/>
      <c r="BJ26" s="262"/>
      <c r="BK26" s="262"/>
      <c r="BL26" s="262"/>
      <c r="BM26" s="262"/>
      <c r="BN26" s="263"/>
      <c r="BO26" s="261" t="s">
        <v>727</v>
      </c>
      <c r="BP26" s="262"/>
      <c r="BQ26" s="262"/>
      <c r="BR26" s="262"/>
      <c r="BS26" s="262"/>
      <c r="BT26" s="263"/>
      <c r="BU26" s="241"/>
      <c r="BW26" s="280">
        <v>1</v>
      </c>
      <c r="BX26" s="281"/>
    </row>
    <row r="27" spans="1:76" ht="12" customHeight="1">
      <c r="A27" s="10"/>
      <c r="B27" s="174">
        <f t="shared" si="0"/>
        <v>15</v>
      </c>
      <c r="C27" s="291"/>
      <c r="D27" s="292"/>
      <c r="E27" s="292"/>
      <c r="F27" s="292"/>
      <c r="G27" s="292"/>
      <c r="H27" s="293"/>
      <c r="I27" s="288" t="s">
        <v>713</v>
      </c>
      <c r="J27" s="289"/>
      <c r="K27" s="289"/>
      <c r="L27" s="289"/>
      <c r="M27" s="289"/>
      <c r="N27" s="289"/>
      <c r="O27" s="289"/>
      <c r="P27" s="290"/>
      <c r="Q27" s="261" t="s">
        <v>714</v>
      </c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3"/>
      <c r="AO27" s="175">
        <f t="shared" si="1"/>
        <v>15</v>
      </c>
      <c r="AP27" s="291"/>
      <c r="AQ27" s="292"/>
      <c r="AR27" s="292"/>
      <c r="AS27" s="292"/>
      <c r="AT27" s="292"/>
      <c r="AU27" s="293"/>
      <c r="AV27" s="288" t="s">
        <v>728</v>
      </c>
      <c r="AW27" s="289"/>
      <c r="AX27" s="289"/>
      <c r="AY27" s="289"/>
      <c r="AZ27" s="289"/>
      <c r="BA27" s="289"/>
      <c r="BB27" s="289"/>
      <c r="BC27" s="290"/>
      <c r="BD27" s="169"/>
      <c r="BE27" s="11"/>
      <c r="BF27" s="261" t="s">
        <v>729</v>
      </c>
      <c r="BG27" s="262"/>
      <c r="BH27" s="262"/>
      <c r="BI27" s="262"/>
      <c r="BJ27" s="262"/>
      <c r="BK27" s="262"/>
      <c r="BL27" s="262"/>
      <c r="BM27" s="262"/>
      <c r="BN27" s="263"/>
      <c r="BO27" s="261" t="s">
        <v>730</v>
      </c>
      <c r="BP27" s="262"/>
      <c r="BQ27" s="262"/>
      <c r="BR27" s="262"/>
      <c r="BS27" s="262"/>
      <c r="BT27" s="263"/>
      <c r="BU27" s="241"/>
      <c r="BW27" s="280">
        <v>1</v>
      </c>
      <c r="BX27" s="281"/>
    </row>
    <row r="28" spans="1:76" ht="12" customHeight="1">
      <c r="A28" s="10"/>
      <c r="B28" s="174">
        <f t="shared" si="0"/>
        <v>16</v>
      </c>
      <c r="C28" s="291"/>
      <c r="D28" s="292"/>
      <c r="E28" s="292"/>
      <c r="F28" s="292"/>
      <c r="G28" s="292"/>
      <c r="H28" s="293"/>
      <c r="I28" s="288" t="s">
        <v>713</v>
      </c>
      <c r="J28" s="289"/>
      <c r="K28" s="289"/>
      <c r="L28" s="289"/>
      <c r="M28" s="289"/>
      <c r="N28" s="289"/>
      <c r="O28" s="289"/>
      <c r="P28" s="290"/>
      <c r="Q28" s="261" t="s">
        <v>714</v>
      </c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3"/>
      <c r="AO28" s="175">
        <f t="shared" si="1"/>
        <v>16</v>
      </c>
      <c r="AP28" s="291"/>
      <c r="AQ28" s="292"/>
      <c r="AR28" s="292"/>
      <c r="AS28" s="292"/>
      <c r="AT28" s="292"/>
      <c r="AU28" s="293"/>
      <c r="AV28" s="288" t="s">
        <v>731</v>
      </c>
      <c r="AW28" s="289"/>
      <c r="AX28" s="289"/>
      <c r="AY28" s="289"/>
      <c r="AZ28" s="289"/>
      <c r="BA28" s="289"/>
      <c r="BB28" s="289"/>
      <c r="BC28" s="290"/>
      <c r="BD28" s="169"/>
      <c r="BE28" s="11"/>
      <c r="BF28" s="261" t="s">
        <v>732</v>
      </c>
      <c r="BG28" s="262"/>
      <c r="BH28" s="262"/>
      <c r="BI28" s="262"/>
      <c r="BJ28" s="262"/>
      <c r="BK28" s="262"/>
      <c r="BL28" s="262"/>
      <c r="BM28" s="262"/>
      <c r="BN28" s="263"/>
      <c r="BO28" s="261" t="s">
        <v>733</v>
      </c>
      <c r="BP28" s="262"/>
      <c r="BQ28" s="262"/>
      <c r="BR28" s="262"/>
      <c r="BS28" s="262"/>
      <c r="BT28" s="263"/>
      <c r="BU28" s="241"/>
      <c r="BW28" s="280">
        <v>1</v>
      </c>
      <c r="BX28" s="281"/>
    </row>
    <row r="29" spans="1:76" ht="12" customHeight="1">
      <c r="A29" s="10"/>
      <c r="B29" s="174">
        <f t="shared" si="0"/>
        <v>17</v>
      </c>
      <c r="C29" s="291"/>
      <c r="D29" s="292"/>
      <c r="E29" s="292"/>
      <c r="F29" s="292"/>
      <c r="G29" s="292"/>
      <c r="H29" s="293"/>
      <c r="I29" s="288" t="s">
        <v>687</v>
      </c>
      <c r="J29" s="289"/>
      <c r="K29" s="289"/>
      <c r="L29" s="289"/>
      <c r="M29" s="289"/>
      <c r="N29" s="289"/>
      <c r="O29" s="289"/>
      <c r="P29" s="290"/>
      <c r="Q29" s="261" t="s">
        <v>714</v>
      </c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3"/>
      <c r="AO29" s="175">
        <f t="shared" si="1"/>
        <v>17</v>
      </c>
      <c r="AP29" s="291"/>
      <c r="AQ29" s="292"/>
      <c r="AR29" s="292"/>
      <c r="AS29" s="292"/>
      <c r="AT29" s="292"/>
      <c r="AU29" s="293"/>
      <c r="AV29" s="288" t="s">
        <v>734</v>
      </c>
      <c r="AW29" s="289"/>
      <c r="AX29" s="289"/>
      <c r="AY29" s="289"/>
      <c r="AZ29" s="289"/>
      <c r="BA29" s="289"/>
      <c r="BB29" s="289"/>
      <c r="BC29" s="290"/>
      <c r="BD29" s="169"/>
      <c r="BE29" s="11"/>
      <c r="BF29" s="261" t="s">
        <v>735</v>
      </c>
      <c r="BG29" s="262"/>
      <c r="BH29" s="262"/>
      <c r="BI29" s="262"/>
      <c r="BJ29" s="262"/>
      <c r="BK29" s="262"/>
      <c r="BL29" s="262"/>
      <c r="BM29" s="262"/>
      <c r="BN29" s="263"/>
      <c r="BO29" s="261" t="s">
        <v>736</v>
      </c>
      <c r="BP29" s="262"/>
      <c r="BQ29" s="262"/>
      <c r="BR29" s="262"/>
      <c r="BS29" s="262"/>
      <c r="BT29" s="263"/>
      <c r="BU29" s="241"/>
      <c r="BW29" s="280">
        <v>1</v>
      </c>
      <c r="BX29" s="281"/>
    </row>
    <row r="30" spans="1:76" ht="12" customHeight="1">
      <c r="A30" s="10"/>
      <c r="B30" s="174">
        <f t="shared" si="0"/>
        <v>18</v>
      </c>
      <c r="C30" s="291"/>
      <c r="D30" s="292"/>
      <c r="E30" s="292"/>
      <c r="F30" s="292"/>
      <c r="G30" s="292"/>
      <c r="H30" s="293"/>
      <c r="I30" s="288" t="s">
        <v>713</v>
      </c>
      <c r="J30" s="289"/>
      <c r="K30" s="289"/>
      <c r="L30" s="289"/>
      <c r="M30" s="289"/>
      <c r="N30" s="289"/>
      <c r="O30" s="289"/>
      <c r="P30" s="290"/>
      <c r="Q30" s="261" t="s">
        <v>714</v>
      </c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3"/>
      <c r="AO30" s="175">
        <f t="shared" si="1"/>
        <v>18</v>
      </c>
      <c r="AP30" s="291"/>
      <c r="AQ30" s="292"/>
      <c r="AR30" s="292"/>
      <c r="AS30" s="292"/>
      <c r="AT30" s="292"/>
      <c r="AU30" s="293"/>
      <c r="AV30" s="288" t="s">
        <v>737</v>
      </c>
      <c r="AW30" s="289"/>
      <c r="AX30" s="289"/>
      <c r="AY30" s="289"/>
      <c r="AZ30" s="289"/>
      <c r="BA30" s="289"/>
      <c r="BB30" s="289"/>
      <c r="BC30" s="290"/>
      <c r="BD30" s="169"/>
      <c r="BE30" s="11"/>
      <c r="BF30" s="261" t="s">
        <v>738</v>
      </c>
      <c r="BG30" s="262"/>
      <c r="BH30" s="262"/>
      <c r="BI30" s="262"/>
      <c r="BJ30" s="262"/>
      <c r="BK30" s="262"/>
      <c r="BL30" s="262"/>
      <c r="BM30" s="262"/>
      <c r="BN30" s="263"/>
      <c r="BO30" s="261" t="s">
        <v>739</v>
      </c>
      <c r="BP30" s="262"/>
      <c r="BQ30" s="262"/>
      <c r="BR30" s="262"/>
      <c r="BS30" s="262"/>
      <c r="BT30" s="263"/>
      <c r="BU30" s="241"/>
      <c r="BW30" s="280">
        <v>1</v>
      </c>
      <c r="BX30" s="281"/>
    </row>
    <row r="31" spans="1:76" ht="12" customHeight="1">
      <c r="A31" s="10"/>
      <c r="B31" s="174">
        <f t="shared" si="0"/>
        <v>19</v>
      </c>
      <c r="C31" s="291"/>
      <c r="D31" s="292"/>
      <c r="E31" s="292"/>
      <c r="F31" s="292"/>
      <c r="G31" s="292"/>
      <c r="H31" s="293"/>
      <c r="I31" s="288" t="s">
        <v>687</v>
      </c>
      <c r="J31" s="289"/>
      <c r="K31" s="289"/>
      <c r="L31" s="289"/>
      <c r="M31" s="289"/>
      <c r="N31" s="289"/>
      <c r="O31" s="289"/>
      <c r="P31" s="290"/>
      <c r="Q31" s="261" t="s">
        <v>714</v>
      </c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3"/>
      <c r="AO31" s="175">
        <f t="shared" si="1"/>
        <v>19</v>
      </c>
      <c r="AP31" s="291"/>
      <c r="AQ31" s="292"/>
      <c r="AR31" s="292"/>
      <c r="AS31" s="292"/>
      <c r="AT31" s="292"/>
      <c r="AU31" s="293"/>
      <c r="AV31" s="288" t="s">
        <v>740</v>
      </c>
      <c r="AW31" s="289"/>
      <c r="AX31" s="289"/>
      <c r="AY31" s="289"/>
      <c r="AZ31" s="289"/>
      <c r="BA31" s="289"/>
      <c r="BB31" s="289"/>
      <c r="BC31" s="290"/>
      <c r="BD31" s="169"/>
      <c r="BE31" s="11"/>
      <c r="BF31" s="261" t="s">
        <v>741</v>
      </c>
      <c r="BG31" s="262"/>
      <c r="BH31" s="262"/>
      <c r="BI31" s="262"/>
      <c r="BJ31" s="262"/>
      <c r="BK31" s="262"/>
      <c r="BL31" s="262"/>
      <c r="BM31" s="262"/>
      <c r="BN31" s="263"/>
      <c r="BO31" s="261" t="s">
        <v>742</v>
      </c>
      <c r="BP31" s="262"/>
      <c r="BQ31" s="262"/>
      <c r="BR31" s="262"/>
      <c r="BS31" s="262"/>
      <c r="BT31" s="263"/>
      <c r="BU31" s="241"/>
      <c r="BW31" s="280">
        <v>1</v>
      </c>
      <c r="BX31" s="281"/>
    </row>
    <row r="32" spans="1:76" ht="12" customHeight="1">
      <c r="A32" s="10"/>
      <c r="B32" s="174">
        <f t="shared" si="0"/>
        <v>20</v>
      </c>
      <c r="C32" s="291"/>
      <c r="D32" s="292"/>
      <c r="E32" s="292"/>
      <c r="F32" s="292"/>
      <c r="G32" s="292"/>
      <c r="H32" s="293"/>
      <c r="I32" s="288" t="s">
        <v>687</v>
      </c>
      <c r="J32" s="289"/>
      <c r="K32" s="289"/>
      <c r="L32" s="289"/>
      <c r="M32" s="289"/>
      <c r="N32" s="289"/>
      <c r="O32" s="289"/>
      <c r="P32" s="290"/>
      <c r="Q32" s="261" t="s">
        <v>714</v>
      </c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3"/>
      <c r="AO32" s="175">
        <f t="shared" si="1"/>
        <v>20</v>
      </c>
      <c r="AP32" s="291"/>
      <c r="AQ32" s="292"/>
      <c r="AR32" s="292"/>
      <c r="AS32" s="292"/>
      <c r="AT32" s="292"/>
      <c r="AU32" s="293"/>
      <c r="AV32" s="288" t="s">
        <v>743</v>
      </c>
      <c r="AW32" s="289"/>
      <c r="AX32" s="289"/>
      <c r="AY32" s="289"/>
      <c r="AZ32" s="289"/>
      <c r="BA32" s="289"/>
      <c r="BB32" s="289"/>
      <c r="BC32" s="290"/>
      <c r="BD32" s="169"/>
      <c r="BE32" s="11"/>
      <c r="BF32" s="261" t="s">
        <v>744</v>
      </c>
      <c r="BG32" s="262"/>
      <c r="BH32" s="262"/>
      <c r="BI32" s="262"/>
      <c r="BJ32" s="262"/>
      <c r="BK32" s="262"/>
      <c r="BL32" s="262"/>
      <c r="BM32" s="262"/>
      <c r="BN32" s="263"/>
      <c r="BO32" s="261" t="s">
        <v>745</v>
      </c>
      <c r="BP32" s="262"/>
      <c r="BQ32" s="262"/>
      <c r="BR32" s="262"/>
      <c r="BS32" s="262"/>
      <c r="BT32" s="263"/>
      <c r="BU32" s="241"/>
      <c r="BW32" s="280">
        <v>1</v>
      </c>
      <c r="BX32" s="281"/>
    </row>
    <row r="33" spans="1:76" ht="12" customHeight="1">
      <c r="A33" s="10"/>
      <c r="B33" s="174">
        <f t="shared" si="0"/>
        <v>21</v>
      </c>
      <c r="C33" s="291"/>
      <c r="D33" s="292"/>
      <c r="E33" s="292"/>
      <c r="F33" s="292"/>
      <c r="G33" s="292"/>
      <c r="H33" s="293"/>
      <c r="I33" s="288" t="s">
        <v>687</v>
      </c>
      <c r="J33" s="289"/>
      <c r="K33" s="289"/>
      <c r="L33" s="289"/>
      <c r="M33" s="289"/>
      <c r="N33" s="289"/>
      <c r="O33" s="289"/>
      <c r="P33" s="290"/>
      <c r="Q33" s="261" t="s">
        <v>714</v>
      </c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3"/>
      <c r="AO33" s="175">
        <f t="shared" si="1"/>
        <v>21</v>
      </c>
      <c r="AP33" s="291"/>
      <c r="AQ33" s="292"/>
      <c r="AR33" s="292"/>
      <c r="AS33" s="292"/>
      <c r="AT33" s="292"/>
      <c r="AU33" s="293"/>
      <c r="AV33" s="288" t="s">
        <v>746</v>
      </c>
      <c r="AW33" s="289"/>
      <c r="AX33" s="289"/>
      <c r="AY33" s="289"/>
      <c r="AZ33" s="289"/>
      <c r="BA33" s="289"/>
      <c r="BB33" s="289"/>
      <c r="BC33" s="290"/>
      <c r="BD33" s="169"/>
      <c r="BE33" s="11"/>
      <c r="BF33" s="261" t="s">
        <v>747</v>
      </c>
      <c r="BG33" s="262"/>
      <c r="BH33" s="262"/>
      <c r="BI33" s="262"/>
      <c r="BJ33" s="262"/>
      <c r="BK33" s="262"/>
      <c r="BL33" s="262"/>
      <c r="BM33" s="262"/>
      <c r="BN33" s="263"/>
      <c r="BO33" s="261" t="s">
        <v>748</v>
      </c>
      <c r="BP33" s="262"/>
      <c r="BQ33" s="262"/>
      <c r="BR33" s="262"/>
      <c r="BS33" s="262"/>
      <c r="BT33" s="263"/>
      <c r="BU33" s="241"/>
      <c r="BW33" s="280">
        <v>1</v>
      </c>
      <c r="BX33" s="281"/>
    </row>
    <row r="34" spans="1:76" ht="12" customHeight="1">
      <c r="A34" s="10"/>
      <c r="B34" s="174">
        <f t="shared" si="0"/>
        <v>22</v>
      </c>
      <c r="C34" s="291"/>
      <c r="D34" s="292"/>
      <c r="E34" s="292"/>
      <c r="F34" s="292"/>
      <c r="G34" s="292"/>
      <c r="H34" s="293"/>
      <c r="I34" s="288" t="s">
        <v>713</v>
      </c>
      <c r="J34" s="289"/>
      <c r="K34" s="289"/>
      <c r="L34" s="289"/>
      <c r="M34" s="289"/>
      <c r="N34" s="289"/>
      <c r="O34" s="289"/>
      <c r="P34" s="290"/>
      <c r="Q34" s="261" t="s">
        <v>714</v>
      </c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3"/>
      <c r="AO34" s="175">
        <f t="shared" si="1"/>
        <v>22</v>
      </c>
      <c r="AP34" s="291"/>
      <c r="AQ34" s="292"/>
      <c r="AR34" s="292"/>
      <c r="AS34" s="292"/>
      <c r="AT34" s="292"/>
      <c r="AU34" s="293"/>
      <c r="AV34" s="288" t="s">
        <v>749</v>
      </c>
      <c r="AW34" s="289"/>
      <c r="AX34" s="289"/>
      <c r="AY34" s="289"/>
      <c r="AZ34" s="289"/>
      <c r="BA34" s="289"/>
      <c r="BB34" s="289"/>
      <c r="BC34" s="290"/>
      <c r="BD34" s="169"/>
      <c r="BE34" s="11"/>
      <c r="BF34" s="261" t="s">
        <v>750</v>
      </c>
      <c r="BG34" s="262"/>
      <c r="BH34" s="262"/>
      <c r="BI34" s="262"/>
      <c r="BJ34" s="262"/>
      <c r="BK34" s="262"/>
      <c r="BL34" s="262"/>
      <c r="BM34" s="262"/>
      <c r="BN34" s="263"/>
      <c r="BO34" s="261" t="s">
        <v>751</v>
      </c>
      <c r="BP34" s="262"/>
      <c r="BQ34" s="262"/>
      <c r="BR34" s="262"/>
      <c r="BS34" s="262"/>
      <c r="BT34" s="263"/>
      <c r="BU34" s="241"/>
      <c r="BW34" s="280">
        <v>1</v>
      </c>
      <c r="BX34" s="281"/>
    </row>
    <row r="35" spans="1:76" ht="12" customHeight="1">
      <c r="A35" s="10"/>
      <c r="B35" s="174">
        <f t="shared" si="0"/>
        <v>23</v>
      </c>
      <c r="C35" s="291"/>
      <c r="D35" s="292"/>
      <c r="E35" s="292"/>
      <c r="F35" s="292"/>
      <c r="G35" s="292"/>
      <c r="H35" s="293"/>
      <c r="I35" s="288" t="s">
        <v>687</v>
      </c>
      <c r="J35" s="289"/>
      <c r="K35" s="289"/>
      <c r="L35" s="289"/>
      <c r="M35" s="289"/>
      <c r="N35" s="289"/>
      <c r="O35" s="289"/>
      <c r="P35" s="290"/>
      <c r="Q35" s="261" t="s">
        <v>752</v>
      </c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3"/>
      <c r="AO35" s="175">
        <f t="shared" si="1"/>
        <v>23</v>
      </c>
      <c r="AP35" s="291"/>
      <c r="AQ35" s="292"/>
      <c r="AR35" s="292"/>
      <c r="AS35" s="292"/>
      <c r="AT35" s="292"/>
      <c r="AU35" s="293"/>
      <c r="AV35" s="288" t="s">
        <v>753</v>
      </c>
      <c r="AW35" s="289"/>
      <c r="AX35" s="289"/>
      <c r="AY35" s="289"/>
      <c r="AZ35" s="289"/>
      <c r="BA35" s="289"/>
      <c r="BB35" s="289"/>
      <c r="BC35" s="290"/>
      <c r="BD35" s="169"/>
      <c r="BE35" s="11"/>
      <c r="BF35" s="261" t="s">
        <v>754</v>
      </c>
      <c r="BG35" s="262"/>
      <c r="BH35" s="262"/>
      <c r="BI35" s="262"/>
      <c r="BJ35" s="262"/>
      <c r="BK35" s="262"/>
      <c r="BL35" s="262"/>
      <c r="BM35" s="262"/>
      <c r="BN35" s="263"/>
      <c r="BO35" s="261" t="s">
        <v>755</v>
      </c>
      <c r="BP35" s="262"/>
      <c r="BQ35" s="262"/>
      <c r="BR35" s="262"/>
      <c r="BS35" s="262"/>
      <c r="BT35" s="263"/>
      <c r="BU35" s="241"/>
      <c r="BW35" s="280">
        <v>1</v>
      </c>
      <c r="BX35" s="281"/>
    </row>
    <row r="36" spans="1:76" ht="12" customHeight="1">
      <c r="A36" s="10"/>
      <c r="B36" s="174">
        <f t="shared" si="0"/>
        <v>24</v>
      </c>
      <c r="C36" s="286"/>
      <c r="D36" s="285"/>
      <c r="E36" s="285"/>
      <c r="F36" s="285"/>
      <c r="G36" s="285"/>
      <c r="H36" s="287"/>
      <c r="I36" s="288" t="s">
        <v>687</v>
      </c>
      <c r="J36" s="289"/>
      <c r="K36" s="289"/>
      <c r="L36" s="289"/>
      <c r="M36" s="289"/>
      <c r="N36" s="289"/>
      <c r="O36" s="289"/>
      <c r="P36" s="290"/>
      <c r="Q36" s="261" t="s">
        <v>752</v>
      </c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3"/>
      <c r="AO36" s="175">
        <f t="shared" si="1"/>
        <v>24</v>
      </c>
      <c r="AP36" s="291"/>
      <c r="AQ36" s="292"/>
      <c r="AR36" s="292"/>
      <c r="AS36" s="292"/>
      <c r="AT36" s="292"/>
      <c r="AU36" s="293"/>
      <c r="AV36" s="288" t="s">
        <v>756</v>
      </c>
      <c r="AW36" s="289"/>
      <c r="AX36" s="289"/>
      <c r="AY36" s="289"/>
      <c r="AZ36" s="289"/>
      <c r="BA36" s="289"/>
      <c r="BB36" s="289"/>
      <c r="BC36" s="290"/>
      <c r="BD36" s="177"/>
      <c r="BE36" s="11"/>
      <c r="BF36" s="261" t="s">
        <v>757</v>
      </c>
      <c r="BG36" s="262"/>
      <c r="BH36" s="262"/>
      <c r="BI36" s="262"/>
      <c r="BJ36" s="262"/>
      <c r="BK36" s="262"/>
      <c r="BL36" s="262"/>
      <c r="BM36" s="262"/>
      <c r="BN36" s="263"/>
      <c r="BO36" s="261" t="s">
        <v>758</v>
      </c>
      <c r="BP36" s="262"/>
      <c r="BQ36" s="262"/>
      <c r="BR36" s="262"/>
      <c r="BS36" s="262"/>
      <c r="BT36" s="263"/>
      <c r="BU36" s="241"/>
      <c r="BW36" s="280">
        <v>1</v>
      </c>
      <c r="BX36" s="281"/>
    </row>
    <row r="37" spans="1:76" ht="12" customHeight="1">
      <c r="A37" s="10"/>
      <c r="B37" s="174">
        <f t="shared" si="0"/>
        <v>25</v>
      </c>
      <c r="C37" s="297" t="s">
        <v>676</v>
      </c>
      <c r="D37" s="298"/>
      <c r="E37" s="298"/>
      <c r="F37" s="298"/>
      <c r="G37" s="298"/>
      <c r="H37" s="299"/>
      <c r="I37" s="288" t="s">
        <v>49</v>
      </c>
      <c r="J37" s="289"/>
      <c r="K37" s="289"/>
      <c r="L37" s="289"/>
      <c r="M37" s="289"/>
      <c r="N37" s="289"/>
      <c r="O37" s="289"/>
      <c r="P37" s="290"/>
      <c r="Q37" s="261" t="s">
        <v>677</v>
      </c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3"/>
      <c r="AO37" s="175">
        <f t="shared" si="1"/>
        <v>25</v>
      </c>
      <c r="AP37" s="291"/>
      <c r="AQ37" s="292"/>
      <c r="AR37" s="292"/>
      <c r="AS37" s="292"/>
      <c r="AT37" s="292"/>
      <c r="AU37" s="293"/>
      <c r="AV37" s="288" t="s">
        <v>49</v>
      </c>
      <c r="AW37" s="289"/>
      <c r="AX37" s="289"/>
      <c r="AY37" s="289"/>
      <c r="AZ37" s="289"/>
      <c r="BA37" s="289"/>
      <c r="BB37" s="289"/>
      <c r="BC37" s="290"/>
      <c r="BD37" s="177"/>
      <c r="BE37" s="11"/>
      <c r="BF37" s="261" t="s">
        <v>759</v>
      </c>
      <c r="BG37" s="262"/>
      <c r="BH37" s="262"/>
      <c r="BI37" s="262"/>
      <c r="BJ37" s="262"/>
      <c r="BK37" s="262"/>
      <c r="BL37" s="262"/>
      <c r="BM37" s="262"/>
      <c r="BN37" s="263"/>
      <c r="BO37" s="261" t="s">
        <v>760</v>
      </c>
      <c r="BP37" s="262"/>
      <c r="BQ37" s="262"/>
      <c r="BR37" s="262"/>
      <c r="BS37" s="262"/>
      <c r="BT37" s="263"/>
      <c r="BU37" s="241"/>
      <c r="BW37" s="280">
        <v>30</v>
      </c>
      <c r="BX37" s="281"/>
    </row>
    <row r="38" spans="1:76" ht="12" customHeight="1">
      <c r="A38" s="10"/>
      <c r="B38" s="174">
        <f t="shared" si="0"/>
        <v>26</v>
      </c>
      <c r="C38" s="291"/>
      <c r="D38" s="292"/>
      <c r="E38" s="292"/>
      <c r="F38" s="292"/>
      <c r="G38" s="292"/>
      <c r="H38" s="293"/>
      <c r="I38" s="288" t="s">
        <v>51</v>
      </c>
      <c r="J38" s="289"/>
      <c r="K38" s="289"/>
      <c r="L38" s="289"/>
      <c r="M38" s="289"/>
      <c r="N38" s="289"/>
      <c r="O38" s="289"/>
      <c r="P38" s="290"/>
      <c r="Q38" s="261" t="s">
        <v>677</v>
      </c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3"/>
      <c r="AO38" s="175">
        <f t="shared" si="1"/>
        <v>26</v>
      </c>
      <c r="AP38" s="291"/>
      <c r="AQ38" s="292"/>
      <c r="AR38" s="292"/>
      <c r="AS38" s="292"/>
      <c r="AT38" s="292"/>
      <c r="AU38" s="293"/>
      <c r="AV38" s="288" t="s">
        <v>51</v>
      </c>
      <c r="AW38" s="289"/>
      <c r="AX38" s="289"/>
      <c r="AY38" s="289"/>
      <c r="AZ38" s="289"/>
      <c r="BA38" s="289"/>
      <c r="BB38" s="289"/>
      <c r="BC38" s="290"/>
      <c r="BD38" s="177"/>
      <c r="BE38" s="11"/>
      <c r="BF38" s="261" t="s">
        <v>51</v>
      </c>
      <c r="BG38" s="262"/>
      <c r="BH38" s="262"/>
      <c r="BI38" s="262"/>
      <c r="BJ38" s="262"/>
      <c r="BK38" s="262"/>
      <c r="BL38" s="262"/>
      <c r="BM38" s="262"/>
      <c r="BN38" s="263"/>
      <c r="BO38" s="261" t="s">
        <v>761</v>
      </c>
      <c r="BP38" s="262"/>
      <c r="BQ38" s="262"/>
      <c r="BR38" s="262"/>
      <c r="BS38" s="262"/>
      <c r="BT38" s="263"/>
      <c r="BU38" s="241"/>
      <c r="BW38" s="280">
        <v>16</v>
      </c>
      <c r="BX38" s="281"/>
    </row>
    <row r="39" spans="1:76" ht="12" customHeight="1">
      <c r="A39" s="10"/>
      <c r="B39" s="174">
        <f t="shared" si="0"/>
        <v>27</v>
      </c>
      <c r="C39" s="291"/>
      <c r="D39" s="292"/>
      <c r="E39" s="292"/>
      <c r="F39" s="292"/>
      <c r="G39" s="292"/>
      <c r="H39" s="293"/>
      <c r="I39" s="288" t="s">
        <v>52</v>
      </c>
      <c r="J39" s="289"/>
      <c r="K39" s="289"/>
      <c r="L39" s="289"/>
      <c r="M39" s="289"/>
      <c r="N39" s="289"/>
      <c r="O39" s="289"/>
      <c r="P39" s="290"/>
      <c r="Q39" s="261" t="s">
        <v>677</v>
      </c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3"/>
      <c r="AO39" s="175">
        <f t="shared" si="1"/>
        <v>27</v>
      </c>
      <c r="AP39" s="291"/>
      <c r="AQ39" s="292"/>
      <c r="AR39" s="292"/>
      <c r="AS39" s="292"/>
      <c r="AT39" s="292"/>
      <c r="AU39" s="293"/>
      <c r="AV39" s="288" t="s">
        <v>52</v>
      </c>
      <c r="AW39" s="289"/>
      <c r="AX39" s="289"/>
      <c r="AY39" s="289"/>
      <c r="AZ39" s="289"/>
      <c r="BA39" s="289"/>
      <c r="BB39" s="289"/>
      <c r="BC39" s="290"/>
      <c r="BD39" s="177"/>
      <c r="BE39" s="11"/>
      <c r="BF39" s="261" t="s">
        <v>52</v>
      </c>
      <c r="BG39" s="262"/>
      <c r="BH39" s="262"/>
      <c r="BI39" s="262"/>
      <c r="BJ39" s="262"/>
      <c r="BK39" s="262"/>
      <c r="BL39" s="262"/>
      <c r="BM39" s="262"/>
      <c r="BN39" s="263"/>
      <c r="BO39" s="261" t="s">
        <v>762</v>
      </c>
      <c r="BP39" s="262"/>
      <c r="BQ39" s="262"/>
      <c r="BR39" s="262"/>
      <c r="BS39" s="262"/>
      <c r="BT39" s="263"/>
      <c r="BU39" s="241"/>
      <c r="BW39" s="280">
        <v>30</v>
      </c>
      <c r="BX39" s="281"/>
    </row>
    <row r="40" spans="1:76" ht="12" customHeight="1">
      <c r="A40" s="10"/>
      <c r="B40" s="174">
        <f t="shared" si="0"/>
        <v>28</v>
      </c>
      <c r="C40" s="303" t="s">
        <v>687</v>
      </c>
      <c r="D40" s="304"/>
      <c r="E40" s="304"/>
      <c r="F40" s="304"/>
      <c r="G40" s="304"/>
      <c r="H40" s="305"/>
      <c r="I40" s="288" t="s">
        <v>687</v>
      </c>
      <c r="J40" s="289"/>
      <c r="K40" s="289"/>
      <c r="L40" s="289"/>
      <c r="M40" s="289"/>
      <c r="N40" s="289"/>
      <c r="O40" s="289"/>
      <c r="P40" s="290"/>
      <c r="Q40" s="261" t="s">
        <v>752</v>
      </c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3"/>
      <c r="AO40" s="175">
        <f t="shared" si="1"/>
        <v>28</v>
      </c>
      <c r="AP40" s="291"/>
      <c r="AQ40" s="292"/>
      <c r="AR40" s="292"/>
      <c r="AS40" s="292"/>
      <c r="AT40" s="292"/>
      <c r="AU40" s="293"/>
      <c r="AV40" s="288" t="s">
        <v>21</v>
      </c>
      <c r="AW40" s="289"/>
      <c r="AX40" s="289"/>
      <c r="AY40" s="289"/>
      <c r="AZ40" s="289"/>
      <c r="BA40" s="289"/>
      <c r="BB40" s="289"/>
      <c r="BC40" s="290"/>
      <c r="BD40" s="177"/>
      <c r="BE40" s="11"/>
      <c r="BF40" s="261" t="s">
        <v>763</v>
      </c>
      <c r="BG40" s="262"/>
      <c r="BH40" s="262"/>
      <c r="BI40" s="262"/>
      <c r="BJ40" s="262"/>
      <c r="BK40" s="262"/>
      <c r="BL40" s="262"/>
      <c r="BM40" s="262"/>
      <c r="BN40" s="263"/>
      <c r="BO40" s="261" t="s">
        <v>53</v>
      </c>
      <c r="BP40" s="262"/>
      <c r="BQ40" s="262"/>
      <c r="BR40" s="262"/>
      <c r="BS40" s="262"/>
      <c r="BT40" s="263"/>
      <c r="BU40" s="241"/>
      <c r="BW40" s="280">
        <v>1</v>
      </c>
      <c r="BX40" s="281"/>
    </row>
    <row r="41" spans="1:76" ht="12" customHeight="1">
      <c r="A41" s="178"/>
      <c r="B41" s="174">
        <f t="shared" si="0"/>
        <v>29</v>
      </c>
      <c r="C41" s="297" t="s">
        <v>676</v>
      </c>
      <c r="D41" s="298"/>
      <c r="E41" s="298"/>
      <c r="F41" s="298"/>
      <c r="G41" s="298"/>
      <c r="H41" s="299"/>
      <c r="I41" s="288" t="s">
        <v>544</v>
      </c>
      <c r="J41" s="289"/>
      <c r="K41" s="289"/>
      <c r="L41" s="289"/>
      <c r="M41" s="289"/>
      <c r="N41" s="289"/>
      <c r="O41" s="289"/>
      <c r="P41" s="290"/>
      <c r="Q41" s="261" t="s">
        <v>677</v>
      </c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3"/>
      <c r="AO41" s="175">
        <f t="shared" si="1"/>
        <v>29</v>
      </c>
      <c r="AP41" s="291"/>
      <c r="AQ41" s="292"/>
      <c r="AR41" s="292"/>
      <c r="AS41" s="292"/>
      <c r="AT41" s="292"/>
      <c r="AU41" s="293"/>
      <c r="AV41" s="288" t="s">
        <v>544</v>
      </c>
      <c r="AW41" s="289"/>
      <c r="AX41" s="289"/>
      <c r="AY41" s="289"/>
      <c r="AZ41" s="289"/>
      <c r="BA41" s="289"/>
      <c r="BB41" s="289"/>
      <c r="BC41" s="290"/>
      <c r="BD41" s="179"/>
      <c r="BE41" s="180"/>
      <c r="BF41" s="261" t="s">
        <v>764</v>
      </c>
      <c r="BG41" s="262"/>
      <c r="BH41" s="262"/>
      <c r="BI41" s="262"/>
      <c r="BJ41" s="262"/>
      <c r="BK41" s="262"/>
      <c r="BL41" s="262"/>
      <c r="BM41" s="262"/>
      <c r="BN41" s="263"/>
      <c r="BO41" s="261" t="s">
        <v>765</v>
      </c>
      <c r="BP41" s="262"/>
      <c r="BQ41" s="262"/>
      <c r="BR41" s="262"/>
      <c r="BS41" s="262"/>
      <c r="BT41" s="263"/>
      <c r="BU41" s="241"/>
      <c r="BW41" s="280">
        <v>1</v>
      </c>
      <c r="BX41" s="281"/>
    </row>
    <row r="42" spans="1:76" ht="12" customHeight="1">
      <c r="A42" s="178"/>
      <c r="B42" s="174">
        <f t="shared" si="0"/>
        <v>30</v>
      </c>
      <c r="C42" s="291"/>
      <c r="D42" s="292"/>
      <c r="E42" s="292"/>
      <c r="F42" s="292"/>
      <c r="G42" s="292"/>
      <c r="H42" s="293"/>
      <c r="I42" s="288" t="s">
        <v>20</v>
      </c>
      <c r="J42" s="289"/>
      <c r="K42" s="289"/>
      <c r="L42" s="289"/>
      <c r="M42" s="289"/>
      <c r="N42" s="289"/>
      <c r="O42" s="289"/>
      <c r="P42" s="290"/>
      <c r="Q42" s="261" t="s">
        <v>677</v>
      </c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3"/>
      <c r="AO42" s="175">
        <f t="shared" si="1"/>
        <v>30</v>
      </c>
      <c r="AP42" s="291"/>
      <c r="AQ42" s="292"/>
      <c r="AR42" s="292"/>
      <c r="AS42" s="292"/>
      <c r="AT42" s="292"/>
      <c r="AU42" s="293"/>
      <c r="AV42" s="288" t="s">
        <v>20</v>
      </c>
      <c r="AW42" s="289"/>
      <c r="AX42" s="289"/>
      <c r="AY42" s="289"/>
      <c r="AZ42" s="289"/>
      <c r="BA42" s="289"/>
      <c r="BB42" s="289"/>
      <c r="BC42" s="290"/>
      <c r="BD42" s="179"/>
      <c r="BE42" s="180"/>
      <c r="BF42" s="261" t="s">
        <v>766</v>
      </c>
      <c r="BG42" s="262"/>
      <c r="BH42" s="262"/>
      <c r="BI42" s="262"/>
      <c r="BJ42" s="262"/>
      <c r="BK42" s="262"/>
      <c r="BL42" s="262"/>
      <c r="BM42" s="262"/>
      <c r="BN42" s="263"/>
      <c r="BO42" s="261" t="s">
        <v>54</v>
      </c>
      <c r="BP42" s="262"/>
      <c r="BQ42" s="262"/>
      <c r="BR42" s="262"/>
      <c r="BS42" s="262"/>
      <c r="BT42" s="263"/>
      <c r="BU42" s="241"/>
      <c r="BW42" s="280">
        <v>8</v>
      </c>
      <c r="BX42" s="281"/>
    </row>
    <row r="43" spans="1:76" ht="12" customHeight="1">
      <c r="A43" s="178"/>
      <c r="B43" s="174">
        <f t="shared" si="0"/>
        <v>31</v>
      </c>
      <c r="C43" s="291"/>
      <c r="D43" s="292"/>
      <c r="E43" s="292"/>
      <c r="F43" s="292"/>
      <c r="G43" s="292"/>
      <c r="H43" s="293"/>
      <c r="I43" s="288" t="s">
        <v>548</v>
      </c>
      <c r="J43" s="289"/>
      <c r="K43" s="289"/>
      <c r="L43" s="289"/>
      <c r="M43" s="289"/>
      <c r="N43" s="289"/>
      <c r="O43" s="289"/>
      <c r="P43" s="290"/>
      <c r="Q43" s="261" t="s">
        <v>677</v>
      </c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3"/>
      <c r="AO43" s="175">
        <f t="shared" si="1"/>
        <v>31</v>
      </c>
      <c r="AP43" s="291"/>
      <c r="AQ43" s="292"/>
      <c r="AR43" s="292"/>
      <c r="AS43" s="292"/>
      <c r="AT43" s="292"/>
      <c r="AU43" s="293"/>
      <c r="AV43" s="288" t="s">
        <v>548</v>
      </c>
      <c r="AW43" s="289"/>
      <c r="AX43" s="289"/>
      <c r="AY43" s="289"/>
      <c r="AZ43" s="289"/>
      <c r="BA43" s="289"/>
      <c r="BB43" s="289"/>
      <c r="BC43" s="290"/>
      <c r="BD43" s="179"/>
      <c r="BE43" s="180"/>
      <c r="BF43" s="261" t="s">
        <v>548</v>
      </c>
      <c r="BG43" s="262"/>
      <c r="BH43" s="262"/>
      <c r="BI43" s="262"/>
      <c r="BJ43" s="262"/>
      <c r="BK43" s="262"/>
      <c r="BL43" s="262"/>
      <c r="BM43" s="262"/>
      <c r="BN43" s="263"/>
      <c r="BO43" s="261" t="s">
        <v>161</v>
      </c>
      <c r="BP43" s="262"/>
      <c r="BQ43" s="262"/>
      <c r="BR43" s="262"/>
      <c r="BS43" s="262"/>
      <c r="BT43" s="263"/>
      <c r="BU43" s="241"/>
      <c r="BW43" s="280">
        <v>7</v>
      </c>
      <c r="BX43" s="281"/>
    </row>
    <row r="44" spans="1:76" ht="12" customHeight="1">
      <c r="A44" s="178"/>
      <c r="B44" s="174">
        <f t="shared" si="0"/>
        <v>32</v>
      </c>
      <c r="C44" s="291"/>
      <c r="D44" s="292"/>
      <c r="E44" s="292"/>
      <c r="F44" s="292"/>
      <c r="G44" s="292"/>
      <c r="H44" s="293"/>
      <c r="I44" s="288" t="s">
        <v>550</v>
      </c>
      <c r="J44" s="289"/>
      <c r="K44" s="289"/>
      <c r="L44" s="289"/>
      <c r="M44" s="289"/>
      <c r="N44" s="289"/>
      <c r="O44" s="289"/>
      <c r="P44" s="290"/>
      <c r="Q44" s="261" t="s">
        <v>677</v>
      </c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3"/>
      <c r="AO44" s="175">
        <f t="shared" si="1"/>
        <v>32</v>
      </c>
      <c r="AP44" s="291"/>
      <c r="AQ44" s="292"/>
      <c r="AR44" s="292"/>
      <c r="AS44" s="292"/>
      <c r="AT44" s="292"/>
      <c r="AU44" s="293"/>
      <c r="AV44" s="288" t="s">
        <v>550</v>
      </c>
      <c r="AW44" s="289"/>
      <c r="AX44" s="289"/>
      <c r="AY44" s="289"/>
      <c r="AZ44" s="289"/>
      <c r="BA44" s="289"/>
      <c r="BB44" s="289"/>
      <c r="BC44" s="290"/>
      <c r="BD44" s="179"/>
      <c r="BE44" s="180"/>
      <c r="BF44" s="261" t="s">
        <v>550</v>
      </c>
      <c r="BG44" s="262"/>
      <c r="BH44" s="262"/>
      <c r="BI44" s="262"/>
      <c r="BJ44" s="262"/>
      <c r="BK44" s="262"/>
      <c r="BL44" s="262"/>
      <c r="BM44" s="262"/>
      <c r="BN44" s="263"/>
      <c r="BO44" s="261" t="s">
        <v>56</v>
      </c>
      <c r="BP44" s="262"/>
      <c r="BQ44" s="262"/>
      <c r="BR44" s="262"/>
      <c r="BS44" s="262"/>
      <c r="BT44" s="263"/>
      <c r="BU44" s="241"/>
      <c r="BW44" s="280">
        <v>75</v>
      </c>
      <c r="BX44" s="281"/>
    </row>
    <row r="45" spans="1:76" ht="12" customHeight="1">
      <c r="A45" s="178"/>
      <c r="B45" s="174">
        <f t="shared" si="0"/>
        <v>33</v>
      </c>
      <c r="C45" s="291"/>
      <c r="D45" s="292"/>
      <c r="E45" s="292"/>
      <c r="F45" s="292"/>
      <c r="G45" s="292"/>
      <c r="H45" s="293"/>
      <c r="I45" s="288" t="s">
        <v>767</v>
      </c>
      <c r="J45" s="289"/>
      <c r="K45" s="289"/>
      <c r="L45" s="289"/>
      <c r="M45" s="289"/>
      <c r="N45" s="289"/>
      <c r="O45" s="289"/>
      <c r="P45" s="290"/>
      <c r="Q45" s="261" t="s">
        <v>677</v>
      </c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3"/>
      <c r="AO45" s="175">
        <f t="shared" si="1"/>
        <v>33</v>
      </c>
      <c r="AP45" s="291"/>
      <c r="AQ45" s="292"/>
      <c r="AR45" s="292"/>
      <c r="AS45" s="292"/>
      <c r="AT45" s="292"/>
      <c r="AU45" s="293"/>
      <c r="AV45" s="288" t="s">
        <v>768</v>
      </c>
      <c r="AW45" s="289"/>
      <c r="AX45" s="289"/>
      <c r="AY45" s="289"/>
      <c r="AZ45" s="289"/>
      <c r="BA45" s="289"/>
      <c r="BB45" s="289"/>
      <c r="BC45" s="290"/>
      <c r="BD45" s="179"/>
      <c r="BE45" s="180"/>
      <c r="BF45" s="261" t="s">
        <v>768</v>
      </c>
      <c r="BG45" s="262"/>
      <c r="BH45" s="262"/>
      <c r="BI45" s="262"/>
      <c r="BJ45" s="262"/>
      <c r="BK45" s="262"/>
      <c r="BL45" s="262"/>
      <c r="BM45" s="262"/>
      <c r="BN45" s="263"/>
      <c r="BO45" s="261" t="s">
        <v>769</v>
      </c>
      <c r="BP45" s="262"/>
      <c r="BQ45" s="262"/>
      <c r="BR45" s="262"/>
      <c r="BS45" s="262"/>
      <c r="BT45" s="263"/>
      <c r="BU45" s="241"/>
      <c r="BW45" s="280">
        <v>50</v>
      </c>
      <c r="BX45" s="281"/>
    </row>
    <row r="46" spans="1:76" ht="12" customHeight="1">
      <c r="A46" s="178"/>
      <c r="B46" s="174">
        <f t="shared" si="0"/>
        <v>34</v>
      </c>
      <c r="C46" s="291"/>
      <c r="D46" s="292"/>
      <c r="E46" s="292"/>
      <c r="F46" s="292"/>
      <c r="G46" s="292"/>
      <c r="H46" s="293"/>
      <c r="I46" s="288" t="s">
        <v>556</v>
      </c>
      <c r="J46" s="289"/>
      <c r="K46" s="289"/>
      <c r="L46" s="289"/>
      <c r="M46" s="289"/>
      <c r="N46" s="289"/>
      <c r="O46" s="289"/>
      <c r="P46" s="290"/>
      <c r="Q46" s="261" t="s">
        <v>677</v>
      </c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3"/>
      <c r="AO46" s="175">
        <f t="shared" si="1"/>
        <v>34</v>
      </c>
      <c r="AP46" s="291"/>
      <c r="AQ46" s="292"/>
      <c r="AR46" s="292"/>
      <c r="AS46" s="292"/>
      <c r="AT46" s="292"/>
      <c r="AU46" s="293"/>
      <c r="AV46" s="288" t="s">
        <v>556</v>
      </c>
      <c r="AW46" s="289"/>
      <c r="AX46" s="289"/>
      <c r="AY46" s="289"/>
      <c r="AZ46" s="289"/>
      <c r="BA46" s="289"/>
      <c r="BB46" s="289"/>
      <c r="BC46" s="290"/>
      <c r="BD46" s="179"/>
      <c r="BE46" s="180"/>
      <c r="BF46" s="261" t="s">
        <v>770</v>
      </c>
      <c r="BG46" s="262"/>
      <c r="BH46" s="262"/>
      <c r="BI46" s="262"/>
      <c r="BJ46" s="262"/>
      <c r="BK46" s="262"/>
      <c r="BL46" s="262"/>
      <c r="BM46" s="262"/>
      <c r="BN46" s="263"/>
      <c r="BO46" s="261" t="s">
        <v>771</v>
      </c>
      <c r="BP46" s="262"/>
      <c r="BQ46" s="262"/>
      <c r="BR46" s="262"/>
      <c r="BS46" s="262"/>
      <c r="BT46" s="263"/>
      <c r="BU46" s="241"/>
      <c r="BW46" s="280">
        <v>14</v>
      </c>
      <c r="BX46" s="281"/>
    </row>
    <row r="47" spans="1:76" ht="12" customHeight="1">
      <c r="A47" s="10"/>
      <c r="B47" s="174">
        <f t="shared" si="0"/>
        <v>35</v>
      </c>
      <c r="C47" s="291"/>
      <c r="D47" s="292"/>
      <c r="E47" s="292"/>
      <c r="F47" s="292"/>
      <c r="G47" s="292"/>
      <c r="H47" s="293"/>
      <c r="I47" s="288" t="s">
        <v>561</v>
      </c>
      <c r="J47" s="289"/>
      <c r="K47" s="289"/>
      <c r="L47" s="289"/>
      <c r="M47" s="289"/>
      <c r="N47" s="289"/>
      <c r="O47" s="289"/>
      <c r="P47" s="290"/>
      <c r="Q47" s="261" t="s">
        <v>677</v>
      </c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3"/>
      <c r="AO47" s="181">
        <f t="shared" si="1"/>
        <v>35</v>
      </c>
      <c r="AP47" s="291"/>
      <c r="AQ47" s="292"/>
      <c r="AR47" s="292"/>
      <c r="AS47" s="292"/>
      <c r="AT47" s="292"/>
      <c r="AU47" s="293"/>
      <c r="AV47" s="288" t="s">
        <v>561</v>
      </c>
      <c r="AW47" s="289"/>
      <c r="AX47" s="289"/>
      <c r="AY47" s="289"/>
      <c r="AZ47" s="289"/>
      <c r="BA47" s="289"/>
      <c r="BB47" s="289"/>
      <c r="BC47" s="290"/>
      <c r="BD47" s="169"/>
      <c r="BE47" s="11"/>
      <c r="BF47" s="261" t="s">
        <v>772</v>
      </c>
      <c r="BG47" s="262"/>
      <c r="BH47" s="262"/>
      <c r="BI47" s="262"/>
      <c r="BJ47" s="262"/>
      <c r="BK47" s="262"/>
      <c r="BL47" s="262"/>
      <c r="BM47" s="262"/>
      <c r="BN47" s="263"/>
      <c r="BO47" s="261" t="s">
        <v>773</v>
      </c>
      <c r="BP47" s="262"/>
      <c r="BQ47" s="262"/>
      <c r="BR47" s="262"/>
      <c r="BS47" s="262"/>
      <c r="BT47" s="263"/>
      <c r="BU47" s="241"/>
      <c r="BW47" s="280">
        <v>14</v>
      </c>
      <c r="BX47" s="281"/>
    </row>
    <row r="48" spans="1:76" ht="12" customHeight="1">
      <c r="A48" s="178"/>
      <c r="B48" s="174">
        <f t="shared" si="0"/>
        <v>36</v>
      </c>
      <c r="C48" s="291"/>
      <c r="D48" s="292"/>
      <c r="E48" s="292"/>
      <c r="F48" s="292"/>
      <c r="G48" s="292"/>
      <c r="H48" s="293"/>
      <c r="I48" s="288" t="s">
        <v>57</v>
      </c>
      <c r="J48" s="289"/>
      <c r="K48" s="289"/>
      <c r="L48" s="289"/>
      <c r="M48" s="289"/>
      <c r="N48" s="289"/>
      <c r="O48" s="289"/>
      <c r="P48" s="290"/>
      <c r="Q48" s="261" t="s">
        <v>677</v>
      </c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3"/>
      <c r="AO48" s="181">
        <f>AO47+1</f>
        <v>36</v>
      </c>
      <c r="AP48" s="291"/>
      <c r="AQ48" s="292"/>
      <c r="AR48" s="292"/>
      <c r="AS48" s="292"/>
      <c r="AT48" s="292"/>
      <c r="AU48" s="293"/>
      <c r="AV48" s="288" t="s">
        <v>57</v>
      </c>
      <c r="AW48" s="289"/>
      <c r="AX48" s="289"/>
      <c r="AY48" s="289"/>
      <c r="AZ48" s="289"/>
      <c r="BA48" s="289"/>
      <c r="BB48" s="289"/>
      <c r="BC48" s="290"/>
      <c r="BD48" s="179"/>
      <c r="BE48" s="180"/>
      <c r="BF48" s="261" t="s">
        <v>57</v>
      </c>
      <c r="BG48" s="262"/>
      <c r="BH48" s="262"/>
      <c r="BI48" s="262"/>
      <c r="BJ48" s="262"/>
      <c r="BK48" s="262"/>
      <c r="BL48" s="262"/>
      <c r="BM48" s="262"/>
      <c r="BN48" s="263"/>
      <c r="BO48" s="261" t="s">
        <v>774</v>
      </c>
      <c r="BP48" s="262"/>
      <c r="BQ48" s="262"/>
      <c r="BR48" s="262"/>
      <c r="BS48" s="262"/>
      <c r="BT48" s="263"/>
      <c r="BU48" s="241"/>
      <c r="BW48" s="280">
        <v>30</v>
      </c>
      <c r="BX48" s="281"/>
    </row>
    <row r="49" spans="1:76" ht="12" customHeight="1">
      <c r="A49" s="10"/>
      <c r="B49" s="174">
        <f t="shared" si="0"/>
        <v>37</v>
      </c>
      <c r="C49" s="306"/>
      <c r="D49" s="307"/>
      <c r="E49" s="307"/>
      <c r="F49" s="307"/>
      <c r="G49" s="307"/>
      <c r="H49" s="308"/>
      <c r="I49" s="288" t="s">
        <v>566</v>
      </c>
      <c r="J49" s="289"/>
      <c r="K49" s="289"/>
      <c r="L49" s="289"/>
      <c r="M49" s="289"/>
      <c r="N49" s="289"/>
      <c r="O49" s="289"/>
      <c r="P49" s="290"/>
      <c r="Q49" s="261" t="s">
        <v>677</v>
      </c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3"/>
      <c r="AO49" s="182">
        <f>AO48+1</f>
        <v>37</v>
      </c>
      <c r="AP49" s="306"/>
      <c r="AQ49" s="307"/>
      <c r="AR49" s="307"/>
      <c r="AS49" s="307"/>
      <c r="AT49" s="307"/>
      <c r="AU49" s="308"/>
      <c r="AV49" s="288" t="s">
        <v>566</v>
      </c>
      <c r="AW49" s="289"/>
      <c r="AX49" s="289"/>
      <c r="AY49" s="289"/>
      <c r="AZ49" s="289"/>
      <c r="BA49" s="289"/>
      <c r="BB49" s="289"/>
      <c r="BC49" s="290"/>
      <c r="BD49" s="169"/>
      <c r="BE49" s="11"/>
      <c r="BF49" s="261" t="s">
        <v>775</v>
      </c>
      <c r="BG49" s="262"/>
      <c r="BH49" s="262"/>
      <c r="BI49" s="262"/>
      <c r="BJ49" s="262"/>
      <c r="BK49" s="262"/>
      <c r="BL49" s="262"/>
      <c r="BM49" s="262"/>
      <c r="BN49" s="263"/>
      <c r="BO49" s="261" t="s">
        <v>776</v>
      </c>
      <c r="BP49" s="262"/>
      <c r="BQ49" s="262"/>
      <c r="BR49" s="262"/>
      <c r="BS49" s="262"/>
      <c r="BT49" s="263"/>
      <c r="BU49" s="241"/>
      <c r="BW49" s="280">
        <v>20</v>
      </c>
      <c r="BX49" s="281"/>
    </row>
    <row r="50" spans="1:76" ht="12" customHeight="1">
      <c r="A50" s="183"/>
      <c r="B50" s="174">
        <f t="shared" si="0"/>
        <v>38</v>
      </c>
      <c r="C50" s="291"/>
      <c r="D50" s="292"/>
      <c r="E50" s="292"/>
      <c r="F50" s="292"/>
      <c r="G50" s="292"/>
      <c r="H50" s="293"/>
      <c r="I50" s="288" t="s">
        <v>266</v>
      </c>
      <c r="J50" s="289"/>
      <c r="K50" s="289"/>
      <c r="L50" s="289"/>
      <c r="M50" s="289"/>
      <c r="N50" s="289"/>
      <c r="O50" s="289"/>
      <c r="P50" s="290"/>
      <c r="Q50" s="261" t="s">
        <v>677</v>
      </c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3"/>
      <c r="AO50" s="184">
        <f>AO49+1</f>
        <v>38</v>
      </c>
      <c r="AP50" s="291"/>
      <c r="AQ50" s="292"/>
      <c r="AR50" s="292"/>
      <c r="AS50" s="292"/>
      <c r="AT50" s="292"/>
      <c r="AU50" s="293"/>
      <c r="AV50" s="288" t="s">
        <v>266</v>
      </c>
      <c r="AW50" s="289"/>
      <c r="AX50" s="289"/>
      <c r="AY50" s="289"/>
      <c r="AZ50" s="289"/>
      <c r="BA50" s="289"/>
      <c r="BB50" s="289"/>
      <c r="BC50" s="290"/>
      <c r="BD50" s="169"/>
      <c r="BE50" s="11"/>
      <c r="BF50" s="261" t="s">
        <v>777</v>
      </c>
      <c r="BG50" s="262"/>
      <c r="BH50" s="262"/>
      <c r="BI50" s="262"/>
      <c r="BJ50" s="262"/>
      <c r="BK50" s="262"/>
      <c r="BL50" s="262"/>
      <c r="BM50" s="262"/>
      <c r="BN50" s="263"/>
      <c r="BO50" s="261" t="s">
        <v>267</v>
      </c>
      <c r="BP50" s="262"/>
      <c r="BQ50" s="262"/>
      <c r="BR50" s="262"/>
      <c r="BS50" s="262"/>
      <c r="BT50" s="263"/>
      <c r="BU50" s="241"/>
      <c r="BW50" s="280">
        <v>14</v>
      </c>
      <c r="BX50" s="281"/>
    </row>
    <row r="51" spans="1:76" ht="12" customHeight="1">
      <c r="A51" s="10"/>
      <c r="B51" s="174">
        <f t="shared" si="0"/>
        <v>39</v>
      </c>
      <c r="C51" s="291"/>
      <c r="D51" s="292"/>
      <c r="E51" s="292"/>
      <c r="F51" s="292"/>
      <c r="G51" s="292"/>
      <c r="H51" s="293"/>
      <c r="I51" s="288" t="s">
        <v>571</v>
      </c>
      <c r="J51" s="289"/>
      <c r="K51" s="289"/>
      <c r="L51" s="289"/>
      <c r="M51" s="289"/>
      <c r="N51" s="289"/>
      <c r="O51" s="289"/>
      <c r="P51" s="290"/>
      <c r="Q51" s="261" t="s">
        <v>677</v>
      </c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3"/>
      <c r="AO51" s="175">
        <f t="shared" si="1"/>
        <v>39</v>
      </c>
      <c r="AP51" s="291"/>
      <c r="AQ51" s="292"/>
      <c r="AR51" s="292"/>
      <c r="AS51" s="292"/>
      <c r="AT51" s="292"/>
      <c r="AU51" s="293"/>
      <c r="AV51" s="288" t="s">
        <v>571</v>
      </c>
      <c r="AW51" s="289"/>
      <c r="AX51" s="289"/>
      <c r="AY51" s="289"/>
      <c r="AZ51" s="289"/>
      <c r="BA51" s="289"/>
      <c r="BB51" s="289"/>
      <c r="BC51" s="290"/>
      <c r="BD51" s="169"/>
      <c r="BE51" s="11"/>
      <c r="BF51" s="261" t="s">
        <v>778</v>
      </c>
      <c r="BG51" s="262"/>
      <c r="BH51" s="262"/>
      <c r="BI51" s="262"/>
      <c r="BJ51" s="262"/>
      <c r="BK51" s="262"/>
      <c r="BL51" s="262"/>
      <c r="BM51" s="262"/>
      <c r="BN51" s="263"/>
      <c r="BO51" s="261" t="s">
        <v>779</v>
      </c>
      <c r="BP51" s="262"/>
      <c r="BQ51" s="262"/>
      <c r="BR51" s="262"/>
      <c r="BS51" s="262"/>
      <c r="BT51" s="263"/>
      <c r="BU51" s="241"/>
      <c r="BW51" s="280">
        <v>12</v>
      </c>
      <c r="BX51" s="281"/>
    </row>
    <row r="52" spans="1:76" ht="12" customHeight="1">
      <c r="A52" s="10"/>
      <c r="B52" s="174">
        <f t="shared" si="0"/>
        <v>40</v>
      </c>
      <c r="C52" s="291"/>
      <c r="D52" s="292"/>
      <c r="E52" s="292"/>
      <c r="F52" s="292"/>
      <c r="G52" s="292"/>
      <c r="H52" s="293"/>
      <c r="I52" s="288" t="s">
        <v>573</v>
      </c>
      <c r="J52" s="289"/>
      <c r="K52" s="289"/>
      <c r="L52" s="289"/>
      <c r="M52" s="289"/>
      <c r="N52" s="289"/>
      <c r="O52" s="289"/>
      <c r="P52" s="290"/>
      <c r="Q52" s="261" t="s">
        <v>677</v>
      </c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3"/>
      <c r="AO52" s="175">
        <f t="shared" si="1"/>
        <v>40</v>
      </c>
      <c r="AP52" s="291"/>
      <c r="AQ52" s="292"/>
      <c r="AR52" s="292"/>
      <c r="AS52" s="292"/>
      <c r="AT52" s="292"/>
      <c r="AU52" s="293"/>
      <c r="AV52" s="288" t="s">
        <v>573</v>
      </c>
      <c r="AW52" s="289"/>
      <c r="AX52" s="289"/>
      <c r="AY52" s="289"/>
      <c r="AZ52" s="289"/>
      <c r="BA52" s="289"/>
      <c r="BB52" s="289"/>
      <c r="BC52" s="290"/>
      <c r="BD52" s="169"/>
      <c r="BE52" s="11"/>
      <c r="BF52" s="261" t="s">
        <v>780</v>
      </c>
      <c r="BG52" s="262"/>
      <c r="BH52" s="262"/>
      <c r="BI52" s="262"/>
      <c r="BJ52" s="262"/>
      <c r="BK52" s="262"/>
      <c r="BL52" s="262"/>
      <c r="BM52" s="262"/>
      <c r="BN52" s="263"/>
      <c r="BO52" s="261" t="s">
        <v>781</v>
      </c>
      <c r="BP52" s="262"/>
      <c r="BQ52" s="262"/>
      <c r="BR52" s="262"/>
      <c r="BS52" s="262"/>
      <c r="BT52" s="263"/>
      <c r="BU52" s="241"/>
      <c r="BW52" s="256">
        <v>8</v>
      </c>
      <c r="BX52" s="257"/>
    </row>
    <row r="53" spans="1:76" ht="12" customHeight="1">
      <c r="A53" s="178"/>
      <c r="B53" s="174">
        <f t="shared" si="0"/>
        <v>41</v>
      </c>
      <c r="C53" s="291"/>
      <c r="D53" s="292"/>
      <c r="E53" s="292"/>
      <c r="F53" s="292"/>
      <c r="G53" s="292"/>
      <c r="H53" s="293"/>
      <c r="I53" s="288" t="s">
        <v>575</v>
      </c>
      <c r="J53" s="289"/>
      <c r="K53" s="289"/>
      <c r="L53" s="289"/>
      <c r="M53" s="289"/>
      <c r="N53" s="289"/>
      <c r="O53" s="289"/>
      <c r="P53" s="290"/>
      <c r="Q53" s="261" t="s">
        <v>677</v>
      </c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3"/>
      <c r="AO53" s="175">
        <f t="shared" si="1"/>
        <v>41</v>
      </c>
      <c r="AP53" s="291"/>
      <c r="AQ53" s="292"/>
      <c r="AR53" s="292"/>
      <c r="AS53" s="292"/>
      <c r="AT53" s="292"/>
      <c r="AU53" s="293"/>
      <c r="AV53" s="288" t="s">
        <v>575</v>
      </c>
      <c r="AW53" s="289"/>
      <c r="AX53" s="289"/>
      <c r="AY53" s="289"/>
      <c r="AZ53" s="289"/>
      <c r="BA53" s="289"/>
      <c r="BB53" s="289"/>
      <c r="BC53" s="290"/>
      <c r="BD53" s="179"/>
      <c r="BE53" s="180"/>
      <c r="BF53" s="261" t="s">
        <v>575</v>
      </c>
      <c r="BG53" s="262"/>
      <c r="BH53" s="262"/>
      <c r="BI53" s="262"/>
      <c r="BJ53" s="262"/>
      <c r="BK53" s="262"/>
      <c r="BL53" s="262"/>
      <c r="BM53" s="262"/>
      <c r="BN53" s="263"/>
      <c r="BO53" s="261" t="s">
        <v>782</v>
      </c>
      <c r="BP53" s="262"/>
      <c r="BQ53" s="262"/>
      <c r="BR53" s="262"/>
      <c r="BS53" s="262"/>
      <c r="BT53" s="263"/>
      <c r="BU53" s="241"/>
      <c r="BW53" s="256">
        <v>12</v>
      </c>
      <c r="BX53" s="257"/>
    </row>
    <row r="54" spans="1:76" ht="12" customHeight="1">
      <c r="A54" s="178"/>
      <c r="B54" s="174">
        <f t="shared" si="0"/>
        <v>42</v>
      </c>
      <c r="C54" s="291"/>
      <c r="D54" s="292"/>
      <c r="E54" s="292"/>
      <c r="F54" s="292"/>
      <c r="G54" s="292"/>
      <c r="H54" s="293"/>
      <c r="I54" s="288" t="s">
        <v>577</v>
      </c>
      <c r="J54" s="289"/>
      <c r="K54" s="289"/>
      <c r="L54" s="289"/>
      <c r="M54" s="289"/>
      <c r="N54" s="289"/>
      <c r="O54" s="289"/>
      <c r="P54" s="290"/>
      <c r="Q54" s="261" t="s">
        <v>677</v>
      </c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3"/>
      <c r="AO54" s="175">
        <f t="shared" si="1"/>
        <v>42</v>
      </c>
      <c r="AP54" s="291"/>
      <c r="AQ54" s="292"/>
      <c r="AR54" s="292"/>
      <c r="AS54" s="292"/>
      <c r="AT54" s="292"/>
      <c r="AU54" s="293"/>
      <c r="AV54" s="288" t="s">
        <v>577</v>
      </c>
      <c r="AW54" s="289"/>
      <c r="AX54" s="289"/>
      <c r="AY54" s="289"/>
      <c r="AZ54" s="289"/>
      <c r="BA54" s="289"/>
      <c r="BB54" s="289"/>
      <c r="BC54" s="290"/>
      <c r="BD54" s="179"/>
      <c r="BE54" s="180"/>
      <c r="BF54" s="261" t="s">
        <v>783</v>
      </c>
      <c r="BG54" s="262"/>
      <c r="BH54" s="262"/>
      <c r="BI54" s="262"/>
      <c r="BJ54" s="262"/>
      <c r="BK54" s="262"/>
      <c r="BL54" s="262"/>
      <c r="BM54" s="262"/>
      <c r="BN54" s="263"/>
      <c r="BO54" s="261" t="s">
        <v>784</v>
      </c>
      <c r="BP54" s="262"/>
      <c r="BQ54" s="262"/>
      <c r="BR54" s="262"/>
      <c r="BS54" s="262"/>
      <c r="BT54" s="263"/>
      <c r="BU54" s="241"/>
      <c r="BW54" s="256">
        <v>8</v>
      </c>
      <c r="BX54" s="257"/>
    </row>
    <row r="55" spans="1:76" ht="12" customHeight="1">
      <c r="A55" s="178"/>
      <c r="B55" s="174">
        <f t="shared" si="0"/>
        <v>43</v>
      </c>
      <c r="C55" s="291"/>
      <c r="D55" s="292"/>
      <c r="E55" s="292"/>
      <c r="F55" s="292"/>
      <c r="G55" s="292"/>
      <c r="H55" s="293"/>
      <c r="I55" s="288" t="s">
        <v>579</v>
      </c>
      <c r="J55" s="289"/>
      <c r="K55" s="289"/>
      <c r="L55" s="289"/>
      <c r="M55" s="289"/>
      <c r="N55" s="289"/>
      <c r="O55" s="289"/>
      <c r="P55" s="290"/>
      <c r="Q55" s="261" t="s">
        <v>677</v>
      </c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3"/>
      <c r="AO55" s="175">
        <f t="shared" si="1"/>
        <v>43</v>
      </c>
      <c r="AP55" s="291"/>
      <c r="AQ55" s="292"/>
      <c r="AR55" s="292"/>
      <c r="AS55" s="292"/>
      <c r="AT55" s="292"/>
      <c r="AU55" s="293"/>
      <c r="AV55" s="288" t="s">
        <v>583</v>
      </c>
      <c r="AW55" s="289"/>
      <c r="AX55" s="289"/>
      <c r="AY55" s="289"/>
      <c r="AZ55" s="289"/>
      <c r="BA55" s="289"/>
      <c r="BB55" s="289"/>
      <c r="BC55" s="290"/>
      <c r="BD55" s="179"/>
      <c r="BE55" s="180"/>
      <c r="BF55" s="261" t="s">
        <v>785</v>
      </c>
      <c r="BG55" s="262"/>
      <c r="BH55" s="262"/>
      <c r="BI55" s="262"/>
      <c r="BJ55" s="262"/>
      <c r="BK55" s="262"/>
      <c r="BL55" s="262"/>
      <c r="BM55" s="262"/>
      <c r="BN55" s="263"/>
      <c r="BO55" s="261" t="s">
        <v>786</v>
      </c>
      <c r="BP55" s="262"/>
      <c r="BQ55" s="262"/>
      <c r="BR55" s="262"/>
      <c r="BS55" s="262"/>
      <c r="BT55" s="263"/>
      <c r="BU55" s="241"/>
      <c r="BW55" s="256">
        <v>20</v>
      </c>
      <c r="BX55" s="257"/>
    </row>
    <row r="56" spans="1:76" ht="12" customHeight="1">
      <c r="A56" s="178"/>
      <c r="B56" s="174">
        <f t="shared" si="0"/>
        <v>44</v>
      </c>
      <c r="C56" s="291"/>
      <c r="D56" s="292"/>
      <c r="E56" s="292"/>
      <c r="F56" s="292"/>
      <c r="G56" s="292"/>
      <c r="H56" s="293"/>
      <c r="I56" s="288" t="s">
        <v>581</v>
      </c>
      <c r="J56" s="289"/>
      <c r="K56" s="289"/>
      <c r="L56" s="289"/>
      <c r="M56" s="289"/>
      <c r="N56" s="289"/>
      <c r="O56" s="289"/>
      <c r="P56" s="290"/>
      <c r="Q56" s="261" t="s">
        <v>677</v>
      </c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3"/>
      <c r="AO56" s="175">
        <f t="shared" si="1"/>
        <v>44</v>
      </c>
      <c r="AP56" s="291"/>
      <c r="AQ56" s="292"/>
      <c r="AR56" s="292"/>
      <c r="AS56" s="292"/>
      <c r="AT56" s="292"/>
      <c r="AU56" s="293"/>
      <c r="AV56" s="288" t="s">
        <v>585</v>
      </c>
      <c r="AW56" s="289"/>
      <c r="AX56" s="289"/>
      <c r="AY56" s="289"/>
      <c r="AZ56" s="289"/>
      <c r="BA56" s="289"/>
      <c r="BB56" s="289"/>
      <c r="BC56" s="290"/>
      <c r="BD56" s="179"/>
      <c r="BE56" s="180"/>
      <c r="BF56" s="261" t="s">
        <v>787</v>
      </c>
      <c r="BG56" s="262"/>
      <c r="BH56" s="262"/>
      <c r="BI56" s="262"/>
      <c r="BJ56" s="262"/>
      <c r="BK56" s="262"/>
      <c r="BL56" s="262"/>
      <c r="BM56" s="262"/>
      <c r="BN56" s="263"/>
      <c r="BO56" s="261" t="s">
        <v>788</v>
      </c>
      <c r="BP56" s="262"/>
      <c r="BQ56" s="262"/>
      <c r="BR56" s="262"/>
      <c r="BS56" s="262"/>
      <c r="BT56" s="263"/>
      <c r="BU56" s="241"/>
      <c r="BW56" s="280">
        <v>8</v>
      </c>
      <c r="BX56" s="281"/>
    </row>
    <row r="57" spans="1:76" ht="12" customHeight="1">
      <c r="A57" s="10"/>
      <c r="B57" s="185">
        <f t="shared" si="0"/>
        <v>45</v>
      </c>
      <c r="C57" s="286"/>
      <c r="D57" s="285"/>
      <c r="E57" s="285"/>
      <c r="F57" s="285"/>
      <c r="G57" s="285"/>
      <c r="H57" s="287"/>
      <c r="I57" s="288" t="s">
        <v>583</v>
      </c>
      <c r="J57" s="289"/>
      <c r="K57" s="289"/>
      <c r="L57" s="289"/>
      <c r="M57" s="289"/>
      <c r="N57" s="289"/>
      <c r="O57" s="289"/>
      <c r="P57" s="290"/>
      <c r="Q57" s="261" t="s">
        <v>677</v>
      </c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3"/>
      <c r="AO57" s="181">
        <f t="shared" si="1"/>
        <v>45</v>
      </c>
      <c r="AP57" s="286"/>
      <c r="AQ57" s="285"/>
      <c r="AR57" s="285"/>
      <c r="AS57" s="285"/>
      <c r="AT57" s="285"/>
      <c r="AU57" s="287"/>
      <c r="AV57" s="288" t="s">
        <v>579</v>
      </c>
      <c r="AW57" s="289"/>
      <c r="AX57" s="289"/>
      <c r="AY57" s="289"/>
      <c r="AZ57" s="289"/>
      <c r="BA57" s="289"/>
      <c r="BB57" s="289"/>
      <c r="BC57" s="290"/>
      <c r="BD57" s="169"/>
      <c r="BE57" s="11"/>
      <c r="BF57" s="261" t="s">
        <v>789</v>
      </c>
      <c r="BG57" s="262"/>
      <c r="BH57" s="262"/>
      <c r="BI57" s="262"/>
      <c r="BJ57" s="262"/>
      <c r="BK57" s="262"/>
      <c r="BL57" s="262"/>
      <c r="BM57" s="262"/>
      <c r="BN57" s="263"/>
      <c r="BO57" s="261" t="s">
        <v>790</v>
      </c>
      <c r="BP57" s="262"/>
      <c r="BQ57" s="262"/>
      <c r="BR57" s="262"/>
      <c r="BS57" s="262"/>
      <c r="BT57" s="263"/>
      <c r="BU57" s="241"/>
      <c r="BW57" s="280">
        <v>20</v>
      </c>
      <c r="BX57" s="281"/>
    </row>
    <row r="58" spans="1:76" ht="12" customHeight="1">
      <c r="A58" s="186"/>
      <c r="B58" s="131"/>
      <c r="C58" s="285"/>
      <c r="D58" s="285"/>
      <c r="E58" s="285"/>
      <c r="F58" s="285"/>
      <c r="G58" s="285"/>
      <c r="H58" s="285"/>
      <c r="I58" s="187"/>
      <c r="J58" s="187"/>
      <c r="K58" s="187"/>
      <c r="L58" s="187"/>
      <c r="M58" s="187"/>
      <c r="N58" s="187"/>
      <c r="O58" s="187"/>
      <c r="P58" s="187"/>
      <c r="Q58" s="313"/>
      <c r="R58" s="313"/>
      <c r="S58" s="313"/>
      <c r="T58" s="313"/>
      <c r="U58" s="313"/>
      <c r="V58" s="313"/>
      <c r="W58" s="313"/>
      <c r="X58" s="313"/>
      <c r="Y58" s="313"/>
      <c r="Z58" s="313"/>
      <c r="AA58" s="313"/>
      <c r="AB58" s="313"/>
      <c r="AC58" s="313"/>
      <c r="AD58" s="313"/>
      <c r="AE58" s="313"/>
      <c r="AF58" s="313"/>
      <c r="AG58" s="313"/>
      <c r="AH58" s="313"/>
      <c r="AI58" s="313"/>
      <c r="AJ58" s="313"/>
      <c r="AK58" s="313"/>
      <c r="AL58" s="313"/>
      <c r="AM58" s="313"/>
      <c r="AN58" s="313"/>
      <c r="AO58" s="131"/>
      <c r="AP58" s="285"/>
      <c r="AQ58" s="285"/>
      <c r="AR58" s="285"/>
      <c r="AS58" s="285"/>
      <c r="AT58" s="285"/>
      <c r="AU58" s="285"/>
      <c r="AV58" s="188"/>
      <c r="AW58" s="188"/>
      <c r="AX58" s="188"/>
      <c r="AY58" s="188"/>
      <c r="AZ58" s="188"/>
      <c r="BA58" s="188"/>
      <c r="BB58" s="188"/>
      <c r="BC58" s="188"/>
      <c r="BD58" s="189"/>
      <c r="BE58" s="190"/>
      <c r="BF58" s="147"/>
      <c r="BG58" s="148"/>
      <c r="BH58" s="148"/>
      <c r="BI58" s="148"/>
      <c r="BJ58" s="148"/>
      <c r="BK58" s="148"/>
      <c r="BL58" s="148"/>
      <c r="BM58" s="148"/>
      <c r="BN58" s="149"/>
      <c r="BO58" s="147"/>
      <c r="BP58" s="148"/>
      <c r="BQ58" s="148"/>
      <c r="BR58" s="148"/>
      <c r="BS58" s="148"/>
      <c r="BT58" s="149"/>
      <c r="BU58" s="241"/>
      <c r="BW58" s="206"/>
      <c r="BX58" s="207"/>
    </row>
    <row r="59" spans="1:76" ht="12" customHeight="1">
      <c r="A59" s="10"/>
      <c r="B59" s="174">
        <f>B57+1</f>
        <v>46</v>
      </c>
      <c r="C59" s="297" t="s">
        <v>676</v>
      </c>
      <c r="D59" s="298"/>
      <c r="E59" s="298"/>
      <c r="F59" s="298"/>
      <c r="G59" s="298"/>
      <c r="H59" s="299"/>
      <c r="I59" s="288" t="s">
        <v>585</v>
      </c>
      <c r="J59" s="289"/>
      <c r="K59" s="289"/>
      <c r="L59" s="289"/>
      <c r="M59" s="289"/>
      <c r="N59" s="289"/>
      <c r="O59" s="289"/>
      <c r="P59" s="290"/>
      <c r="Q59" s="261" t="s">
        <v>677</v>
      </c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3"/>
      <c r="AO59" s="175">
        <f>AO57+1</f>
        <v>46</v>
      </c>
      <c r="AP59" s="297" t="s">
        <v>678</v>
      </c>
      <c r="AQ59" s="298"/>
      <c r="AR59" s="298"/>
      <c r="AS59" s="298"/>
      <c r="AT59" s="298"/>
      <c r="AU59" s="299"/>
      <c r="AV59" s="288" t="s">
        <v>581</v>
      </c>
      <c r="AW59" s="289"/>
      <c r="AX59" s="289"/>
      <c r="AY59" s="289"/>
      <c r="AZ59" s="289"/>
      <c r="BA59" s="289"/>
      <c r="BB59" s="289"/>
      <c r="BC59" s="290"/>
      <c r="BD59" s="169"/>
      <c r="BE59" s="11"/>
      <c r="BF59" s="261" t="s">
        <v>791</v>
      </c>
      <c r="BG59" s="262"/>
      <c r="BH59" s="262"/>
      <c r="BI59" s="262"/>
      <c r="BJ59" s="262"/>
      <c r="BK59" s="262"/>
      <c r="BL59" s="262"/>
      <c r="BM59" s="262"/>
      <c r="BN59" s="263"/>
      <c r="BO59" s="261" t="s">
        <v>792</v>
      </c>
      <c r="BP59" s="262"/>
      <c r="BQ59" s="262"/>
      <c r="BR59" s="262"/>
      <c r="BS59" s="262"/>
      <c r="BT59" s="263"/>
      <c r="BU59" s="241"/>
      <c r="BW59" s="280">
        <v>8</v>
      </c>
      <c r="BX59" s="281"/>
    </row>
    <row r="60" spans="1:76" ht="12" customHeight="1">
      <c r="A60" s="10"/>
      <c r="B60" s="185">
        <f t="shared" si="0"/>
        <v>47</v>
      </c>
      <c r="C60" s="291"/>
      <c r="D60" s="292"/>
      <c r="E60" s="292"/>
      <c r="F60" s="292"/>
      <c r="G60" s="292"/>
      <c r="H60" s="293"/>
      <c r="I60" s="288" t="s">
        <v>793</v>
      </c>
      <c r="J60" s="289"/>
      <c r="K60" s="289"/>
      <c r="L60" s="289"/>
      <c r="M60" s="289"/>
      <c r="N60" s="289"/>
      <c r="O60" s="289"/>
      <c r="P60" s="290"/>
      <c r="Q60" s="261" t="s">
        <v>677</v>
      </c>
      <c r="R60" s="262"/>
      <c r="S60" s="262"/>
      <c r="T60" s="262"/>
      <c r="U60" s="262"/>
      <c r="V60" s="262"/>
      <c r="W60" s="262"/>
      <c r="X60" s="262"/>
      <c r="Y60" s="262"/>
      <c r="Z60" s="262"/>
      <c r="AA60" s="262"/>
      <c r="AB60" s="262"/>
      <c r="AC60" s="262"/>
      <c r="AD60" s="262"/>
      <c r="AE60" s="262"/>
      <c r="AF60" s="262"/>
      <c r="AG60" s="262"/>
      <c r="AH60" s="262"/>
      <c r="AI60" s="262"/>
      <c r="AJ60" s="262"/>
      <c r="AK60" s="262"/>
      <c r="AL60" s="262"/>
      <c r="AM60" s="262"/>
      <c r="AN60" s="263"/>
      <c r="AO60" s="181">
        <f t="shared" si="1"/>
        <v>47</v>
      </c>
      <c r="AP60" s="291"/>
      <c r="AQ60" s="292"/>
      <c r="AR60" s="292"/>
      <c r="AS60" s="292"/>
      <c r="AT60" s="292"/>
      <c r="AU60" s="293"/>
      <c r="AV60" s="288" t="s">
        <v>794</v>
      </c>
      <c r="AW60" s="289"/>
      <c r="AX60" s="289"/>
      <c r="AY60" s="289"/>
      <c r="AZ60" s="289"/>
      <c r="BA60" s="289"/>
      <c r="BB60" s="289"/>
      <c r="BC60" s="290"/>
      <c r="BD60" s="169"/>
      <c r="BE60" s="11"/>
      <c r="BF60" s="261" t="s">
        <v>795</v>
      </c>
      <c r="BG60" s="262"/>
      <c r="BH60" s="262"/>
      <c r="BI60" s="262"/>
      <c r="BJ60" s="262"/>
      <c r="BK60" s="262"/>
      <c r="BL60" s="262"/>
      <c r="BM60" s="262"/>
      <c r="BN60" s="263"/>
      <c r="BO60" s="261" t="s">
        <v>796</v>
      </c>
      <c r="BP60" s="262"/>
      <c r="BQ60" s="262"/>
      <c r="BR60" s="262"/>
      <c r="BS60" s="262"/>
      <c r="BT60" s="263"/>
      <c r="BU60" s="241"/>
      <c r="BW60" s="280">
        <v>20</v>
      </c>
      <c r="BX60" s="281"/>
    </row>
    <row r="61" spans="1:76" ht="12" customHeight="1">
      <c r="A61" s="10"/>
      <c r="B61" s="174">
        <f>B60+1</f>
        <v>48</v>
      </c>
      <c r="C61" s="291"/>
      <c r="D61" s="292"/>
      <c r="E61" s="292"/>
      <c r="F61" s="292"/>
      <c r="G61" s="292"/>
      <c r="H61" s="293"/>
      <c r="I61" s="288" t="s">
        <v>797</v>
      </c>
      <c r="J61" s="289"/>
      <c r="K61" s="289"/>
      <c r="L61" s="289"/>
      <c r="M61" s="289"/>
      <c r="N61" s="289"/>
      <c r="O61" s="289"/>
      <c r="P61" s="290"/>
      <c r="Q61" s="261" t="s">
        <v>677</v>
      </c>
      <c r="R61" s="262"/>
      <c r="S61" s="262"/>
      <c r="T61" s="262"/>
      <c r="U61" s="262"/>
      <c r="V61" s="262"/>
      <c r="W61" s="262"/>
      <c r="X61" s="262"/>
      <c r="Y61" s="262"/>
      <c r="Z61" s="262"/>
      <c r="AA61" s="262"/>
      <c r="AB61" s="262"/>
      <c r="AC61" s="262"/>
      <c r="AD61" s="262"/>
      <c r="AE61" s="262"/>
      <c r="AF61" s="262"/>
      <c r="AG61" s="262"/>
      <c r="AH61" s="262"/>
      <c r="AI61" s="262"/>
      <c r="AJ61" s="262"/>
      <c r="AK61" s="262"/>
      <c r="AL61" s="262"/>
      <c r="AM61" s="262"/>
      <c r="AN61" s="263"/>
      <c r="AO61" s="175">
        <f>AO60+1</f>
        <v>48</v>
      </c>
      <c r="AP61" s="291"/>
      <c r="AQ61" s="292"/>
      <c r="AR61" s="292"/>
      <c r="AS61" s="292"/>
      <c r="AT61" s="292"/>
      <c r="AU61" s="293"/>
      <c r="AV61" s="288" t="s">
        <v>798</v>
      </c>
      <c r="AW61" s="289"/>
      <c r="AX61" s="289"/>
      <c r="AY61" s="289"/>
      <c r="AZ61" s="289"/>
      <c r="BA61" s="289"/>
      <c r="BB61" s="289"/>
      <c r="BC61" s="290"/>
      <c r="BD61" s="169"/>
      <c r="BE61" s="11"/>
      <c r="BF61" s="261" t="s">
        <v>799</v>
      </c>
      <c r="BG61" s="262"/>
      <c r="BH61" s="262"/>
      <c r="BI61" s="262"/>
      <c r="BJ61" s="262"/>
      <c r="BK61" s="262"/>
      <c r="BL61" s="262"/>
      <c r="BM61" s="262"/>
      <c r="BN61" s="263"/>
      <c r="BO61" s="261" t="s">
        <v>800</v>
      </c>
      <c r="BP61" s="262"/>
      <c r="BQ61" s="262"/>
      <c r="BR61" s="262"/>
      <c r="BS61" s="262"/>
      <c r="BT61" s="263"/>
      <c r="BU61" s="241"/>
      <c r="BW61" s="280">
        <v>8</v>
      </c>
      <c r="BX61" s="281"/>
    </row>
    <row r="62" spans="1:76" ht="12" customHeight="1">
      <c r="A62" s="10"/>
      <c r="B62" s="174">
        <f t="shared" si="0"/>
        <v>49</v>
      </c>
      <c r="C62" s="291"/>
      <c r="D62" s="292"/>
      <c r="E62" s="292"/>
      <c r="F62" s="292"/>
      <c r="G62" s="292"/>
      <c r="H62" s="293"/>
      <c r="I62" s="288" t="s">
        <v>539</v>
      </c>
      <c r="J62" s="289"/>
      <c r="K62" s="289"/>
      <c r="L62" s="289"/>
      <c r="M62" s="289"/>
      <c r="N62" s="289"/>
      <c r="O62" s="289"/>
      <c r="P62" s="290"/>
      <c r="Q62" s="261" t="s">
        <v>677</v>
      </c>
      <c r="R62" s="262"/>
      <c r="S62" s="262"/>
      <c r="T62" s="262"/>
      <c r="U62" s="262"/>
      <c r="V62" s="262"/>
      <c r="W62" s="262"/>
      <c r="X62" s="262"/>
      <c r="Y62" s="262"/>
      <c r="Z62" s="262"/>
      <c r="AA62" s="262"/>
      <c r="AB62" s="262"/>
      <c r="AC62" s="262"/>
      <c r="AD62" s="262"/>
      <c r="AE62" s="262"/>
      <c r="AF62" s="262"/>
      <c r="AG62" s="262"/>
      <c r="AH62" s="262"/>
      <c r="AI62" s="262"/>
      <c r="AJ62" s="262"/>
      <c r="AK62" s="262"/>
      <c r="AL62" s="262"/>
      <c r="AM62" s="262"/>
      <c r="AN62" s="263"/>
      <c r="AO62" s="175">
        <f>AO61+1</f>
        <v>49</v>
      </c>
      <c r="AP62" s="291"/>
      <c r="AQ62" s="292"/>
      <c r="AR62" s="292"/>
      <c r="AS62" s="292"/>
      <c r="AT62" s="292"/>
      <c r="AU62" s="293"/>
      <c r="AV62" s="288" t="s">
        <v>539</v>
      </c>
      <c r="AW62" s="289"/>
      <c r="AX62" s="289"/>
      <c r="AY62" s="289"/>
      <c r="AZ62" s="289"/>
      <c r="BA62" s="289"/>
      <c r="BB62" s="289"/>
      <c r="BC62" s="290"/>
      <c r="BD62" s="169"/>
      <c r="BE62" s="11"/>
      <c r="BF62" s="261" t="s">
        <v>801</v>
      </c>
      <c r="BG62" s="262"/>
      <c r="BH62" s="262"/>
      <c r="BI62" s="262"/>
      <c r="BJ62" s="262"/>
      <c r="BK62" s="262"/>
      <c r="BL62" s="262"/>
      <c r="BM62" s="262"/>
      <c r="BN62" s="263"/>
      <c r="BO62" s="261" t="s">
        <v>802</v>
      </c>
      <c r="BP62" s="262"/>
      <c r="BQ62" s="262"/>
      <c r="BR62" s="262"/>
      <c r="BS62" s="262"/>
      <c r="BT62" s="263"/>
      <c r="BU62" s="241"/>
      <c r="BW62" s="280">
        <v>8</v>
      </c>
      <c r="BX62" s="281"/>
    </row>
    <row r="63" spans="1:76" ht="12" customHeight="1">
      <c r="A63" s="10"/>
      <c r="B63" s="174">
        <f t="shared" si="0"/>
        <v>50</v>
      </c>
      <c r="C63" s="291"/>
      <c r="D63" s="292"/>
      <c r="E63" s="292"/>
      <c r="F63" s="292"/>
      <c r="G63" s="292"/>
      <c r="H63" s="293"/>
      <c r="I63" s="288" t="s">
        <v>542</v>
      </c>
      <c r="J63" s="289"/>
      <c r="K63" s="289"/>
      <c r="L63" s="289"/>
      <c r="M63" s="289"/>
      <c r="N63" s="289"/>
      <c r="O63" s="289"/>
      <c r="P63" s="290"/>
      <c r="Q63" s="261" t="s">
        <v>677</v>
      </c>
      <c r="R63" s="262"/>
      <c r="S63" s="262"/>
      <c r="T63" s="262"/>
      <c r="U63" s="262"/>
      <c r="V63" s="262"/>
      <c r="W63" s="262"/>
      <c r="X63" s="262"/>
      <c r="Y63" s="262"/>
      <c r="Z63" s="262"/>
      <c r="AA63" s="262"/>
      <c r="AB63" s="262"/>
      <c r="AC63" s="262"/>
      <c r="AD63" s="262"/>
      <c r="AE63" s="262"/>
      <c r="AF63" s="262"/>
      <c r="AG63" s="262"/>
      <c r="AH63" s="262"/>
      <c r="AI63" s="262"/>
      <c r="AJ63" s="262"/>
      <c r="AK63" s="262"/>
      <c r="AL63" s="262"/>
      <c r="AM63" s="262"/>
      <c r="AN63" s="263"/>
      <c r="AO63" s="175">
        <f>AO62+1</f>
        <v>50</v>
      </c>
      <c r="AP63" s="291"/>
      <c r="AQ63" s="292"/>
      <c r="AR63" s="292"/>
      <c r="AS63" s="292"/>
      <c r="AT63" s="292"/>
      <c r="AU63" s="293"/>
      <c r="AV63" s="288" t="s">
        <v>542</v>
      </c>
      <c r="AW63" s="289"/>
      <c r="AX63" s="289"/>
      <c r="AY63" s="289"/>
      <c r="AZ63" s="289"/>
      <c r="BA63" s="289"/>
      <c r="BB63" s="289"/>
      <c r="BC63" s="290"/>
      <c r="BD63" s="169"/>
      <c r="BE63" s="11"/>
      <c r="BF63" s="261" t="s">
        <v>542</v>
      </c>
      <c r="BG63" s="262"/>
      <c r="BH63" s="262"/>
      <c r="BI63" s="262"/>
      <c r="BJ63" s="262"/>
      <c r="BK63" s="262"/>
      <c r="BL63" s="262"/>
      <c r="BM63" s="262"/>
      <c r="BN63" s="263"/>
      <c r="BO63" s="261" t="s">
        <v>803</v>
      </c>
      <c r="BP63" s="262"/>
      <c r="BQ63" s="262"/>
      <c r="BR63" s="262"/>
      <c r="BS63" s="262"/>
      <c r="BT63" s="263"/>
      <c r="BU63" s="241"/>
      <c r="BW63" s="280">
        <v>8</v>
      </c>
      <c r="BX63" s="281"/>
    </row>
    <row r="64" spans="1:76" ht="12" customHeight="1">
      <c r="A64" s="10"/>
      <c r="B64" s="174">
        <f>B63+1</f>
        <v>51</v>
      </c>
      <c r="C64" s="291"/>
      <c r="D64" s="292"/>
      <c r="E64" s="292"/>
      <c r="F64" s="292"/>
      <c r="G64" s="292"/>
      <c r="H64" s="293"/>
      <c r="I64" s="288" t="s">
        <v>546</v>
      </c>
      <c r="J64" s="289"/>
      <c r="K64" s="289"/>
      <c r="L64" s="289"/>
      <c r="M64" s="289"/>
      <c r="N64" s="289"/>
      <c r="O64" s="289"/>
      <c r="P64" s="290"/>
      <c r="Q64" s="261" t="s">
        <v>677</v>
      </c>
      <c r="R64" s="262"/>
      <c r="S64" s="262"/>
      <c r="T64" s="262"/>
      <c r="U64" s="262"/>
      <c r="V64" s="262"/>
      <c r="W64" s="262"/>
      <c r="X64" s="262"/>
      <c r="Y64" s="262"/>
      <c r="Z64" s="262"/>
      <c r="AA64" s="262"/>
      <c r="AB64" s="262"/>
      <c r="AC64" s="262"/>
      <c r="AD64" s="262"/>
      <c r="AE64" s="262"/>
      <c r="AF64" s="262"/>
      <c r="AG64" s="262"/>
      <c r="AH64" s="262"/>
      <c r="AI64" s="262"/>
      <c r="AJ64" s="262"/>
      <c r="AK64" s="262"/>
      <c r="AL64" s="262"/>
      <c r="AM64" s="262"/>
      <c r="AN64" s="263"/>
      <c r="AO64" s="175">
        <f>AO63+1</f>
        <v>51</v>
      </c>
      <c r="AP64" s="291"/>
      <c r="AQ64" s="292"/>
      <c r="AR64" s="292"/>
      <c r="AS64" s="292"/>
      <c r="AT64" s="292"/>
      <c r="AU64" s="293"/>
      <c r="AV64" s="288" t="s">
        <v>546</v>
      </c>
      <c r="AW64" s="289"/>
      <c r="AX64" s="289"/>
      <c r="AY64" s="289"/>
      <c r="AZ64" s="289"/>
      <c r="BA64" s="289"/>
      <c r="BB64" s="289"/>
      <c r="BC64" s="290"/>
      <c r="BD64" s="169"/>
      <c r="BE64" s="11"/>
      <c r="BF64" s="261" t="s">
        <v>804</v>
      </c>
      <c r="BG64" s="262"/>
      <c r="BH64" s="262"/>
      <c r="BI64" s="262"/>
      <c r="BJ64" s="262"/>
      <c r="BK64" s="262"/>
      <c r="BL64" s="262"/>
      <c r="BM64" s="262"/>
      <c r="BN64" s="263"/>
      <c r="BO64" s="261" t="s">
        <v>805</v>
      </c>
      <c r="BP64" s="262"/>
      <c r="BQ64" s="262"/>
      <c r="BR64" s="262"/>
      <c r="BS64" s="262"/>
      <c r="BT64" s="263"/>
      <c r="BU64" s="241"/>
      <c r="BW64" s="280">
        <v>8</v>
      </c>
      <c r="BX64" s="281"/>
    </row>
    <row r="65" spans="1:76" ht="12" customHeight="1">
      <c r="A65" s="178"/>
      <c r="B65" s="174">
        <f t="shared" si="0"/>
        <v>52</v>
      </c>
      <c r="C65" s="291"/>
      <c r="D65" s="292"/>
      <c r="E65" s="292"/>
      <c r="F65" s="292"/>
      <c r="G65" s="292"/>
      <c r="H65" s="293"/>
      <c r="I65" s="288" t="s">
        <v>554</v>
      </c>
      <c r="J65" s="289"/>
      <c r="K65" s="289"/>
      <c r="L65" s="289"/>
      <c r="M65" s="289"/>
      <c r="N65" s="289"/>
      <c r="O65" s="289"/>
      <c r="P65" s="290"/>
      <c r="Q65" s="261" t="s">
        <v>677</v>
      </c>
      <c r="R65" s="262"/>
      <c r="S65" s="262"/>
      <c r="T65" s="262"/>
      <c r="U65" s="262"/>
      <c r="V65" s="262"/>
      <c r="W65" s="262"/>
      <c r="X65" s="262"/>
      <c r="Y65" s="262"/>
      <c r="Z65" s="262"/>
      <c r="AA65" s="262"/>
      <c r="AB65" s="262"/>
      <c r="AC65" s="262"/>
      <c r="AD65" s="262"/>
      <c r="AE65" s="262"/>
      <c r="AF65" s="262"/>
      <c r="AG65" s="262"/>
      <c r="AH65" s="262"/>
      <c r="AI65" s="262"/>
      <c r="AJ65" s="262"/>
      <c r="AK65" s="262"/>
      <c r="AL65" s="262"/>
      <c r="AM65" s="262"/>
      <c r="AN65" s="263"/>
      <c r="AO65" s="175">
        <f t="shared" si="1"/>
        <v>52</v>
      </c>
      <c r="AP65" s="291"/>
      <c r="AQ65" s="292"/>
      <c r="AR65" s="292"/>
      <c r="AS65" s="292"/>
      <c r="AT65" s="292"/>
      <c r="AU65" s="293"/>
      <c r="AV65" s="288" t="s">
        <v>554</v>
      </c>
      <c r="AW65" s="289"/>
      <c r="AX65" s="289"/>
      <c r="AY65" s="289"/>
      <c r="AZ65" s="289"/>
      <c r="BA65" s="289"/>
      <c r="BB65" s="289"/>
      <c r="BC65" s="290"/>
      <c r="BD65" s="179"/>
      <c r="BE65" s="180"/>
      <c r="BF65" s="261" t="s">
        <v>554</v>
      </c>
      <c r="BG65" s="262"/>
      <c r="BH65" s="262"/>
      <c r="BI65" s="262"/>
      <c r="BJ65" s="262"/>
      <c r="BK65" s="262"/>
      <c r="BL65" s="262"/>
      <c r="BM65" s="262"/>
      <c r="BN65" s="263"/>
      <c r="BO65" s="261" t="s">
        <v>806</v>
      </c>
      <c r="BP65" s="262"/>
      <c r="BQ65" s="262"/>
      <c r="BR65" s="262"/>
      <c r="BS65" s="262"/>
      <c r="BT65" s="263"/>
      <c r="BU65" s="241"/>
      <c r="BW65" s="280">
        <v>8</v>
      </c>
      <c r="BX65" s="281"/>
    </row>
    <row r="66" spans="1:76" ht="12" customHeight="1">
      <c r="A66" s="178"/>
      <c r="B66" s="174">
        <f t="shared" si="0"/>
        <v>53</v>
      </c>
      <c r="C66" s="291"/>
      <c r="D66" s="292"/>
      <c r="E66" s="292"/>
      <c r="F66" s="292"/>
      <c r="G66" s="292"/>
      <c r="H66" s="293"/>
      <c r="I66" s="288" t="s">
        <v>559</v>
      </c>
      <c r="J66" s="289"/>
      <c r="K66" s="289"/>
      <c r="L66" s="289"/>
      <c r="M66" s="289"/>
      <c r="N66" s="289"/>
      <c r="O66" s="289"/>
      <c r="P66" s="290"/>
      <c r="Q66" s="261" t="s">
        <v>677</v>
      </c>
      <c r="R66" s="262"/>
      <c r="S66" s="262"/>
      <c r="T66" s="262"/>
      <c r="U66" s="262"/>
      <c r="V66" s="262"/>
      <c r="W66" s="262"/>
      <c r="X66" s="262"/>
      <c r="Y66" s="262"/>
      <c r="Z66" s="262"/>
      <c r="AA66" s="262"/>
      <c r="AB66" s="262"/>
      <c r="AC66" s="262"/>
      <c r="AD66" s="262"/>
      <c r="AE66" s="262"/>
      <c r="AF66" s="262"/>
      <c r="AG66" s="262"/>
      <c r="AH66" s="262"/>
      <c r="AI66" s="262"/>
      <c r="AJ66" s="262"/>
      <c r="AK66" s="262"/>
      <c r="AL66" s="262"/>
      <c r="AM66" s="262"/>
      <c r="AN66" s="263"/>
      <c r="AO66" s="175">
        <f t="shared" si="1"/>
        <v>53</v>
      </c>
      <c r="AP66" s="291"/>
      <c r="AQ66" s="292"/>
      <c r="AR66" s="292"/>
      <c r="AS66" s="292"/>
      <c r="AT66" s="292"/>
      <c r="AU66" s="293"/>
      <c r="AV66" s="288" t="s">
        <v>559</v>
      </c>
      <c r="AW66" s="289"/>
      <c r="AX66" s="289"/>
      <c r="AY66" s="289"/>
      <c r="AZ66" s="289"/>
      <c r="BA66" s="289"/>
      <c r="BB66" s="289"/>
      <c r="BC66" s="290"/>
      <c r="BD66" s="179"/>
      <c r="BE66" s="180"/>
      <c r="BF66" s="261" t="s">
        <v>559</v>
      </c>
      <c r="BG66" s="262"/>
      <c r="BH66" s="262"/>
      <c r="BI66" s="262"/>
      <c r="BJ66" s="262"/>
      <c r="BK66" s="262"/>
      <c r="BL66" s="262"/>
      <c r="BM66" s="262"/>
      <c r="BN66" s="263"/>
      <c r="BO66" s="261" t="s">
        <v>807</v>
      </c>
      <c r="BP66" s="262"/>
      <c r="BQ66" s="262"/>
      <c r="BR66" s="262"/>
      <c r="BS66" s="262"/>
      <c r="BT66" s="263"/>
      <c r="BU66" s="241"/>
      <c r="BW66" s="280">
        <v>8</v>
      </c>
      <c r="BX66" s="281"/>
    </row>
    <row r="67" spans="1:76" ht="12" customHeight="1">
      <c r="A67" s="178"/>
      <c r="B67" s="174">
        <f t="shared" si="0"/>
        <v>54</v>
      </c>
      <c r="C67" s="291"/>
      <c r="D67" s="292"/>
      <c r="E67" s="292"/>
      <c r="F67" s="292"/>
      <c r="G67" s="292"/>
      <c r="H67" s="293"/>
      <c r="I67" s="288" t="s">
        <v>563</v>
      </c>
      <c r="J67" s="289"/>
      <c r="K67" s="289"/>
      <c r="L67" s="289"/>
      <c r="M67" s="289"/>
      <c r="N67" s="289"/>
      <c r="O67" s="289"/>
      <c r="P67" s="290"/>
      <c r="Q67" s="261" t="s">
        <v>677</v>
      </c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3"/>
      <c r="AO67" s="175">
        <f t="shared" si="1"/>
        <v>54</v>
      </c>
      <c r="AP67" s="291"/>
      <c r="AQ67" s="292"/>
      <c r="AR67" s="292"/>
      <c r="AS67" s="292"/>
      <c r="AT67" s="292"/>
      <c r="AU67" s="293"/>
      <c r="AV67" s="288" t="s">
        <v>563</v>
      </c>
      <c r="AW67" s="289"/>
      <c r="AX67" s="289"/>
      <c r="AY67" s="289"/>
      <c r="AZ67" s="289"/>
      <c r="BA67" s="289"/>
      <c r="BB67" s="289"/>
      <c r="BC67" s="290"/>
      <c r="BD67" s="179"/>
      <c r="BE67" s="180"/>
      <c r="BF67" s="261" t="s">
        <v>563</v>
      </c>
      <c r="BG67" s="262"/>
      <c r="BH67" s="262"/>
      <c r="BI67" s="262"/>
      <c r="BJ67" s="262"/>
      <c r="BK67" s="262"/>
      <c r="BL67" s="262"/>
      <c r="BM67" s="262"/>
      <c r="BN67" s="263"/>
      <c r="BO67" s="261" t="s">
        <v>808</v>
      </c>
      <c r="BP67" s="262"/>
      <c r="BQ67" s="262"/>
      <c r="BR67" s="262"/>
      <c r="BS67" s="262"/>
      <c r="BT67" s="263"/>
      <c r="BU67" s="241"/>
      <c r="BW67" s="280">
        <v>8</v>
      </c>
      <c r="BX67" s="281"/>
    </row>
    <row r="68" spans="1:76" ht="12" customHeight="1">
      <c r="A68" s="178"/>
      <c r="B68" s="174">
        <f t="shared" si="0"/>
        <v>55</v>
      </c>
      <c r="C68" s="291"/>
      <c r="D68" s="292"/>
      <c r="E68" s="292"/>
      <c r="F68" s="292"/>
      <c r="G68" s="292"/>
      <c r="H68" s="293"/>
      <c r="I68" s="288" t="s">
        <v>569</v>
      </c>
      <c r="J68" s="289"/>
      <c r="K68" s="289"/>
      <c r="L68" s="289"/>
      <c r="M68" s="289"/>
      <c r="N68" s="289"/>
      <c r="O68" s="289"/>
      <c r="P68" s="290"/>
      <c r="Q68" s="261" t="s">
        <v>677</v>
      </c>
      <c r="R68" s="262"/>
      <c r="S68" s="262"/>
      <c r="T68" s="262"/>
      <c r="U68" s="262"/>
      <c r="V68" s="262"/>
      <c r="W68" s="262"/>
      <c r="X68" s="262"/>
      <c r="Y68" s="262"/>
      <c r="Z68" s="262"/>
      <c r="AA68" s="262"/>
      <c r="AB68" s="262"/>
      <c r="AC68" s="262"/>
      <c r="AD68" s="262"/>
      <c r="AE68" s="262"/>
      <c r="AF68" s="262"/>
      <c r="AG68" s="262"/>
      <c r="AH68" s="262"/>
      <c r="AI68" s="262"/>
      <c r="AJ68" s="262"/>
      <c r="AK68" s="262"/>
      <c r="AL68" s="262"/>
      <c r="AM68" s="262"/>
      <c r="AN68" s="263"/>
      <c r="AO68" s="175">
        <f t="shared" si="1"/>
        <v>55</v>
      </c>
      <c r="AP68" s="291"/>
      <c r="AQ68" s="292"/>
      <c r="AR68" s="292"/>
      <c r="AS68" s="292"/>
      <c r="AT68" s="292"/>
      <c r="AU68" s="293"/>
      <c r="AV68" s="288" t="s">
        <v>569</v>
      </c>
      <c r="AW68" s="289"/>
      <c r="AX68" s="289"/>
      <c r="AY68" s="289"/>
      <c r="AZ68" s="289"/>
      <c r="BA68" s="289"/>
      <c r="BB68" s="289"/>
      <c r="BC68" s="290"/>
      <c r="BD68" s="179"/>
      <c r="BE68" s="180"/>
      <c r="BF68" s="261" t="s">
        <v>569</v>
      </c>
      <c r="BG68" s="262"/>
      <c r="BH68" s="262"/>
      <c r="BI68" s="262"/>
      <c r="BJ68" s="262"/>
      <c r="BK68" s="262"/>
      <c r="BL68" s="262"/>
      <c r="BM68" s="262"/>
      <c r="BN68" s="263"/>
      <c r="BO68" s="261" t="s">
        <v>809</v>
      </c>
      <c r="BP68" s="262"/>
      <c r="BQ68" s="262"/>
      <c r="BR68" s="262"/>
      <c r="BS68" s="262"/>
      <c r="BT68" s="263"/>
      <c r="BU68" s="241"/>
      <c r="BW68" s="280">
        <v>8</v>
      </c>
      <c r="BX68" s="281"/>
    </row>
    <row r="69" spans="1:76" ht="12" customHeight="1">
      <c r="A69" s="178"/>
      <c r="B69" s="174">
        <f t="shared" si="0"/>
        <v>56</v>
      </c>
      <c r="C69" s="291"/>
      <c r="D69" s="292"/>
      <c r="E69" s="292"/>
      <c r="F69" s="292"/>
      <c r="G69" s="292"/>
      <c r="H69" s="293"/>
      <c r="I69" s="288" t="s">
        <v>532</v>
      </c>
      <c r="J69" s="289"/>
      <c r="K69" s="289"/>
      <c r="L69" s="289"/>
      <c r="M69" s="289"/>
      <c r="N69" s="289"/>
      <c r="O69" s="289"/>
      <c r="P69" s="290"/>
      <c r="Q69" s="261" t="s">
        <v>677</v>
      </c>
      <c r="R69" s="262"/>
      <c r="S69" s="262"/>
      <c r="T69" s="262"/>
      <c r="U69" s="262"/>
      <c r="V69" s="262"/>
      <c r="W69" s="262"/>
      <c r="X69" s="262"/>
      <c r="Y69" s="262"/>
      <c r="Z69" s="262"/>
      <c r="AA69" s="262"/>
      <c r="AB69" s="262"/>
      <c r="AC69" s="262"/>
      <c r="AD69" s="262"/>
      <c r="AE69" s="262"/>
      <c r="AF69" s="262"/>
      <c r="AG69" s="262"/>
      <c r="AH69" s="262"/>
      <c r="AI69" s="262"/>
      <c r="AJ69" s="262"/>
      <c r="AK69" s="262"/>
      <c r="AL69" s="262"/>
      <c r="AM69" s="262"/>
      <c r="AN69" s="263"/>
      <c r="AO69" s="175">
        <f t="shared" si="1"/>
        <v>56</v>
      </c>
      <c r="AP69" s="291"/>
      <c r="AQ69" s="292"/>
      <c r="AR69" s="292"/>
      <c r="AS69" s="292"/>
      <c r="AT69" s="292"/>
      <c r="AU69" s="293"/>
      <c r="AV69" s="288" t="s">
        <v>532</v>
      </c>
      <c r="AW69" s="289"/>
      <c r="AX69" s="289"/>
      <c r="AY69" s="289"/>
      <c r="AZ69" s="289"/>
      <c r="BA69" s="289"/>
      <c r="BB69" s="289"/>
      <c r="BC69" s="290"/>
      <c r="BD69" s="179"/>
      <c r="BE69" s="180"/>
      <c r="BF69" s="261" t="s">
        <v>532</v>
      </c>
      <c r="BG69" s="262"/>
      <c r="BH69" s="262"/>
      <c r="BI69" s="262"/>
      <c r="BJ69" s="262"/>
      <c r="BK69" s="262"/>
      <c r="BL69" s="262"/>
      <c r="BM69" s="262"/>
      <c r="BN69" s="263"/>
      <c r="BO69" s="261" t="s">
        <v>810</v>
      </c>
      <c r="BP69" s="262"/>
      <c r="BQ69" s="262"/>
      <c r="BR69" s="262"/>
      <c r="BS69" s="262"/>
      <c r="BT69" s="263"/>
      <c r="BU69" s="241"/>
      <c r="BW69" s="280">
        <v>10</v>
      </c>
      <c r="BX69" s="281"/>
    </row>
    <row r="70" spans="1:76" ht="12" customHeight="1">
      <c r="A70" s="178"/>
      <c r="B70" s="174">
        <f t="shared" si="0"/>
        <v>57</v>
      </c>
      <c r="C70" s="297" t="s">
        <v>713</v>
      </c>
      <c r="D70" s="298"/>
      <c r="E70" s="298"/>
      <c r="F70" s="298"/>
      <c r="G70" s="298"/>
      <c r="H70" s="299"/>
      <c r="I70" s="288" t="s">
        <v>713</v>
      </c>
      <c r="J70" s="289"/>
      <c r="K70" s="289"/>
      <c r="L70" s="289"/>
      <c r="M70" s="289"/>
      <c r="N70" s="289"/>
      <c r="O70" s="289"/>
      <c r="P70" s="290"/>
      <c r="Q70" s="261" t="s">
        <v>752</v>
      </c>
      <c r="R70" s="262"/>
      <c r="S70" s="262"/>
      <c r="T70" s="262"/>
      <c r="U70" s="262"/>
      <c r="V70" s="262"/>
      <c r="W70" s="262"/>
      <c r="X70" s="262"/>
      <c r="Y70" s="262"/>
      <c r="Z70" s="262"/>
      <c r="AA70" s="262"/>
      <c r="AB70" s="262"/>
      <c r="AC70" s="262"/>
      <c r="AD70" s="262"/>
      <c r="AE70" s="262"/>
      <c r="AF70" s="262"/>
      <c r="AG70" s="262"/>
      <c r="AH70" s="262"/>
      <c r="AI70" s="262"/>
      <c r="AJ70" s="262"/>
      <c r="AK70" s="262"/>
      <c r="AL70" s="262"/>
      <c r="AM70" s="262"/>
      <c r="AN70" s="263"/>
      <c r="AO70" s="175">
        <f t="shared" si="1"/>
        <v>57</v>
      </c>
      <c r="AP70" s="291"/>
      <c r="AQ70" s="292"/>
      <c r="AR70" s="292"/>
      <c r="AS70" s="292"/>
      <c r="AT70" s="292"/>
      <c r="AU70" s="293"/>
      <c r="AV70" s="288" t="s">
        <v>811</v>
      </c>
      <c r="AW70" s="289"/>
      <c r="AX70" s="289"/>
      <c r="AY70" s="289"/>
      <c r="AZ70" s="289"/>
      <c r="BA70" s="289"/>
      <c r="BB70" s="289"/>
      <c r="BC70" s="290"/>
      <c r="BD70" s="179"/>
      <c r="BE70" s="180"/>
      <c r="BF70" s="261" t="s">
        <v>811</v>
      </c>
      <c r="BG70" s="262"/>
      <c r="BH70" s="262"/>
      <c r="BI70" s="262"/>
      <c r="BJ70" s="262"/>
      <c r="BK70" s="262"/>
      <c r="BL70" s="262"/>
      <c r="BM70" s="262"/>
      <c r="BN70" s="263"/>
      <c r="BO70" s="261" t="s">
        <v>812</v>
      </c>
      <c r="BP70" s="262"/>
      <c r="BQ70" s="262"/>
      <c r="BR70" s="262"/>
      <c r="BS70" s="262"/>
      <c r="BT70" s="263"/>
      <c r="BU70" s="241"/>
      <c r="BW70" s="280">
        <v>10</v>
      </c>
      <c r="BX70" s="281"/>
    </row>
    <row r="71" spans="1:76" ht="12" customHeight="1">
      <c r="A71" s="178"/>
      <c r="B71" s="174">
        <f t="shared" si="0"/>
        <v>58</v>
      </c>
      <c r="C71" s="291"/>
      <c r="D71" s="292"/>
      <c r="E71" s="292"/>
      <c r="F71" s="292"/>
      <c r="G71" s="292"/>
      <c r="H71" s="293"/>
      <c r="I71" s="288" t="s">
        <v>713</v>
      </c>
      <c r="J71" s="289"/>
      <c r="K71" s="289"/>
      <c r="L71" s="289"/>
      <c r="M71" s="289"/>
      <c r="N71" s="289"/>
      <c r="O71" s="289"/>
      <c r="P71" s="290"/>
      <c r="Q71" s="261" t="s">
        <v>752</v>
      </c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2"/>
      <c r="AC71" s="262"/>
      <c r="AD71" s="262"/>
      <c r="AE71" s="262"/>
      <c r="AF71" s="262"/>
      <c r="AG71" s="262"/>
      <c r="AH71" s="262"/>
      <c r="AI71" s="262"/>
      <c r="AJ71" s="262"/>
      <c r="AK71" s="262"/>
      <c r="AL71" s="262"/>
      <c r="AM71" s="262"/>
      <c r="AN71" s="263"/>
      <c r="AO71" s="175">
        <f t="shared" si="1"/>
        <v>58</v>
      </c>
      <c r="AP71" s="291"/>
      <c r="AQ71" s="292"/>
      <c r="AR71" s="292"/>
      <c r="AS71" s="292"/>
      <c r="AT71" s="292"/>
      <c r="AU71" s="293"/>
      <c r="AV71" s="288" t="s">
        <v>813</v>
      </c>
      <c r="AW71" s="289"/>
      <c r="AX71" s="289"/>
      <c r="AY71" s="289"/>
      <c r="AZ71" s="289"/>
      <c r="BA71" s="289"/>
      <c r="BB71" s="289"/>
      <c r="BC71" s="290"/>
      <c r="BD71" s="179"/>
      <c r="BE71" s="180"/>
      <c r="BF71" s="261" t="s">
        <v>814</v>
      </c>
      <c r="BG71" s="262"/>
      <c r="BH71" s="262"/>
      <c r="BI71" s="262"/>
      <c r="BJ71" s="262"/>
      <c r="BK71" s="262"/>
      <c r="BL71" s="262"/>
      <c r="BM71" s="262"/>
      <c r="BN71" s="263"/>
      <c r="BO71" s="261" t="s">
        <v>815</v>
      </c>
      <c r="BP71" s="262"/>
      <c r="BQ71" s="262"/>
      <c r="BR71" s="262"/>
      <c r="BS71" s="262"/>
      <c r="BT71" s="263"/>
      <c r="BU71" s="241"/>
      <c r="BW71" s="280">
        <v>4</v>
      </c>
      <c r="BX71" s="281"/>
    </row>
    <row r="72" spans="1:76" ht="12" customHeight="1">
      <c r="A72" s="178"/>
      <c r="B72" s="174">
        <f t="shared" si="0"/>
        <v>59</v>
      </c>
      <c r="C72" s="291"/>
      <c r="D72" s="292"/>
      <c r="E72" s="292"/>
      <c r="F72" s="292"/>
      <c r="G72" s="292"/>
      <c r="H72" s="293"/>
      <c r="I72" s="288" t="s">
        <v>713</v>
      </c>
      <c r="J72" s="289"/>
      <c r="K72" s="289"/>
      <c r="L72" s="289"/>
      <c r="M72" s="289"/>
      <c r="N72" s="289"/>
      <c r="O72" s="289"/>
      <c r="P72" s="290"/>
      <c r="Q72" s="261" t="s">
        <v>752</v>
      </c>
      <c r="R72" s="262"/>
      <c r="S72" s="262"/>
      <c r="T72" s="262"/>
      <c r="U72" s="262"/>
      <c r="V72" s="262"/>
      <c r="W72" s="262"/>
      <c r="X72" s="262"/>
      <c r="Y72" s="262"/>
      <c r="Z72" s="262"/>
      <c r="AA72" s="262"/>
      <c r="AB72" s="262"/>
      <c r="AC72" s="262"/>
      <c r="AD72" s="262"/>
      <c r="AE72" s="262"/>
      <c r="AF72" s="262"/>
      <c r="AG72" s="262"/>
      <c r="AH72" s="262"/>
      <c r="AI72" s="262"/>
      <c r="AJ72" s="262"/>
      <c r="AK72" s="262"/>
      <c r="AL72" s="262"/>
      <c r="AM72" s="262"/>
      <c r="AN72" s="263"/>
      <c r="AO72" s="175">
        <f t="shared" si="1"/>
        <v>59</v>
      </c>
      <c r="AP72" s="291"/>
      <c r="AQ72" s="292"/>
      <c r="AR72" s="292"/>
      <c r="AS72" s="292"/>
      <c r="AT72" s="292"/>
      <c r="AU72" s="293"/>
      <c r="AV72" s="288" t="s">
        <v>816</v>
      </c>
      <c r="AW72" s="289"/>
      <c r="AX72" s="289"/>
      <c r="AY72" s="289"/>
      <c r="AZ72" s="289"/>
      <c r="BA72" s="289"/>
      <c r="BB72" s="289"/>
      <c r="BC72" s="290"/>
      <c r="BD72" s="179"/>
      <c r="BE72" s="180"/>
      <c r="BF72" s="261" t="s">
        <v>817</v>
      </c>
      <c r="BG72" s="262"/>
      <c r="BH72" s="262"/>
      <c r="BI72" s="262"/>
      <c r="BJ72" s="262"/>
      <c r="BK72" s="262"/>
      <c r="BL72" s="262"/>
      <c r="BM72" s="262"/>
      <c r="BN72" s="263"/>
      <c r="BO72" s="261" t="s">
        <v>818</v>
      </c>
      <c r="BP72" s="262"/>
      <c r="BQ72" s="262"/>
      <c r="BR72" s="262"/>
      <c r="BS72" s="262"/>
      <c r="BT72" s="263"/>
      <c r="BU72" s="241"/>
      <c r="BW72" s="280">
        <v>8</v>
      </c>
      <c r="BX72" s="281"/>
    </row>
    <row r="73" spans="1:76" ht="12" customHeight="1">
      <c r="A73" s="178"/>
      <c r="B73" s="174">
        <f t="shared" si="0"/>
        <v>60</v>
      </c>
      <c r="C73" s="286"/>
      <c r="D73" s="285"/>
      <c r="E73" s="285"/>
      <c r="F73" s="285"/>
      <c r="G73" s="285"/>
      <c r="H73" s="287"/>
      <c r="I73" s="288" t="s">
        <v>713</v>
      </c>
      <c r="J73" s="289"/>
      <c r="K73" s="289"/>
      <c r="L73" s="289"/>
      <c r="M73" s="289"/>
      <c r="N73" s="289"/>
      <c r="O73" s="289"/>
      <c r="P73" s="290"/>
      <c r="Q73" s="261" t="s">
        <v>752</v>
      </c>
      <c r="R73" s="262"/>
      <c r="S73" s="262"/>
      <c r="T73" s="262"/>
      <c r="U73" s="262"/>
      <c r="V73" s="262"/>
      <c r="W73" s="262"/>
      <c r="X73" s="262"/>
      <c r="Y73" s="262"/>
      <c r="Z73" s="262"/>
      <c r="AA73" s="262"/>
      <c r="AB73" s="262"/>
      <c r="AC73" s="262"/>
      <c r="AD73" s="262"/>
      <c r="AE73" s="262"/>
      <c r="AF73" s="262"/>
      <c r="AG73" s="262"/>
      <c r="AH73" s="262"/>
      <c r="AI73" s="262"/>
      <c r="AJ73" s="262"/>
      <c r="AK73" s="262"/>
      <c r="AL73" s="262"/>
      <c r="AM73" s="262"/>
      <c r="AN73" s="263"/>
      <c r="AO73" s="175">
        <f t="shared" si="1"/>
        <v>60</v>
      </c>
      <c r="AP73" s="291"/>
      <c r="AQ73" s="292"/>
      <c r="AR73" s="292"/>
      <c r="AS73" s="292"/>
      <c r="AT73" s="292"/>
      <c r="AU73" s="293"/>
      <c r="AV73" s="288" t="s">
        <v>280</v>
      </c>
      <c r="AW73" s="289"/>
      <c r="AX73" s="289"/>
      <c r="AY73" s="289"/>
      <c r="AZ73" s="289"/>
      <c r="BA73" s="289"/>
      <c r="BB73" s="289"/>
      <c r="BC73" s="290"/>
      <c r="BD73" s="179"/>
      <c r="BE73" s="180"/>
      <c r="BF73" s="261" t="s">
        <v>819</v>
      </c>
      <c r="BG73" s="262"/>
      <c r="BH73" s="262"/>
      <c r="BI73" s="262"/>
      <c r="BJ73" s="262"/>
      <c r="BK73" s="262"/>
      <c r="BL73" s="262"/>
      <c r="BM73" s="262"/>
      <c r="BN73" s="263"/>
      <c r="BO73" s="261" t="s">
        <v>820</v>
      </c>
      <c r="BP73" s="262"/>
      <c r="BQ73" s="262"/>
      <c r="BR73" s="262"/>
      <c r="BS73" s="262"/>
      <c r="BT73" s="263"/>
      <c r="BU73" s="241"/>
      <c r="BW73" s="280">
        <v>20</v>
      </c>
      <c r="BX73" s="281"/>
    </row>
    <row r="74" spans="1:76" ht="12" customHeight="1">
      <c r="A74" s="178"/>
      <c r="B74" s="174">
        <f t="shared" si="0"/>
        <v>61</v>
      </c>
      <c r="C74" s="297" t="s">
        <v>676</v>
      </c>
      <c r="D74" s="298"/>
      <c r="E74" s="298"/>
      <c r="F74" s="298"/>
      <c r="G74" s="298"/>
      <c r="H74" s="299"/>
      <c r="I74" s="288" t="s">
        <v>595</v>
      </c>
      <c r="J74" s="289"/>
      <c r="K74" s="289"/>
      <c r="L74" s="289"/>
      <c r="M74" s="289"/>
      <c r="N74" s="289"/>
      <c r="O74" s="289"/>
      <c r="P74" s="290"/>
      <c r="Q74" s="261" t="s">
        <v>677</v>
      </c>
      <c r="R74" s="262"/>
      <c r="S74" s="262"/>
      <c r="T74" s="262"/>
      <c r="U74" s="262"/>
      <c r="V74" s="262"/>
      <c r="W74" s="262"/>
      <c r="X74" s="262"/>
      <c r="Y74" s="262"/>
      <c r="Z74" s="262"/>
      <c r="AA74" s="262"/>
      <c r="AB74" s="262"/>
      <c r="AC74" s="262"/>
      <c r="AD74" s="262"/>
      <c r="AE74" s="262"/>
      <c r="AF74" s="262"/>
      <c r="AG74" s="262"/>
      <c r="AH74" s="262"/>
      <c r="AI74" s="262"/>
      <c r="AJ74" s="262"/>
      <c r="AK74" s="262"/>
      <c r="AL74" s="262"/>
      <c r="AM74" s="262"/>
      <c r="AN74" s="263"/>
      <c r="AO74" s="175">
        <f t="shared" si="1"/>
        <v>61</v>
      </c>
      <c r="AP74" s="291"/>
      <c r="AQ74" s="292"/>
      <c r="AR74" s="292"/>
      <c r="AS74" s="292"/>
      <c r="AT74" s="292"/>
      <c r="AU74" s="293"/>
      <c r="AV74" s="288" t="s">
        <v>595</v>
      </c>
      <c r="AW74" s="289"/>
      <c r="AX74" s="289"/>
      <c r="AY74" s="289"/>
      <c r="AZ74" s="289"/>
      <c r="BA74" s="289"/>
      <c r="BB74" s="289"/>
      <c r="BC74" s="290"/>
      <c r="BD74" s="179"/>
      <c r="BE74" s="180"/>
      <c r="BF74" s="261" t="s">
        <v>821</v>
      </c>
      <c r="BG74" s="262"/>
      <c r="BH74" s="262"/>
      <c r="BI74" s="262"/>
      <c r="BJ74" s="262"/>
      <c r="BK74" s="262"/>
      <c r="BL74" s="262"/>
      <c r="BM74" s="262"/>
      <c r="BN74" s="263"/>
      <c r="BO74" s="261" t="s">
        <v>822</v>
      </c>
      <c r="BP74" s="262"/>
      <c r="BQ74" s="262"/>
      <c r="BR74" s="262"/>
      <c r="BS74" s="262"/>
      <c r="BT74" s="263"/>
      <c r="BU74" s="241"/>
      <c r="BW74" s="280">
        <v>20</v>
      </c>
      <c r="BX74" s="281"/>
    </row>
    <row r="75" spans="1:76" ht="12" customHeight="1">
      <c r="A75" s="178"/>
      <c r="B75" s="174">
        <f>B74+1</f>
        <v>62</v>
      </c>
      <c r="C75" s="297" t="s">
        <v>823</v>
      </c>
      <c r="D75" s="298"/>
      <c r="E75" s="298"/>
      <c r="F75" s="298"/>
      <c r="G75" s="298"/>
      <c r="H75" s="299"/>
      <c r="I75" s="288" t="s">
        <v>713</v>
      </c>
      <c r="J75" s="289"/>
      <c r="K75" s="289"/>
      <c r="L75" s="289"/>
      <c r="M75" s="289"/>
      <c r="N75" s="289"/>
      <c r="O75" s="289"/>
      <c r="P75" s="290"/>
      <c r="Q75" s="261" t="s">
        <v>752</v>
      </c>
      <c r="R75" s="262"/>
      <c r="S75" s="262"/>
      <c r="T75" s="262"/>
      <c r="U75" s="262"/>
      <c r="V75" s="262"/>
      <c r="W75" s="262"/>
      <c r="X75" s="262"/>
      <c r="Y75" s="262"/>
      <c r="Z75" s="262"/>
      <c r="AA75" s="262"/>
      <c r="AB75" s="262"/>
      <c r="AC75" s="262"/>
      <c r="AD75" s="262"/>
      <c r="AE75" s="262"/>
      <c r="AF75" s="262"/>
      <c r="AG75" s="262"/>
      <c r="AH75" s="262"/>
      <c r="AI75" s="262"/>
      <c r="AJ75" s="262"/>
      <c r="AK75" s="262"/>
      <c r="AL75" s="262"/>
      <c r="AM75" s="262"/>
      <c r="AN75" s="263"/>
      <c r="AO75" s="175">
        <f t="shared" si="1"/>
        <v>62</v>
      </c>
      <c r="AP75" s="291"/>
      <c r="AQ75" s="292"/>
      <c r="AR75" s="292"/>
      <c r="AS75" s="292"/>
      <c r="AT75" s="292"/>
      <c r="AU75" s="293"/>
      <c r="AV75" s="288" t="s">
        <v>824</v>
      </c>
      <c r="AW75" s="289"/>
      <c r="AX75" s="289"/>
      <c r="AY75" s="289"/>
      <c r="AZ75" s="289"/>
      <c r="BA75" s="289"/>
      <c r="BB75" s="289"/>
      <c r="BC75" s="290"/>
      <c r="BD75" s="179"/>
      <c r="BE75" s="180"/>
      <c r="BF75" s="261" t="s">
        <v>825</v>
      </c>
      <c r="BG75" s="262"/>
      <c r="BH75" s="262"/>
      <c r="BI75" s="262"/>
      <c r="BJ75" s="262"/>
      <c r="BK75" s="262"/>
      <c r="BL75" s="262"/>
      <c r="BM75" s="262"/>
      <c r="BN75" s="263"/>
      <c r="BO75" s="261" t="s">
        <v>826</v>
      </c>
      <c r="BP75" s="262"/>
      <c r="BQ75" s="262"/>
      <c r="BR75" s="262"/>
      <c r="BS75" s="262"/>
      <c r="BT75" s="263"/>
      <c r="BU75" s="241"/>
      <c r="BW75" s="280">
        <v>23</v>
      </c>
      <c r="BX75" s="281"/>
    </row>
    <row r="76" spans="1:76" ht="12" customHeight="1">
      <c r="A76" s="178"/>
      <c r="B76" s="174">
        <f>B75+1</f>
        <v>63</v>
      </c>
      <c r="C76" s="291"/>
      <c r="D76" s="292"/>
      <c r="E76" s="292"/>
      <c r="F76" s="292"/>
      <c r="G76" s="292"/>
      <c r="H76" s="293"/>
      <c r="I76" s="288" t="s">
        <v>687</v>
      </c>
      <c r="J76" s="289"/>
      <c r="K76" s="289"/>
      <c r="L76" s="289"/>
      <c r="M76" s="289"/>
      <c r="N76" s="289"/>
      <c r="O76" s="289"/>
      <c r="P76" s="290"/>
      <c r="Q76" s="261" t="s">
        <v>752</v>
      </c>
      <c r="R76" s="262"/>
      <c r="S76" s="262"/>
      <c r="T76" s="262"/>
      <c r="U76" s="262"/>
      <c r="V76" s="262"/>
      <c r="W76" s="262"/>
      <c r="X76" s="262"/>
      <c r="Y76" s="262"/>
      <c r="Z76" s="262"/>
      <c r="AA76" s="262"/>
      <c r="AB76" s="262"/>
      <c r="AC76" s="262"/>
      <c r="AD76" s="262"/>
      <c r="AE76" s="262"/>
      <c r="AF76" s="262"/>
      <c r="AG76" s="262"/>
      <c r="AH76" s="262"/>
      <c r="AI76" s="262"/>
      <c r="AJ76" s="262"/>
      <c r="AK76" s="262"/>
      <c r="AL76" s="262"/>
      <c r="AM76" s="262"/>
      <c r="AN76" s="263"/>
      <c r="AO76" s="175">
        <f t="shared" si="1"/>
        <v>63</v>
      </c>
      <c r="AP76" s="291"/>
      <c r="AQ76" s="292"/>
      <c r="AR76" s="292"/>
      <c r="AS76" s="292"/>
      <c r="AT76" s="292"/>
      <c r="AU76" s="293"/>
      <c r="AV76" s="288" t="s">
        <v>282</v>
      </c>
      <c r="AW76" s="289"/>
      <c r="AX76" s="289"/>
      <c r="AY76" s="289"/>
      <c r="AZ76" s="289"/>
      <c r="BA76" s="289"/>
      <c r="BB76" s="289"/>
      <c r="BC76" s="290"/>
      <c r="BD76" s="179"/>
      <c r="BE76" s="180"/>
      <c r="BF76" s="261" t="s">
        <v>827</v>
      </c>
      <c r="BG76" s="262"/>
      <c r="BH76" s="262"/>
      <c r="BI76" s="262"/>
      <c r="BJ76" s="262"/>
      <c r="BK76" s="262"/>
      <c r="BL76" s="262"/>
      <c r="BM76" s="262"/>
      <c r="BN76" s="263"/>
      <c r="BO76" s="261" t="s">
        <v>828</v>
      </c>
      <c r="BP76" s="262"/>
      <c r="BQ76" s="262"/>
      <c r="BR76" s="262"/>
      <c r="BS76" s="262"/>
      <c r="BT76" s="263"/>
      <c r="BU76" s="241"/>
      <c r="BW76" s="280">
        <v>20</v>
      </c>
      <c r="BX76" s="281"/>
    </row>
    <row r="77" spans="1:76" ht="12" customHeight="1">
      <c r="A77" s="178"/>
      <c r="B77" s="174">
        <f t="shared" si="0"/>
        <v>64</v>
      </c>
      <c r="C77" s="291"/>
      <c r="D77" s="292"/>
      <c r="E77" s="292"/>
      <c r="F77" s="292"/>
      <c r="G77" s="292"/>
      <c r="H77" s="293"/>
      <c r="I77" s="288" t="s">
        <v>713</v>
      </c>
      <c r="J77" s="289"/>
      <c r="K77" s="289"/>
      <c r="L77" s="289"/>
      <c r="M77" s="289"/>
      <c r="N77" s="289"/>
      <c r="O77" s="289"/>
      <c r="P77" s="290"/>
      <c r="Q77" s="261" t="s">
        <v>752</v>
      </c>
      <c r="R77" s="262"/>
      <c r="S77" s="262"/>
      <c r="T77" s="262"/>
      <c r="U77" s="262"/>
      <c r="V77" s="262"/>
      <c r="W77" s="262"/>
      <c r="X77" s="262"/>
      <c r="Y77" s="262"/>
      <c r="Z77" s="262"/>
      <c r="AA77" s="262"/>
      <c r="AB77" s="262"/>
      <c r="AC77" s="262"/>
      <c r="AD77" s="262"/>
      <c r="AE77" s="262"/>
      <c r="AF77" s="262"/>
      <c r="AG77" s="262"/>
      <c r="AH77" s="262"/>
      <c r="AI77" s="262"/>
      <c r="AJ77" s="262"/>
      <c r="AK77" s="262"/>
      <c r="AL77" s="262"/>
      <c r="AM77" s="262"/>
      <c r="AN77" s="263"/>
      <c r="AO77" s="175">
        <f t="shared" si="1"/>
        <v>64</v>
      </c>
      <c r="AP77" s="291"/>
      <c r="AQ77" s="292"/>
      <c r="AR77" s="292"/>
      <c r="AS77" s="292"/>
      <c r="AT77" s="292"/>
      <c r="AU77" s="293"/>
      <c r="AV77" s="288" t="s">
        <v>829</v>
      </c>
      <c r="AW77" s="289"/>
      <c r="AX77" s="289"/>
      <c r="AY77" s="289"/>
      <c r="AZ77" s="289"/>
      <c r="BA77" s="289"/>
      <c r="BB77" s="289"/>
      <c r="BC77" s="290"/>
      <c r="BD77" s="179"/>
      <c r="BE77" s="180"/>
      <c r="BF77" s="261" t="s">
        <v>830</v>
      </c>
      <c r="BG77" s="262"/>
      <c r="BH77" s="262"/>
      <c r="BI77" s="262"/>
      <c r="BJ77" s="262"/>
      <c r="BK77" s="262"/>
      <c r="BL77" s="262"/>
      <c r="BM77" s="262"/>
      <c r="BN77" s="263"/>
      <c r="BO77" s="261" t="s">
        <v>831</v>
      </c>
      <c r="BP77" s="262"/>
      <c r="BQ77" s="262"/>
      <c r="BR77" s="262"/>
      <c r="BS77" s="262"/>
      <c r="BT77" s="263"/>
      <c r="BU77" s="241"/>
      <c r="BW77" s="280">
        <v>20</v>
      </c>
      <c r="BX77" s="281"/>
    </row>
    <row r="78" spans="1:76" ht="12" customHeight="1">
      <c r="A78" s="178"/>
      <c r="B78" s="174">
        <f>B77+1</f>
        <v>65</v>
      </c>
      <c r="C78" s="291"/>
      <c r="D78" s="292"/>
      <c r="E78" s="292"/>
      <c r="F78" s="292"/>
      <c r="G78" s="292"/>
      <c r="H78" s="293"/>
      <c r="I78" s="288" t="s">
        <v>713</v>
      </c>
      <c r="J78" s="289"/>
      <c r="K78" s="289"/>
      <c r="L78" s="289"/>
      <c r="M78" s="289"/>
      <c r="N78" s="289"/>
      <c r="O78" s="289"/>
      <c r="P78" s="290"/>
      <c r="Q78" s="261" t="s">
        <v>752</v>
      </c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3"/>
      <c r="AO78" s="175">
        <f t="shared" ref="AO78:AO119" si="2">AO77+1</f>
        <v>65</v>
      </c>
      <c r="AP78" s="291"/>
      <c r="AQ78" s="292"/>
      <c r="AR78" s="292"/>
      <c r="AS78" s="292"/>
      <c r="AT78" s="292"/>
      <c r="AU78" s="293"/>
      <c r="AV78" s="288" t="s">
        <v>832</v>
      </c>
      <c r="AW78" s="289"/>
      <c r="AX78" s="289"/>
      <c r="AY78" s="289"/>
      <c r="AZ78" s="289"/>
      <c r="BA78" s="289"/>
      <c r="BB78" s="289"/>
      <c r="BC78" s="290"/>
      <c r="BD78" s="179"/>
      <c r="BE78" s="180"/>
      <c r="BF78" s="261" t="s">
        <v>833</v>
      </c>
      <c r="BG78" s="262"/>
      <c r="BH78" s="262"/>
      <c r="BI78" s="262"/>
      <c r="BJ78" s="262"/>
      <c r="BK78" s="262"/>
      <c r="BL78" s="262"/>
      <c r="BM78" s="262"/>
      <c r="BN78" s="263"/>
      <c r="BO78" s="261" t="s">
        <v>834</v>
      </c>
      <c r="BP78" s="262"/>
      <c r="BQ78" s="262"/>
      <c r="BR78" s="262"/>
      <c r="BS78" s="262"/>
      <c r="BT78" s="263"/>
      <c r="BU78" s="241"/>
      <c r="BW78" s="280">
        <v>23</v>
      </c>
      <c r="BX78" s="281"/>
    </row>
    <row r="79" spans="1:76" ht="12" customHeight="1">
      <c r="A79" s="178"/>
      <c r="B79" s="174">
        <f t="shared" ref="B79:B81" si="3">B78+1</f>
        <v>66</v>
      </c>
      <c r="C79" s="291"/>
      <c r="D79" s="292"/>
      <c r="E79" s="292"/>
      <c r="F79" s="292"/>
      <c r="G79" s="292"/>
      <c r="H79" s="293"/>
      <c r="I79" s="288" t="s">
        <v>713</v>
      </c>
      <c r="J79" s="289"/>
      <c r="K79" s="289"/>
      <c r="L79" s="289"/>
      <c r="M79" s="289"/>
      <c r="N79" s="289"/>
      <c r="O79" s="289"/>
      <c r="P79" s="290"/>
      <c r="Q79" s="261" t="s">
        <v>752</v>
      </c>
      <c r="R79" s="262"/>
      <c r="S79" s="262"/>
      <c r="T79" s="262"/>
      <c r="U79" s="262"/>
      <c r="V79" s="262"/>
      <c r="W79" s="262"/>
      <c r="X79" s="262"/>
      <c r="Y79" s="262"/>
      <c r="Z79" s="262"/>
      <c r="AA79" s="262"/>
      <c r="AB79" s="262"/>
      <c r="AC79" s="262"/>
      <c r="AD79" s="262"/>
      <c r="AE79" s="262"/>
      <c r="AF79" s="262"/>
      <c r="AG79" s="262"/>
      <c r="AH79" s="262"/>
      <c r="AI79" s="262"/>
      <c r="AJ79" s="262"/>
      <c r="AK79" s="262"/>
      <c r="AL79" s="262"/>
      <c r="AM79" s="262"/>
      <c r="AN79" s="263"/>
      <c r="AO79" s="175">
        <f t="shared" si="2"/>
        <v>66</v>
      </c>
      <c r="AP79" s="291"/>
      <c r="AQ79" s="292"/>
      <c r="AR79" s="292"/>
      <c r="AS79" s="292"/>
      <c r="AT79" s="292"/>
      <c r="AU79" s="293"/>
      <c r="AV79" s="288" t="s">
        <v>835</v>
      </c>
      <c r="AW79" s="289"/>
      <c r="AX79" s="289"/>
      <c r="AY79" s="289"/>
      <c r="AZ79" s="289"/>
      <c r="BA79" s="289"/>
      <c r="BB79" s="289"/>
      <c r="BC79" s="290"/>
      <c r="BD79" s="179"/>
      <c r="BE79" s="180"/>
      <c r="BF79" s="261" t="s">
        <v>836</v>
      </c>
      <c r="BG79" s="262"/>
      <c r="BH79" s="262"/>
      <c r="BI79" s="262"/>
      <c r="BJ79" s="262"/>
      <c r="BK79" s="262"/>
      <c r="BL79" s="262"/>
      <c r="BM79" s="262"/>
      <c r="BN79" s="263"/>
      <c r="BO79" s="261" t="s">
        <v>837</v>
      </c>
      <c r="BP79" s="262"/>
      <c r="BQ79" s="262"/>
      <c r="BR79" s="262"/>
      <c r="BS79" s="262"/>
      <c r="BT79" s="263"/>
      <c r="BU79" s="241"/>
      <c r="BW79" s="280">
        <v>15</v>
      </c>
      <c r="BX79" s="281"/>
    </row>
    <row r="80" spans="1:76" ht="12" customHeight="1">
      <c r="A80" s="178"/>
      <c r="B80" s="174">
        <f t="shared" si="3"/>
        <v>67</v>
      </c>
      <c r="C80" s="291"/>
      <c r="D80" s="292"/>
      <c r="E80" s="292"/>
      <c r="F80" s="292"/>
      <c r="G80" s="292"/>
      <c r="H80" s="293"/>
      <c r="I80" s="288" t="s">
        <v>713</v>
      </c>
      <c r="J80" s="289"/>
      <c r="K80" s="289"/>
      <c r="L80" s="289"/>
      <c r="M80" s="289"/>
      <c r="N80" s="289"/>
      <c r="O80" s="289"/>
      <c r="P80" s="290"/>
      <c r="Q80" s="261" t="s">
        <v>752</v>
      </c>
      <c r="R80" s="262"/>
      <c r="S80" s="262"/>
      <c r="T80" s="262"/>
      <c r="U80" s="262"/>
      <c r="V80" s="262"/>
      <c r="W80" s="262"/>
      <c r="X80" s="262"/>
      <c r="Y80" s="262"/>
      <c r="Z80" s="262"/>
      <c r="AA80" s="262"/>
      <c r="AB80" s="262"/>
      <c r="AC80" s="262"/>
      <c r="AD80" s="262"/>
      <c r="AE80" s="262"/>
      <c r="AF80" s="262"/>
      <c r="AG80" s="262"/>
      <c r="AH80" s="262"/>
      <c r="AI80" s="262"/>
      <c r="AJ80" s="262"/>
      <c r="AK80" s="262"/>
      <c r="AL80" s="262"/>
      <c r="AM80" s="262"/>
      <c r="AN80" s="263"/>
      <c r="AO80" s="175">
        <f t="shared" si="2"/>
        <v>67</v>
      </c>
      <c r="AP80" s="291"/>
      <c r="AQ80" s="292"/>
      <c r="AR80" s="292"/>
      <c r="AS80" s="292"/>
      <c r="AT80" s="292"/>
      <c r="AU80" s="293"/>
      <c r="AV80" s="288" t="s">
        <v>838</v>
      </c>
      <c r="AW80" s="289"/>
      <c r="AX80" s="289"/>
      <c r="AY80" s="289"/>
      <c r="AZ80" s="289"/>
      <c r="BA80" s="289"/>
      <c r="BB80" s="289"/>
      <c r="BC80" s="290"/>
      <c r="BD80" s="179"/>
      <c r="BE80" s="180"/>
      <c r="BF80" s="261" t="s">
        <v>839</v>
      </c>
      <c r="BG80" s="262"/>
      <c r="BH80" s="262"/>
      <c r="BI80" s="262"/>
      <c r="BJ80" s="262"/>
      <c r="BK80" s="262"/>
      <c r="BL80" s="262"/>
      <c r="BM80" s="262"/>
      <c r="BN80" s="263"/>
      <c r="BO80" s="261" t="s">
        <v>840</v>
      </c>
      <c r="BP80" s="262"/>
      <c r="BQ80" s="262"/>
      <c r="BR80" s="262"/>
      <c r="BS80" s="262"/>
      <c r="BT80" s="263"/>
      <c r="BU80" s="241"/>
      <c r="BW80" s="280">
        <v>15</v>
      </c>
      <c r="BX80" s="281"/>
    </row>
    <row r="81" spans="1:76" ht="12" customHeight="1">
      <c r="A81" s="178"/>
      <c r="B81" s="174">
        <f t="shared" si="3"/>
        <v>68</v>
      </c>
      <c r="C81" s="291"/>
      <c r="D81" s="292"/>
      <c r="E81" s="292"/>
      <c r="F81" s="292"/>
      <c r="G81" s="292"/>
      <c r="H81" s="293"/>
      <c r="I81" s="288" t="s">
        <v>713</v>
      </c>
      <c r="J81" s="289"/>
      <c r="K81" s="289"/>
      <c r="L81" s="289"/>
      <c r="M81" s="289"/>
      <c r="N81" s="289"/>
      <c r="O81" s="289"/>
      <c r="P81" s="290"/>
      <c r="Q81" s="261" t="s">
        <v>752</v>
      </c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3"/>
      <c r="AO81" s="175">
        <f t="shared" si="2"/>
        <v>68</v>
      </c>
      <c r="AP81" s="291"/>
      <c r="AQ81" s="292"/>
      <c r="AR81" s="292"/>
      <c r="AS81" s="292"/>
      <c r="AT81" s="292"/>
      <c r="AU81" s="293"/>
      <c r="AV81" s="288" t="s">
        <v>841</v>
      </c>
      <c r="AW81" s="289"/>
      <c r="AX81" s="289"/>
      <c r="AY81" s="289"/>
      <c r="AZ81" s="289"/>
      <c r="BA81" s="289"/>
      <c r="BB81" s="289"/>
      <c r="BC81" s="290"/>
      <c r="BD81" s="179"/>
      <c r="BE81" s="180"/>
      <c r="BF81" s="261" t="s">
        <v>842</v>
      </c>
      <c r="BG81" s="262"/>
      <c r="BH81" s="262"/>
      <c r="BI81" s="262"/>
      <c r="BJ81" s="262"/>
      <c r="BK81" s="262"/>
      <c r="BL81" s="262"/>
      <c r="BM81" s="262"/>
      <c r="BN81" s="263"/>
      <c r="BO81" s="261" t="s">
        <v>843</v>
      </c>
      <c r="BP81" s="262"/>
      <c r="BQ81" s="262"/>
      <c r="BR81" s="262"/>
      <c r="BS81" s="262"/>
      <c r="BT81" s="263"/>
      <c r="BU81" s="241"/>
      <c r="BW81" s="280">
        <v>1</v>
      </c>
      <c r="BX81" s="281"/>
    </row>
    <row r="82" spans="1:76" ht="12" customHeight="1">
      <c r="A82" s="178"/>
      <c r="B82" s="174">
        <f>B81+1</f>
        <v>69</v>
      </c>
      <c r="C82" s="291"/>
      <c r="D82" s="292"/>
      <c r="E82" s="292"/>
      <c r="F82" s="292"/>
      <c r="G82" s="292"/>
      <c r="H82" s="293"/>
      <c r="I82" s="288" t="s">
        <v>713</v>
      </c>
      <c r="J82" s="289"/>
      <c r="K82" s="289"/>
      <c r="L82" s="289"/>
      <c r="M82" s="289"/>
      <c r="N82" s="289"/>
      <c r="O82" s="289"/>
      <c r="P82" s="290"/>
      <c r="Q82" s="261" t="s">
        <v>752</v>
      </c>
      <c r="R82" s="262"/>
      <c r="S82" s="262"/>
      <c r="T82" s="262"/>
      <c r="U82" s="262"/>
      <c r="V82" s="262"/>
      <c r="W82" s="262"/>
      <c r="X82" s="262"/>
      <c r="Y82" s="262"/>
      <c r="Z82" s="262"/>
      <c r="AA82" s="262"/>
      <c r="AB82" s="262"/>
      <c r="AC82" s="262"/>
      <c r="AD82" s="262"/>
      <c r="AE82" s="262"/>
      <c r="AF82" s="262"/>
      <c r="AG82" s="262"/>
      <c r="AH82" s="262"/>
      <c r="AI82" s="262"/>
      <c r="AJ82" s="262"/>
      <c r="AK82" s="262"/>
      <c r="AL82" s="262"/>
      <c r="AM82" s="262"/>
      <c r="AN82" s="263"/>
      <c r="AO82" s="175">
        <f t="shared" si="2"/>
        <v>69</v>
      </c>
      <c r="AP82" s="291"/>
      <c r="AQ82" s="292"/>
      <c r="AR82" s="292"/>
      <c r="AS82" s="292"/>
      <c r="AT82" s="292"/>
      <c r="AU82" s="293"/>
      <c r="AV82" s="288" t="s">
        <v>844</v>
      </c>
      <c r="AW82" s="289"/>
      <c r="AX82" s="289"/>
      <c r="AY82" s="289"/>
      <c r="AZ82" s="289"/>
      <c r="BA82" s="289"/>
      <c r="BB82" s="289"/>
      <c r="BC82" s="290"/>
      <c r="BD82" s="179"/>
      <c r="BE82" s="180"/>
      <c r="BF82" s="261" t="s">
        <v>845</v>
      </c>
      <c r="BG82" s="262"/>
      <c r="BH82" s="262"/>
      <c r="BI82" s="262"/>
      <c r="BJ82" s="262"/>
      <c r="BK82" s="262"/>
      <c r="BL82" s="262"/>
      <c r="BM82" s="262"/>
      <c r="BN82" s="263"/>
      <c r="BO82" s="261" t="s">
        <v>846</v>
      </c>
      <c r="BP82" s="262"/>
      <c r="BQ82" s="262"/>
      <c r="BR82" s="262"/>
      <c r="BS82" s="262"/>
      <c r="BT82" s="263"/>
      <c r="BU82" s="241"/>
      <c r="BW82" s="280">
        <v>1</v>
      </c>
      <c r="BX82" s="281"/>
    </row>
    <row r="83" spans="1:76" ht="12" customHeight="1">
      <c r="A83" s="178"/>
      <c r="B83" s="174">
        <f>B82+1</f>
        <v>70</v>
      </c>
      <c r="C83" s="291"/>
      <c r="D83" s="292"/>
      <c r="E83" s="292"/>
      <c r="F83" s="292"/>
      <c r="G83" s="292"/>
      <c r="H83" s="293"/>
      <c r="I83" s="288" t="s">
        <v>713</v>
      </c>
      <c r="J83" s="289"/>
      <c r="K83" s="289"/>
      <c r="L83" s="289"/>
      <c r="M83" s="289"/>
      <c r="N83" s="289"/>
      <c r="O83" s="289"/>
      <c r="P83" s="290"/>
      <c r="Q83" s="261" t="s">
        <v>752</v>
      </c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2"/>
      <c r="AH83" s="262"/>
      <c r="AI83" s="262"/>
      <c r="AJ83" s="262"/>
      <c r="AK83" s="262"/>
      <c r="AL83" s="262"/>
      <c r="AM83" s="262"/>
      <c r="AN83" s="263"/>
      <c r="AO83" s="175">
        <f>AO82+1</f>
        <v>70</v>
      </c>
      <c r="AP83" s="291"/>
      <c r="AQ83" s="292"/>
      <c r="AR83" s="292"/>
      <c r="AS83" s="292"/>
      <c r="AT83" s="292"/>
      <c r="AU83" s="293"/>
      <c r="AV83" s="288" t="s">
        <v>847</v>
      </c>
      <c r="AW83" s="289"/>
      <c r="AX83" s="289"/>
      <c r="AY83" s="289"/>
      <c r="AZ83" s="289"/>
      <c r="BA83" s="289"/>
      <c r="BB83" s="289"/>
      <c r="BC83" s="290"/>
      <c r="BD83" s="191"/>
      <c r="BE83" s="180"/>
      <c r="BF83" s="261" t="s">
        <v>848</v>
      </c>
      <c r="BG83" s="262"/>
      <c r="BH83" s="262"/>
      <c r="BI83" s="262"/>
      <c r="BJ83" s="262"/>
      <c r="BK83" s="262"/>
      <c r="BL83" s="262"/>
      <c r="BM83" s="262"/>
      <c r="BN83" s="263"/>
      <c r="BO83" s="261" t="s">
        <v>849</v>
      </c>
      <c r="BP83" s="262"/>
      <c r="BQ83" s="262"/>
      <c r="BR83" s="262"/>
      <c r="BS83" s="262"/>
      <c r="BT83" s="263"/>
      <c r="BU83" s="241"/>
      <c r="BW83" s="280">
        <v>3</v>
      </c>
      <c r="BX83" s="281"/>
    </row>
    <row r="84" spans="1:76" ht="12" customHeight="1">
      <c r="A84" s="178"/>
      <c r="B84" s="174">
        <f>B83+1</f>
        <v>71</v>
      </c>
      <c r="C84" s="291"/>
      <c r="D84" s="292"/>
      <c r="E84" s="292"/>
      <c r="F84" s="292"/>
      <c r="G84" s="292"/>
      <c r="H84" s="293"/>
      <c r="I84" s="288" t="s">
        <v>713</v>
      </c>
      <c r="J84" s="289"/>
      <c r="K84" s="289"/>
      <c r="L84" s="289"/>
      <c r="M84" s="289"/>
      <c r="N84" s="289"/>
      <c r="O84" s="289"/>
      <c r="P84" s="290"/>
      <c r="Q84" s="261" t="s">
        <v>752</v>
      </c>
      <c r="R84" s="262"/>
      <c r="S84" s="262"/>
      <c r="T84" s="262"/>
      <c r="U84" s="262"/>
      <c r="V84" s="262"/>
      <c r="W84" s="262"/>
      <c r="X84" s="262"/>
      <c r="Y84" s="262"/>
      <c r="Z84" s="262"/>
      <c r="AA84" s="262"/>
      <c r="AB84" s="262"/>
      <c r="AC84" s="262"/>
      <c r="AD84" s="262"/>
      <c r="AE84" s="262"/>
      <c r="AF84" s="262"/>
      <c r="AG84" s="262"/>
      <c r="AH84" s="262"/>
      <c r="AI84" s="262"/>
      <c r="AJ84" s="262"/>
      <c r="AK84" s="262"/>
      <c r="AL84" s="262"/>
      <c r="AM84" s="262"/>
      <c r="AN84" s="263"/>
      <c r="AO84" s="175">
        <f>AO83+1</f>
        <v>71</v>
      </c>
      <c r="AP84" s="291"/>
      <c r="AQ84" s="292"/>
      <c r="AR84" s="292"/>
      <c r="AS84" s="292"/>
      <c r="AT84" s="292"/>
      <c r="AU84" s="293"/>
      <c r="AV84" s="288" t="s">
        <v>850</v>
      </c>
      <c r="AW84" s="289"/>
      <c r="AX84" s="289"/>
      <c r="AY84" s="289"/>
      <c r="AZ84" s="289"/>
      <c r="BA84" s="289"/>
      <c r="BB84" s="289"/>
      <c r="BC84" s="290"/>
      <c r="BD84" s="191"/>
      <c r="BE84" s="180"/>
      <c r="BF84" s="261" t="s">
        <v>851</v>
      </c>
      <c r="BG84" s="262"/>
      <c r="BH84" s="262"/>
      <c r="BI84" s="262"/>
      <c r="BJ84" s="262"/>
      <c r="BK84" s="262"/>
      <c r="BL84" s="262"/>
      <c r="BM84" s="262"/>
      <c r="BN84" s="263"/>
      <c r="BO84" s="261" t="s">
        <v>852</v>
      </c>
      <c r="BP84" s="262"/>
      <c r="BQ84" s="262"/>
      <c r="BR84" s="262"/>
      <c r="BS84" s="262"/>
      <c r="BT84" s="263"/>
      <c r="BU84" s="241"/>
      <c r="BW84" s="280">
        <v>10</v>
      </c>
      <c r="BX84" s="281"/>
    </row>
    <row r="85" spans="1:76" ht="12" customHeight="1">
      <c r="A85" s="178"/>
      <c r="B85" s="174">
        <f>B84+1</f>
        <v>72</v>
      </c>
      <c r="C85" s="286"/>
      <c r="D85" s="285"/>
      <c r="E85" s="285"/>
      <c r="F85" s="285"/>
      <c r="G85" s="285"/>
      <c r="H85" s="287"/>
      <c r="I85" s="288" t="s">
        <v>713</v>
      </c>
      <c r="J85" s="289"/>
      <c r="K85" s="289"/>
      <c r="L85" s="289"/>
      <c r="M85" s="289"/>
      <c r="N85" s="289"/>
      <c r="O85" s="289"/>
      <c r="P85" s="290"/>
      <c r="Q85" s="261" t="s">
        <v>752</v>
      </c>
      <c r="R85" s="262"/>
      <c r="S85" s="262"/>
      <c r="T85" s="262"/>
      <c r="U85" s="262"/>
      <c r="V85" s="262"/>
      <c r="W85" s="262"/>
      <c r="X85" s="262"/>
      <c r="Y85" s="262"/>
      <c r="Z85" s="262"/>
      <c r="AA85" s="262"/>
      <c r="AB85" s="262"/>
      <c r="AC85" s="262"/>
      <c r="AD85" s="262"/>
      <c r="AE85" s="262"/>
      <c r="AF85" s="262"/>
      <c r="AG85" s="262"/>
      <c r="AH85" s="262"/>
      <c r="AI85" s="262"/>
      <c r="AJ85" s="262"/>
      <c r="AK85" s="262"/>
      <c r="AL85" s="262"/>
      <c r="AM85" s="262"/>
      <c r="AN85" s="263"/>
      <c r="AO85" s="175">
        <f>AO84+1</f>
        <v>72</v>
      </c>
      <c r="AP85" s="291"/>
      <c r="AQ85" s="292"/>
      <c r="AR85" s="292"/>
      <c r="AS85" s="292"/>
      <c r="AT85" s="292"/>
      <c r="AU85" s="293"/>
      <c r="AV85" s="288" t="s">
        <v>853</v>
      </c>
      <c r="AW85" s="289"/>
      <c r="AX85" s="289"/>
      <c r="AY85" s="289"/>
      <c r="AZ85" s="289"/>
      <c r="BA85" s="289"/>
      <c r="BB85" s="289"/>
      <c r="BC85" s="290"/>
      <c r="BD85" s="179"/>
      <c r="BE85" s="180"/>
      <c r="BF85" s="261" t="s">
        <v>854</v>
      </c>
      <c r="BG85" s="262"/>
      <c r="BH85" s="262"/>
      <c r="BI85" s="262"/>
      <c r="BJ85" s="262"/>
      <c r="BK85" s="262"/>
      <c r="BL85" s="262"/>
      <c r="BM85" s="262"/>
      <c r="BN85" s="263"/>
      <c r="BO85" s="261" t="s">
        <v>855</v>
      </c>
      <c r="BP85" s="262"/>
      <c r="BQ85" s="262"/>
      <c r="BR85" s="262"/>
      <c r="BS85" s="262"/>
      <c r="BT85" s="263"/>
      <c r="BU85" s="241"/>
      <c r="BW85" s="280">
        <v>10</v>
      </c>
      <c r="BX85" s="281"/>
    </row>
    <row r="86" spans="1:76" ht="24" customHeight="1">
      <c r="A86" s="178"/>
      <c r="B86" s="174">
        <f t="shared" ref="B86:B119" si="4">B85+1</f>
        <v>73</v>
      </c>
      <c r="C86" s="297" t="s">
        <v>676</v>
      </c>
      <c r="D86" s="298"/>
      <c r="E86" s="298"/>
      <c r="F86" s="298"/>
      <c r="G86" s="298"/>
      <c r="H86" s="299"/>
      <c r="I86" s="309" t="s">
        <v>856</v>
      </c>
      <c r="J86" s="310"/>
      <c r="K86" s="310"/>
      <c r="L86" s="310"/>
      <c r="M86" s="310"/>
      <c r="N86" s="310"/>
      <c r="O86" s="310"/>
      <c r="P86" s="311"/>
      <c r="Q86" s="312" t="s">
        <v>857</v>
      </c>
      <c r="R86" s="262"/>
      <c r="S86" s="262"/>
      <c r="T86" s="262"/>
      <c r="U86" s="262"/>
      <c r="V86" s="262"/>
      <c r="W86" s="262"/>
      <c r="X86" s="262"/>
      <c r="Y86" s="262"/>
      <c r="Z86" s="262"/>
      <c r="AA86" s="262"/>
      <c r="AB86" s="262"/>
      <c r="AC86" s="262"/>
      <c r="AD86" s="262"/>
      <c r="AE86" s="262"/>
      <c r="AF86" s="262"/>
      <c r="AG86" s="262"/>
      <c r="AH86" s="262"/>
      <c r="AI86" s="262"/>
      <c r="AJ86" s="262"/>
      <c r="AK86" s="262"/>
      <c r="AL86" s="262"/>
      <c r="AM86" s="262"/>
      <c r="AN86" s="263"/>
      <c r="AO86" s="175">
        <f>AO85+1</f>
        <v>73</v>
      </c>
      <c r="AP86" s="291"/>
      <c r="AQ86" s="292"/>
      <c r="AR86" s="292"/>
      <c r="AS86" s="292"/>
      <c r="AT86" s="292"/>
      <c r="AU86" s="293"/>
      <c r="AV86" s="288" t="s">
        <v>62</v>
      </c>
      <c r="AW86" s="289"/>
      <c r="AX86" s="289"/>
      <c r="AY86" s="289"/>
      <c r="AZ86" s="289"/>
      <c r="BA86" s="289"/>
      <c r="BB86" s="289"/>
      <c r="BC86" s="290"/>
      <c r="BD86" s="179"/>
      <c r="BE86" s="180"/>
      <c r="BF86" s="261" t="s">
        <v>858</v>
      </c>
      <c r="BG86" s="262"/>
      <c r="BH86" s="262"/>
      <c r="BI86" s="262"/>
      <c r="BJ86" s="262"/>
      <c r="BK86" s="262"/>
      <c r="BL86" s="262"/>
      <c r="BM86" s="262"/>
      <c r="BN86" s="263"/>
      <c r="BO86" s="261" t="s">
        <v>859</v>
      </c>
      <c r="BP86" s="262"/>
      <c r="BQ86" s="262"/>
      <c r="BR86" s="262"/>
      <c r="BS86" s="262"/>
      <c r="BT86" s="263"/>
      <c r="BU86" s="241"/>
      <c r="BW86" s="280">
        <v>8</v>
      </c>
      <c r="BX86" s="281"/>
    </row>
    <row r="87" spans="1:76" ht="12" customHeight="1">
      <c r="A87" s="178"/>
      <c r="B87" s="174">
        <f t="shared" si="4"/>
        <v>74</v>
      </c>
      <c r="C87" s="291"/>
      <c r="D87" s="292"/>
      <c r="E87" s="292"/>
      <c r="F87" s="292"/>
      <c r="G87" s="292"/>
      <c r="H87" s="293"/>
      <c r="I87" s="288" t="s">
        <v>607</v>
      </c>
      <c r="J87" s="289"/>
      <c r="K87" s="289"/>
      <c r="L87" s="289"/>
      <c r="M87" s="289"/>
      <c r="N87" s="289"/>
      <c r="O87" s="289"/>
      <c r="P87" s="290"/>
      <c r="Q87" s="261" t="s">
        <v>677</v>
      </c>
      <c r="R87" s="262"/>
      <c r="S87" s="262"/>
      <c r="T87" s="262"/>
      <c r="U87" s="262"/>
      <c r="V87" s="262"/>
      <c r="W87" s="262"/>
      <c r="X87" s="262"/>
      <c r="Y87" s="262"/>
      <c r="Z87" s="262"/>
      <c r="AA87" s="262"/>
      <c r="AB87" s="262"/>
      <c r="AC87" s="262"/>
      <c r="AD87" s="262"/>
      <c r="AE87" s="262"/>
      <c r="AF87" s="262"/>
      <c r="AG87" s="262"/>
      <c r="AH87" s="262"/>
      <c r="AI87" s="262"/>
      <c r="AJ87" s="262"/>
      <c r="AK87" s="262"/>
      <c r="AL87" s="262"/>
      <c r="AM87" s="262"/>
      <c r="AN87" s="263"/>
      <c r="AO87" s="175">
        <f t="shared" si="2"/>
        <v>74</v>
      </c>
      <c r="AP87" s="291"/>
      <c r="AQ87" s="292"/>
      <c r="AR87" s="292"/>
      <c r="AS87" s="292"/>
      <c r="AT87" s="292"/>
      <c r="AU87" s="293"/>
      <c r="AV87" s="288" t="s">
        <v>607</v>
      </c>
      <c r="AW87" s="289"/>
      <c r="AX87" s="289"/>
      <c r="AY87" s="289"/>
      <c r="AZ87" s="289"/>
      <c r="BA87" s="289"/>
      <c r="BB87" s="289"/>
      <c r="BC87" s="290"/>
      <c r="BD87" s="179"/>
      <c r="BE87" s="180"/>
      <c r="BF87" s="261" t="s">
        <v>860</v>
      </c>
      <c r="BG87" s="262"/>
      <c r="BH87" s="262"/>
      <c r="BI87" s="262"/>
      <c r="BJ87" s="262"/>
      <c r="BK87" s="262"/>
      <c r="BL87" s="262"/>
      <c r="BM87" s="262"/>
      <c r="BN87" s="263"/>
      <c r="BO87" s="261" t="s">
        <v>861</v>
      </c>
      <c r="BP87" s="262"/>
      <c r="BQ87" s="262"/>
      <c r="BR87" s="262"/>
      <c r="BS87" s="262"/>
      <c r="BT87" s="263"/>
      <c r="BU87" s="241"/>
      <c r="BW87" s="280">
        <v>10</v>
      </c>
      <c r="BX87" s="281"/>
    </row>
    <row r="88" spans="1:76" ht="24" customHeight="1">
      <c r="A88" s="178"/>
      <c r="B88" s="174">
        <f t="shared" si="4"/>
        <v>75</v>
      </c>
      <c r="C88" s="291"/>
      <c r="D88" s="292"/>
      <c r="E88" s="292"/>
      <c r="F88" s="292"/>
      <c r="G88" s="292"/>
      <c r="H88" s="293"/>
      <c r="I88" s="309" t="s">
        <v>856</v>
      </c>
      <c r="J88" s="310"/>
      <c r="K88" s="310"/>
      <c r="L88" s="310"/>
      <c r="M88" s="310"/>
      <c r="N88" s="310"/>
      <c r="O88" s="310"/>
      <c r="P88" s="311"/>
      <c r="Q88" s="312" t="s">
        <v>862</v>
      </c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2"/>
      <c r="AH88" s="262"/>
      <c r="AI88" s="262"/>
      <c r="AJ88" s="262"/>
      <c r="AK88" s="262"/>
      <c r="AL88" s="262"/>
      <c r="AM88" s="262"/>
      <c r="AN88" s="263"/>
      <c r="AO88" s="175">
        <f t="shared" si="2"/>
        <v>75</v>
      </c>
      <c r="AP88" s="291"/>
      <c r="AQ88" s="292"/>
      <c r="AR88" s="292"/>
      <c r="AS88" s="292"/>
      <c r="AT88" s="292"/>
      <c r="AU88" s="293"/>
      <c r="AV88" s="288" t="s">
        <v>64</v>
      </c>
      <c r="AW88" s="289"/>
      <c r="AX88" s="289"/>
      <c r="AY88" s="289"/>
      <c r="AZ88" s="289"/>
      <c r="BA88" s="289"/>
      <c r="BB88" s="289"/>
      <c r="BC88" s="290"/>
      <c r="BD88" s="179"/>
      <c r="BE88" s="180"/>
      <c r="BF88" s="261" t="s">
        <v>863</v>
      </c>
      <c r="BG88" s="262"/>
      <c r="BH88" s="262"/>
      <c r="BI88" s="262"/>
      <c r="BJ88" s="262"/>
      <c r="BK88" s="262"/>
      <c r="BL88" s="262"/>
      <c r="BM88" s="262"/>
      <c r="BN88" s="263"/>
      <c r="BO88" s="261" t="s">
        <v>864</v>
      </c>
      <c r="BP88" s="262"/>
      <c r="BQ88" s="262"/>
      <c r="BR88" s="262"/>
      <c r="BS88" s="262"/>
      <c r="BT88" s="263"/>
      <c r="BU88" s="241"/>
      <c r="BW88" s="280">
        <v>8</v>
      </c>
      <c r="BX88" s="281"/>
    </row>
    <row r="89" spans="1:76" ht="12" customHeight="1">
      <c r="A89" s="178"/>
      <c r="B89" s="174">
        <f t="shared" si="4"/>
        <v>76</v>
      </c>
      <c r="C89" s="291"/>
      <c r="D89" s="292"/>
      <c r="E89" s="292"/>
      <c r="F89" s="292"/>
      <c r="G89" s="292"/>
      <c r="H89" s="293"/>
      <c r="I89" s="288" t="s">
        <v>612</v>
      </c>
      <c r="J89" s="289"/>
      <c r="K89" s="289"/>
      <c r="L89" s="289"/>
      <c r="M89" s="289"/>
      <c r="N89" s="289"/>
      <c r="O89" s="289"/>
      <c r="P89" s="290"/>
      <c r="Q89" s="261" t="s">
        <v>677</v>
      </c>
      <c r="R89" s="262"/>
      <c r="S89" s="262"/>
      <c r="T89" s="262"/>
      <c r="U89" s="262"/>
      <c r="V89" s="262"/>
      <c r="W89" s="262"/>
      <c r="X89" s="262"/>
      <c r="Y89" s="262"/>
      <c r="Z89" s="262"/>
      <c r="AA89" s="262"/>
      <c r="AB89" s="262"/>
      <c r="AC89" s="262"/>
      <c r="AD89" s="262"/>
      <c r="AE89" s="262"/>
      <c r="AF89" s="262"/>
      <c r="AG89" s="262"/>
      <c r="AH89" s="262"/>
      <c r="AI89" s="262"/>
      <c r="AJ89" s="262"/>
      <c r="AK89" s="262"/>
      <c r="AL89" s="262"/>
      <c r="AM89" s="262"/>
      <c r="AN89" s="263"/>
      <c r="AO89" s="175">
        <f t="shared" si="2"/>
        <v>76</v>
      </c>
      <c r="AP89" s="291"/>
      <c r="AQ89" s="292"/>
      <c r="AR89" s="292"/>
      <c r="AS89" s="292"/>
      <c r="AT89" s="292"/>
      <c r="AU89" s="293"/>
      <c r="AV89" s="288" t="s">
        <v>612</v>
      </c>
      <c r="AW89" s="289"/>
      <c r="AX89" s="289"/>
      <c r="AY89" s="289"/>
      <c r="AZ89" s="289"/>
      <c r="BA89" s="289"/>
      <c r="BB89" s="289"/>
      <c r="BC89" s="290"/>
      <c r="BD89" s="179"/>
      <c r="BE89" s="180"/>
      <c r="BF89" s="261" t="s">
        <v>612</v>
      </c>
      <c r="BG89" s="262"/>
      <c r="BH89" s="262"/>
      <c r="BI89" s="262"/>
      <c r="BJ89" s="262"/>
      <c r="BK89" s="262"/>
      <c r="BL89" s="262"/>
      <c r="BM89" s="262"/>
      <c r="BN89" s="263"/>
      <c r="BO89" s="261" t="s">
        <v>865</v>
      </c>
      <c r="BP89" s="262"/>
      <c r="BQ89" s="262"/>
      <c r="BR89" s="262"/>
      <c r="BS89" s="262"/>
      <c r="BT89" s="263"/>
      <c r="BU89" s="241"/>
      <c r="BW89" s="280">
        <v>8</v>
      </c>
      <c r="BX89" s="281"/>
    </row>
    <row r="90" spans="1:76" ht="12" customHeight="1">
      <c r="A90" s="178"/>
      <c r="B90" s="174">
        <f t="shared" si="4"/>
        <v>77</v>
      </c>
      <c r="C90" s="291"/>
      <c r="D90" s="292"/>
      <c r="E90" s="292"/>
      <c r="F90" s="292"/>
      <c r="G90" s="292"/>
      <c r="H90" s="293"/>
      <c r="I90" s="288" t="s">
        <v>614</v>
      </c>
      <c r="J90" s="289"/>
      <c r="K90" s="289"/>
      <c r="L90" s="289"/>
      <c r="M90" s="289"/>
      <c r="N90" s="289"/>
      <c r="O90" s="289"/>
      <c r="P90" s="290"/>
      <c r="Q90" s="261" t="s">
        <v>677</v>
      </c>
      <c r="R90" s="262"/>
      <c r="S90" s="262"/>
      <c r="T90" s="262"/>
      <c r="U90" s="262"/>
      <c r="V90" s="262"/>
      <c r="W90" s="262"/>
      <c r="X90" s="262"/>
      <c r="Y90" s="262"/>
      <c r="Z90" s="262"/>
      <c r="AA90" s="262"/>
      <c r="AB90" s="262"/>
      <c r="AC90" s="262"/>
      <c r="AD90" s="262"/>
      <c r="AE90" s="262"/>
      <c r="AF90" s="262"/>
      <c r="AG90" s="262"/>
      <c r="AH90" s="262"/>
      <c r="AI90" s="262"/>
      <c r="AJ90" s="262"/>
      <c r="AK90" s="262"/>
      <c r="AL90" s="262"/>
      <c r="AM90" s="262"/>
      <c r="AN90" s="263"/>
      <c r="AO90" s="175">
        <f t="shared" si="2"/>
        <v>77</v>
      </c>
      <c r="AP90" s="291"/>
      <c r="AQ90" s="292"/>
      <c r="AR90" s="292"/>
      <c r="AS90" s="292"/>
      <c r="AT90" s="292"/>
      <c r="AU90" s="293"/>
      <c r="AV90" s="288" t="s">
        <v>614</v>
      </c>
      <c r="AW90" s="289"/>
      <c r="AX90" s="289"/>
      <c r="AY90" s="289"/>
      <c r="AZ90" s="289"/>
      <c r="BA90" s="289"/>
      <c r="BB90" s="289"/>
      <c r="BC90" s="290"/>
      <c r="BD90" s="179"/>
      <c r="BE90" s="180"/>
      <c r="BF90" s="261" t="s">
        <v>866</v>
      </c>
      <c r="BG90" s="262"/>
      <c r="BH90" s="262"/>
      <c r="BI90" s="262"/>
      <c r="BJ90" s="262"/>
      <c r="BK90" s="262"/>
      <c r="BL90" s="262"/>
      <c r="BM90" s="262"/>
      <c r="BN90" s="263"/>
      <c r="BO90" s="261" t="s">
        <v>867</v>
      </c>
      <c r="BP90" s="262"/>
      <c r="BQ90" s="262"/>
      <c r="BR90" s="262"/>
      <c r="BS90" s="262"/>
      <c r="BT90" s="263"/>
      <c r="BU90" s="241"/>
      <c r="BW90" s="280">
        <v>10</v>
      </c>
      <c r="BX90" s="281"/>
    </row>
    <row r="91" spans="1:76" ht="12" customHeight="1">
      <c r="A91" s="178"/>
      <c r="B91" s="174">
        <f t="shared" si="4"/>
        <v>78</v>
      </c>
      <c r="C91" s="291"/>
      <c r="D91" s="292"/>
      <c r="E91" s="292"/>
      <c r="F91" s="292"/>
      <c r="G91" s="292"/>
      <c r="H91" s="293"/>
      <c r="I91" s="288" t="s">
        <v>616</v>
      </c>
      <c r="J91" s="289"/>
      <c r="K91" s="289"/>
      <c r="L91" s="289"/>
      <c r="M91" s="289"/>
      <c r="N91" s="289"/>
      <c r="O91" s="289"/>
      <c r="P91" s="290"/>
      <c r="Q91" s="261" t="s">
        <v>677</v>
      </c>
      <c r="R91" s="262"/>
      <c r="S91" s="262"/>
      <c r="T91" s="262"/>
      <c r="U91" s="262"/>
      <c r="V91" s="262"/>
      <c r="W91" s="262"/>
      <c r="X91" s="262"/>
      <c r="Y91" s="262"/>
      <c r="Z91" s="262"/>
      <c r="AA91" s="262"/>
      <c r="AB91" s="262"/>
      <c r="AC91" s="262"/>
      <c r="AD91" s="262"/>
      <c r="AE91" s="262"/>
      <c r="AF91" s="262"/>
      <c r="AG91" s="262"/>
      <c r="AH91" s="262"/>
      <c r="AI91" s="262"/>
      <c r="AJ91" s="262"/>
      <c r="AK91" s="262"/>
      <c r="AL91" s="262"/>
      <c r="AM91" s="262"/>
      <c r="AN91" s="263"/>
      <c r="AO91" s="175">
        <f t="shared" si="2"/>
        <v>78</v>
      </c>
      <c r="AP91" s="291"/>
      <c r="AQ91" s="292"/>
      <c r="AR91" s="292"/>
      <c r="AS91" s="292"/>
      <c r="AT91" s="292"/>
      <c r="AU91" s="293"/>
      <c r="AV91" s="288" t="s">
        <v>616</v>
      </c>
      <c r="AW91" s="289"/>
      <c r="AX91" s="289"/>
      <c r="AY91" s="289"/>
      <c r="AZ91" s="289"/>
      <c r="BA91" s="289"/>
      <c r="BB91" s="289"/>
      <c r="BC91" s="290"/>
      <c r="BD91" s="179"/>
      <c r="BE91" s="180"/>
      <c r="BF91" s="261" t="s">
        <v>868</v>
      </c>
      <c r="BG91" s="262"/>
      <c r="BH91" s="262"/>
      <c r="BI91" s="262"/>
      <c r="BJ91" s="262"/>
      <c r="BK91" s="262"/>
      <c r="BL91" s="262"/>
      <c r="BM91" s="262"/>
      <c r="BN91" s="263"/>
      <c r="BO91" s="261" t="s">
        <v>869</v>
      </c>
      <c r="BP91" s="262"/>
      <c r="BQ91" s="262"/>
      <c r="BR91" s="262"/>
      <c r="BS91" s="262"/>
      <c r="BT91" s="263"/>
      <c r="BU91" s="241"/>
      <c r="BW91" s="280">
        <v>8</v>
      </c>
      <c r="BX91" s="281"/>
    </row>
    <row r="92" spans="1:76" ht="12" customHeight="1">
      <c r="A92" s="178"/>
      <c r="B92" s="174">
        <f t="shared" si="4"/>
        <v>79</v>
      </c>
      <c r="C92" s="291"/>
      <c r="D92" s="292"/>
      <c r="E92" s="292"/>
      <c r="F92" s="292"/>
      <c r="G92" s="292"/>
      <c r="H92" s="293"/>
      <c r="I92" s="288" t="s">
        <v>620</v>
      </c>
      <c r="J92" s="289"/>
      <c r="K92" s="289"/>
      <c r="L92" s="289"/>
      <c r="M92" s="289"/>
      <c r="N92" s="289"/>
      <c r="O92" s="289"/>
      <c r="P92" s="290"/>
      <c r="Q92" s="261" t="s">
        <v>677</v>
      </c>
      <c r="R92" s="262"/>
      <c r="S92" s="262"/>
      <c r="T92" s="262"/>
      <c r="U92" s="262"/>
      <c r="V92" s="262"/>
      <c r="W92" s="262"/>
      <c r="X92" s="262"/>
      <c r="Y92" s="262"/>
      <c r="Z92" s="262"/>
      <c r="AA92" s="262"/>
      <c r="AB92" s="262"/>
      <c r="AC92" s="262"/>
      <c r="AD92" s="262"/>
      <c r="AE92" s="262"/>
      <c r="AF92" s="262"/>
      <c r="AG92" s="262"/>
      <c r="AH92" s="262"/>
      <c r="AI92" s="262"/>
      <c r="AJ92" s="262"/>
      <c r="AK92" s="262"/>
      <c r="AL92" s="262"/>
      <c r="AM92" s="262"/>
      <c r="AN92" s="263"/>
      <c r="AO92" s="175">
        <f t="shared" si="2"/>
        <v>79</v>
      </c>
      <c r="AP92" s="291"/>
      <c r="AQ92" s="292"/>
      <c r="AR92" s="292"/>
      <c r="AS92" s="292"/>
      <c r="AT92" s="292"/>
      <c r="AU92" s="293"/>
      <c r="AV92" s="288" t="s">
        <v>620</v>
      </c>
      <c r="AW92" s="289"/>
      <c r="AX92" s="289"/>
      <c r="AY92" s="289"/>
      <c r="AZ92" s="289"/>
      <c r="BA92" s="289"/>
      <c r="BB92" s="289"/>
      <c r="BC92" s="290"/>
      <c r="BD92" s="179"/>
      <c r="BE92" s="180"/>
      <c r="BF92" s="261" t="s">
        <v>620</v>
      </c>
      <c r="BG92" s="262"/>
      <c r="BH92" s="262"/>
      <c r="BI92" s="262"/>
      <c r="BJ92" s="262"/>
      <c r="BK92" s="262"/>
      <c r="BL92" s="262"/>
      <c r="BM92" s="262"/>
      <c r="BN92" s="263"/>
      <c r="BO92" s="261" t="s">
        <v>870</v>
      </c>
      <c r="BP92" s="262"/>
      <c r="BQ92" s="262"/>
      <c r="BR92" s="262"/>
      <c r="BS92" s="262"/>
      <c r="BT92" s="263"/>
      <c r="BU92" s="241"/>
      <c r="BW92" s="280">
        <v>8</v>
      </c>
      <c r="BX92" s="281"/>
    </row>
    <row r="93" spans="1:76" ht="12" customHeight="1">
      <c r="A93" s="178"/>
      <c r="B93" s="174">
        <f t="shared" si="4"/>
        <v>80</v>
      </c>
      <c r="C93" s="297" t="s">
        <v>713</v>
      </c>
      <c r="D93" s="298"/>
      <c r="E93" s="298"/>
      <c r="F93" s="298"/>
      <c r="G93" s="298"/>
      <c r="H93" s="299"/>
      <c r="I93" s="288" t="s">
        <v>713</v>
      </c>
      <c r="J93" s="289"/>
      <c r="K93" s="289"/>
      <c r="L93" s="289"/>
      <c r="M93" s="289"/>
      <c r="N93" s="289"/>
      <c r="O93" s="289"/>
      <c r="P93" s="290"/>
      <c r="Q93" s="261" t="s">
        <v>752</v>
      </c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2"/>
      <c r="AH93" s="262"/>
      <c r="AI93" s="262"/>
      <c r="AJ93" s="262"/>
      <c r="AK93" s="262"/>
      <c r="AL93" s="262"/>
      <c r="AM93" s="262"/>
      <c r="AN93" s="263"/>
      <c r="AO93" s="175">
        <f t="shared" si="2"/>
        <v>80</v>
      </c>
      <c r="AP93" s="291"/>
      <c r="AQ93" s="292"/>
      <c r="AR93" s="292"/>
      <c r="AS93" s="292"/>
      <c r="AT93" s="292"/>
      <c r="AU93" s="293"/>
      <c r="AV93" s="288" t="s">
        <v>871</v>
      </c>
      <c r="AW93" s="289"/>
      <c r="AX93" s="289"/>
      <c r="AY93" s="289"/>
      <c r="AZ93" s="289"/>
      <c r="BA93" s="289"/>
      <c r="BB93" s="289"/>
      <c r="BC93" s="290"/>
      <c r="BD93" s="179"/>
      <c r="BE93" s="180"/>
      <c r="BF93" s="261" t="s">
        <v>872</v>
      </c>
      <c r="BG93" s="262"/>
      <c r="BH93" s="262"/>
      <c r="BI93" s="262"/>
      <c r="BJ93" s="262"/>
      <c r="BK93" s="262"/>
      <c r="BL93" s="262"/>
      <c r="BM93" s="262"/>
      <c r="BN93" s="263"/>
      <c r="BO93" s="261" t="s">
        <v>873</v>
      </c>
      <c r="BP93" s="262"/>
      <c r="BQ93" s="262"/>
      <c r="BR93" s="262"/>
      <c r="BS93" s="262"/>
      <c r="BT93" s="263"/>
      <c r="BU93" s="241"/>
      <c r="BW93" s="280">
        <v>10</v>
      </c>
      <c r="BX93" s="281"/>
    </row>
    <row r="94" spans="1:76" ht="12" customHeight="1">
      <c r="A94" s="178"/>
      <c r="B94" s="174">
        <f t="shared" si="4"/>
        <v>81</v>
      </c>
      <c r="C94" s="291"/>
      <c r="D94" s="292"/>
      <c r="E94" s="292"/>
      <c r="F94" s="292"/>
      <c r="G94" s="292"/>
      <c r="H94" s="293"/>
      <c r="I94" s="288" t="s">
        <v>713</v>
      </c>
      <c r="J94" s="289"/>
      <c r="K94" s="289"/>
      <c r="L94" s="289"/>
      <c r="M94" s="289"/>
      <c r="N94" s="289"/>
      <c r="O94" s="289"/>
      <c r="P94" s="290"/>
      <c r="Q94" s="261" t="s">
        <v>752</v>
      </c>
      <c r="R94" s="262"/>
      <c r="S94" s="262"/>
      <c r="T94" s="262"/>
      <c r="U94" s="262"/>
      <c r="V94" s="262"/>
      <c r="W94" s="262"/>
      <c r="X94" s="262"/>
      <c r="Y94" s="262"/>
      <c r="Z94" s="262"/>
      <c r="AA94" s="262"/>
      <c r="AB94" s="262"/>
      <c r="AC94" s="262"/>
      <c r="AD94" s="262"/>
      <c r="AE94" s="262"/>
      <c r="AF94" s="262"/>
      <c r="AG94" s="262"/>
      <c r="AH94" s="262"/>
      <c r="AI94" s="262"/>
      <c r="AJ94" s="262"/>
      <c r="AK94" s="262"/>
      <c r="AL94" s="262"/>
      <c r="AM94" s="262"/>
      <c r="AN94" s="263"/>
      <c r="AO94" s="175">
        <f t="shared" si="2"/>
        <v>81</v>
      </c>
      <c r="AP94" s="291"/>
      <c r="AQ94" s="292"/>
      <c r="AR94" s="292"/>
      <c r="AS94" s="292"/>
      <c r="AT94" s="292"/>
      <c r="AU94" s="293"/>
      <c r="AV94" s="288" t="s">
        <v>874</v>
      </c>
      <c r="AW94" s="289"/>
      <c r="AX94" s="289"/>
      <c r="AY94" s="289"/>
      <c r="AZ94" s="289"/>
      <c r="BA94" s="289"/>
      <c r="BB94" s="289"/>
      <c r="BC94" s="290"/>
      <c r="BD94" s="179"/>
      <c r="BE94" s="180"/>
      <c r="BF94" s="261" t="s">
        <v>875</v>
      </c>
      <c r="BG94" s="262"/>
      <c r="BH94" s="262"/>
      <c r="BI94" s="262"/>
      <c r="BJ94" s="262"/>
      <c r="BK94" s="262"/>
      <c r="BL94" s="262"/>
      <c r="BM94" s="262"/>
      <c r="BN94" s="263"/>
      <c r="BO94" s="261" t="s">
        <v>876</v>
      </c>
      <c r="BP94" s="262"/>
      <c r="BQ94" s="262"/>
      <c r="BR94" s="262"/>
      <c r="BS94" s="262"/>
      <c r="BT94" s="263"/>
      <c r="BU94" s="241"/>
      <c r="BW94" s="280">
        <v>10</v>
      </c>
      <c r="BX94" s="281"/>
    </row>
    <row r="95" spans="1:76" ht="12" customHeight="1">
      <c r="A95" s="178"/>
      <c r="B95" s="174">
        <f t="shared" si="4"/>
        <v>82</v>
      </c>
      <c r="C95" s="291"/>
      <c r="D95" s="292"/>
      <c r="E95" s="292"/>
      <c r="F95" s="292"/>
      <c r="G95" s="292"/>
      <c r="H95" s="293"/>
      <c r="I95" s="288" t="s">
        <v>713</v>
      </c>
      <c r="J95" s="289"/>
      <c r="K95" s="289"/>
      <c r="L95" s="289"/>
      <c r="M95" s="289"/>
      <c r="N95" s="289"/>
      <c r="O95" s="289"/>
      <c r="P95" s="290"/>
      <c r="Q95" s="261" t="s">
        <v>752</v>
      </c>
      <c r="R95" s="262"/>
      <c r="S95" s="262"/>
      <c r="T95" s="262"/>
      <c r="U95" s="262"/>
      <c r="V95" s="262"/>
      <c r="W95" s="262"/>
      <c r="X95" s="262"/>
      <c r="Y95" s="262"/>
      <c r="Z95" s="262"/>
      <c r="AA95" s="262"/>
      <c r="AB95" s="262"/>
      <c r="AC95" s="262"/>
      <c r="AD95" s="262"/>
      <c r="AE95" s="262"/>
      <c r="AF95" s="262"/>
      <c r="AG95" s="262"/>
      <c r="AH95" s="262"/>
      <c r="AI95" s="262"/>
      <c r="AJ95" s="262"/>
      <c r="AK95" s="262"/>
      <c r="AL95" s="262"/>
      <c r="AM95" s="262"/>
      <c r="AN95" s="263"/>
      <c r="AO95" s="181">
        <f t="shared" si="2"/>
        <v>82</v>
      </c>
      <c r="AP95" s="291"/>
      <c r="AQ95" s="292"/>
      <c r="AR95" s="292"/>
      <c r="AS95" s="292"/>
      <c r="AT95" s="292"/>
      <c r="AU95" s="293"/>
      <c r="AV95" s="288" t="s">
        <v>25</v>
      </c>
      <c r="AW95" s="289"/>
      <c r="AX95" s="289"/>
      <c r="AY95" s="289"/>
      <c r="AZ95" s="289"/>
      <c r="BA95" s="289"/>
      <c r="BB95" s="289"/>
      <c r="BC95" s="290"/>
      <c r="BD95" s="179"/>
      <c r="BE95" s="180"/>
      <c r="BF95" s="261" t="s">
        <v>877</v>
      </c>
      <c r="BG95" s="262"/>
      <c r="BH95" s="262"/>
      <c r="BI95" s="262"/>
      <c r="BJ95" s="262"/>
      <c r="BK95" s="262"/>
      <c r="BL95" s="262"/>
      <c r="BM95" s="262"/>
      <c r="BN95" s="263"/>
      <c r="BO95" s="261" t="s">
        <v>878</v>
      </c>
      <c r="BP95" s="262"/>
      <c r="BQ95" s="262"/>
      <c r="BR95" s="262"/>
      <c r="BS95" s="262"/>
      <c r="BT95" s="263"/>
      <c r="BU95" s="241"/>
      <c r="BW95" s="280">
        <v>3</v>
      </c>
      <c r="BX95" s="281"/>
    </row>
    <row r="96" spans="1:76" ht="12" customHeight="1">
      <c r="A96" s="178"/>
      <c r="B96" s="174">
        <f t="shared" si="4"/>
        <v>83</v>
      </c>
      <c r="C96" s="291"/>
      <c r="D96" s="292"/>
      <c r="E96" s="292"/>
      <c r="F96" s="292"/>
      <c r="G96" s="292"/>
      <c r="H96" s="293"/>
      <c r="I96" s="288" t="s">
        <v>713</v>
      </c>
      <c r="J96" s="289"/>
      <c r="K96" s="289"/>
      <c r="L96" s="289"/>
      <c r="M96" s="289"/>
      <c r="N96" s="289"/>
      <c r="O96" s="289"/>
      <c r="P96" s="290"/>
      <c r="Q96" s="261" t="s">
        <v>752</v>
      </c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3"/>
      <c r="AO96" s="181">
        <f t="shared" si="2"/>
        <v>83</v>
      </c>
      <c r="AP96" s="291"/>
      <c r="AQ96" s="292"/>
      <c r="AR96" s="292"/>
      <c r="AS96" s="292"/>
      <c r="AT96" s="292"/>
      <c r="AU96" s="293"/>
      <c r="AV96" s="288" t="s">
        <v>879</v>
      </c>
      <c r="AW96" s="289"/>
      <c r="AX96" s="289"/>
      <c r="AY96" s="289"/>
      <c r="AZ96" s="289"/>
      <c r="BA96" s="289"/>
      <c r="BB96" s="289"/>
      <c r="BC96" s="290"/>
      <c r="BD96" s="179"/>
      <c r="BE96" s="180"/>
      <c r="BF96" s="261" t="s">
        <v>880</v>
      </c>
      <c r="BG96" s="262"/>
      <c r="BH96" s="262"/>
      <c r="BI96" s="262"/>
      <c r="BJ96" s="262"/>
      <c r="BK96" s="262"/>
      <c r="BL96" s="262"/>
      <c r="BM96" s="262"/>
      <c r="BN96" s="263"/>
      <c r="BO96" s="261" t="s">
        <v>881</v>
      </c>
      <c r="BP96" s="262"/>
      <c r="BQ96" s="262"/>
      <c r="BR96" s="262"/>
      <c r="BS96" s="262"/>
      <c r="BT96" s="263"/>
      <c r="BU96" s="241"/>
      <c r="BW96" s="280">
        <v>10</v>
      </c>
      <c r="BX96" s="281"/>
    </row>
    <row r="97" spans="1:76" ht="12" customHeight="1">
      <c r="A97" s="178"/>
      <c r="B97" s="174">
        <f t="shared" si="4"/>
        <v>84</v>
      </c>
      <c r="C97" s="306"/>
      <c r="D97" s="307"/>
      <c r="E97" s="307"/>
      <c r="F97" s="307"/>
      <c r="G97" s="307"/>
      <c r="H97" s="308"/>
      <c r="I97" s="288" t="s">
        <v>713</v>
      </c>
      <c r="J97" s="289"/>
      <c r="K97" s="289"/>
      <c r="L97" s="289"/>
      <c r="M97" s="289"/>
      <c r="N97" s="289"/>
      <c r="O97" s="289"/>
      <c r="P97" s="290"/>
      <c r="Q97" s="261" t="s">
        <v>752</v>
      </c>
      <c r="R97" s="262"/>
      <c r="S97" s="262"/>
      <c r="T97" s="262"/>
      <c r="U97" s="262"/>
      <c r="V97" s="262"/>
      <c r="W97" s="262"/>
      <c r="X97" s="262"/>
      <c r="Y97" s="262"/>
      <c r="Z97" s="262"/>
      <c r="AA97" s="262"/>
      <c r="AB97" s="262"/>
      <c r="AC97" s="262"/>
      <c r="AD97" s="262"/>
      <c r="AE97" s="262"/>
      <c r="AF97" s="262"/>
      <c r="AG97" s="262"/>
      <c r="AH97" s="262"/>
      <c r="AI97" s="262"/>
      <c r="AJ97" s="262"/>
      <c r="AK97" s="262"/>
      <c r="AL97" s="262"/>
      <c r="AM97" s="262"/>
      <c r="AN97" s="263"/>
      <c r="AO97" s="182">
        <f t="shared" si="2"/>
        <v>84</v>
      </c>
      <c r="AP97" s="306"/>
      <c r="AQ97" s="307"/>
      <c r="AR97" s="307"/>
      <c r="AS97" s="307"/>
      <c r="AT97" s="307"/>
      <c r="AU97" s="308"/>
      <c r="AV97" s="288" t="s">
        <v>22</v>
      </c>
      <c r="AW97" s="289"/>
      <c r="AX97" s="289"/>
      <c r="AY97" s="289"/>
      <c r="AZ97" s="289"/>
      <c r="BA97" s="289"/>
      <c r="BB97" s="289"/>
      <c r="BC97" s="290"/>
      <c r="BD97" s="179"/>
      <c r="BE97" s="180"/>
      <c r="BF97" s="261" t="s">
        <v>882</v>
      </c>
      <c r="BG97" s="262"/>
      <c r="BH97" s="262"/>
      <c r="BI97" s="262"/>
      <c r="BJ97" s="262"/>
      <c r="BK97" s="262"/>
      <c r="BL97" s="262"/>
      <c r="BM97" s="262"/>
      <c r="BN97" s="263"/>
      <c r="BO97" s="261" t="s">
        <v>883</v>
      </c>
      <c r="BP97" s="262"/>
      <c r="BQ97" s="262"/>
      <c r="BR97" s="262"/>
      <c r="BS97" s="262"/>
      <c r="BT97" s="263"/>
      <c r="BU97" s="241"/>
      <c r="BW97" s="280">
        <v>1</v>
      </c>
      <c r="BX97" s="281"/>
    </row>
    <row r="98" spans="1:76" ht="12" customHeight="1">
      <c r="A98" s="178"/>
      <c r="B98" s="174">
        <f t="shared" si="4"/>
        <v>85</v>
      </c>
      <c r="C98" s="291"/>
      <c r="D98" s="292"/>
      <c r="E98" s="292"/>
      <c r="F98" s="292"/>
      <c r="G98" s="292"/>
      <c r="H98" s="293"/>
      <c r="I98" s="288" t="s">
        <v>713</v>
      </c>
      <c r="J98" s="289"/>
      <c r="K98" s="289"/>
      <c r="L98" s="289"/>
      <c r="M98" s="289"/>
      <c r="N98" s="289"/>
      <c r="O98" s="289"/>
      <c r="P98" s="290"/>
      <c r="Q98" s="261" t="s">
        <v>752</v>
      </c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2"/>
      <c r="AH98" s="262"/>
      <c r="AI98" s="262"/>
      <c r="AJ98" s="262"/>
      <c r="AK98" s="262"/>
      <c r="AL98" s="262"/>
      <c r="AM98" s="262"/>
      <c r="AN98" s="263"/>
      <c r="AO98" s="184">
        <f t="shared" si="2"/>
        <v>85</v>
      </c>
      <c r="AP98" s="291"/>
      <c r="AQ98" s="292"/>
      <c r="AR98" s="292"/>
      <c r="AS98" s="292"/>
      <c r="AT98" s="292"/>
      <c r="AU98" s="293"/>
      <c r="AV98" s="288" t="s">
        <v>24</v>
      </c>
      <c r="AW98" s="289"/>
      <c r="AX98" s="289"/>
      <c r="AY98" s="289"/>
      <c r="AZ98" s="289"/>
      <c r="BA98" s="289"/>
      <c r="BB98" s="289"/>
      <c r="BC98" s="290"/>
      <c r="BD98" s="179"/>
      <c r="BE98" s="180"/>
      <c r="BF98" s="261" t="s">
        <v>884</v>
      </c>
      <c r="BG98" s="262"/>
      <c r="BH98" s="262"/>
      <c r="BI98" s="262"/>
      <c r="BJ98" s="262"/>
      <c r="BK98" s="262"/>
      <c r="BL98" s="262"/>
      <c r="BM98" s="262"/>
      <c r="BN98" s="263"/>
      <c r="BO98" s="261" t="s">
        <v>885</v>
      </c>
      <c r="BP98" s="262"/>
      <c r="BQ98" s="262"/>
      <c r="BR98" s="262"/>
      <c r="BS98" s="262"/>
      <c r="BT98" s="263"/>
      <c r="BU98" s="241"/>
      <c r="BW98" s="280">
        <v>2</v>
      </c>
      <c r="BX98" s="281"/>
    </row>
    <row r="99" spans="1:76" ht="12" customHeight="1">
      <c r="A99" s="178"/>
      <c r="B99" s="174">
        <f t="shared" si="4"/>
        <v>86</v>
      </c>
      <c r="C99" s="291"/>
      <c r="D99" s="292"/>
      <c r="E99" s="292"/>
      <c r="F99" s="292"/>
      <c r="G99" s="292"/>
      <c r="H99" s="293"/>
      <c r="I99" s="288" t="s">
        <v>713</v>
      </c>
      <c r="J99" s="289"/>
      <c r="K99" s="289"/>
      <c r="L99" s="289"/>
      <c r="M99" s="289"/>
      <c r="N99" s="289"/>
      <c r="O99" s="289"/>
      <c r="P99" s="290"/>
      <c r="Q99" s="261" t="s">
        <v>752</v>
      </c>
      <c r="R99" s="262"/>
      <c r="S99" s="262"/>
      <c r="T99" s="262"/>
      <c r="U99" s="262"/>
      <c r="V99" s="262"/>
      <c r="W99" s="262"/>
      <c r="X99" s="262"/>
      <c r="Y99" s="262"/>
      <c r="Z99" s="262"/>
      <c r="AA99" s="262"/>
      <c r="AB99" s="262"/>
      <c r="AC99" s="262"/>
      <c r="AD99" s="262"/>
      <c r="AE99" s="262"/>
      <c r="AF99" s="262"/>
      <c r="AG99" s="262"/>
      <c r="AH99" s="262"/>
      <c r="AI99" s="262"/>
      <c r="AJ99" s="262"/>
      <c r="AK99" s="262"/>
      <c r="AL99" s="262"/>
      <c r="AM99" s="262"/>
      <c r="AN99" s="263"/>
      <c r="AO99" s="175">
        <f t="shared" si="2"/>
        <v>86</v>
      </c>
      <c r="AP99" s="291"/>
      <c r="AQ99" s="292"/>
      <c r="AR99" s="292"/>
      <c r="AS99" s="292"/>
      <c r="AT99" s="292"/>
      <c r="AU99" s="293"/>
      <c r="AV99" s="288" t="s">
        <v>886</v>
      </c>
      <c r="AW99" s="289"/>
      <c r="AX99" s="289"/>
      <c r="AY99" s="289"/>
      <c r="AZ99" s="289"/>
      <c r="BA99" s="289"/>
      <c r="BB99" s="289"/>
      <c r="BC99" s="290"/>
      <c r="BD99" s="179"/>
      <c r="BE99" s="180"/>
      <c r="BF99" s="261" t="s">
        <v>887</v>
      </c>
      <c r="BG99" s="262"/>
      <c r="BH99" s="262"/>
      <c r="BI99" s="262"/>
      <c r="BJ99" s="262"/>
      <c r="BK99" s="262"/>
      <c r="BL99" s="262"/>
      <c r="BM99" s="262"/>
      <c r="BN99" s="263"/>
      <c r="BO99" s="261" t="s">
        <v>888</v>
      </c>
      <c r="BP99" s="262"/>
      <c r="BQ99" s="262"/>
      <c r="BR99" s="262"/>
      <c r="BS99" s="262"/>
      <c r="BT99" s="263"/>
      <c r="BU99" s="241"/>
      <c r="BW99" s="280">
        <v>4</v>
      </c>
      <c r="BX99" s="281"/>
    </row>
    <row r="100" spans="1:76" ht="12" customHeight="1">
      <c r="A100" s="178"/>
      <c r="B100" s="174">
        <f t="shared" si="4"/>
        <v>87</v>
      </c>
      <c r="C100" s="291"/>
      <c r="D100" s="292"/>
      <c r="E100" s="292"/>
      <c r="F100" s="292"/>
      <c r="G100" s="292"/>
      <c r="H100" s="293"/>
      <c r="I100" s="288" t="s">
        <v>713</v>
      </c>
      <c r="J100" s="289"/>
      <c r="K100" s="289"/>
      <c r="L100" s="289"/>
      <c r="M100" s="289"/>
      <c r="N100" s="289"/>
      <c r="O100" s="289"/>
      <c r="P100" s="290"/>
      <c r="Q100" s="261" t="s">
        <v>752</v>
      </c>
      <c r="R100" s="262"/>
      <c r="S100" s="262"/>
      <c r="T100" s="262"/>
      <c r="U100" s="262"/>
      <c r="V100" s="262"/>
      <c r="W100" s="262"/>
      <c r="X100" s="262"/>
      <c r="Y100" s="262"/>
      <c r="Z100" s="262"/>
      <c r="AA100" s="262"/>
      <c r="AB100" s="262"/>
      <c r="AC100" s="262"/>
      <c r="AD100" s="262"/>
      <c r="AE100" s="262"/>
      <c r="AF100" s="262"/>
      <c r="AG100" s="262"/>
      <c r="AH100" s="262"/>
      <c r="AI100" s="262"/>
      <c r="AJ100" s="262"/>
      <c r="AK100" s="262"/>
      <c r="AL100" s="262"/>
      <c r="AM100" s="262"/>
      <c r="AN100" s="263"/>
      <c r="AO100" s="175">
        <f t="shared" si="2"/>
        <v>87</v>
      </c>
      <c r="AP100" s="291"/>
      <c r="AQ100" s="292"/>
      <c r="AR100" s="292"/>
      <c r="AS100" s="292"/>
      <c r="AT100" s="292"/>
      <c r="AU100" s="293"/>
      <c r="AV100" s="288" t="s">
        <v>889</v>
      </c>
      <c r="AW100" s="289"/>
      <c r="AX100" s="289"/>
      <c r="AY100" s="289"/>
      <c r="AZ100" s="289"/>
      <c r="BA100" s="289"/>
      <c r="BB100" s="289"/>
      <c r="BC100" s="290"/>
      <c r="BD100" s="179"/>
      <c r="BE100" s="180"/>
      <c r="BF100" s="261" t="s">
        <v>890</v>
      </c>
      <c r="BG100" s="262"/>
      <c r="BH100" s="262"/>
      <c r="BI100" s="262"/>
      <c r="BJ100" s="262"/>
      <c r="BK100" s="262"/>
      <c r="BL100" s="262"/>
      <c r="BM100" s="262"/>
      <c r="BN100" s="263"/>
      <c r="BO100" s="261" t="s">
        <v>891</v>
      </c>
      <c r="BP100" s="262"/>
      <c r="BQ100" s="262"/>
      <c r="BR100" s="262"/>
      <c r="BS100" s="262"/>
      <c r="BT100" s="263"/>
      <c r="BU100" s="241"/>
      <c r="BW100" s="280">
        <v>3</v>
      </c>
      <c r="BX100" s="281"/>
    </row>
    <row r="101" spans="1:76" ht="12" customHeight="1">
      <c r="A101" s="178"/>
      <c r="B101" s="185">
        <f t="shared" si="4"/>
        <v>88</v>
      </c>
      <c r="C101" s="286"/>
      <c r="D101" s="285"/>
      <c r="E101" s="285"/>
      <c r="F101" s="285"/>
      <c r="G101" s="285"/>
      <c r="H101" s="287"/>
      <c r="I101" s="288" t="s">
        <v>823</v>
      </c>
      <c r="J101" s="289"/>
      <c r="K101" s="289"/>
      <c r="L101" s="289"/>
      <c r="M101" s="289"/>
      <c r="N101" s="289"/>
      <c r="O101" s="289"/>
      <c r="P101" s="290"/>
      <c r="Q101" s="261" t="s">
        <v>752</v>
      </c>
      <c r="R101" s="262"/>
      <c r="S101" s="262"/>
      <c r="T101" s="262"/>
      <c r="U101" s="262"/>
      <c r="V101" s="262"/>
      <c r="W101" s="262"/>
      <c r="X101" s="262"/>
      <c r="Y101" s="262"/>
      <c r="Z101" s="262"/>
      <c r="AA101" s="262"/>
      <c r="AB101" s="262"/>
      <c r="AC101" s="262"/>
      <c r="AD101" s="262"/>
      <c r="AE101" s="262"/>
      <c r="AF101" s="262"/>
      <c r="AG101" s="262"/>
      <c r="AH101" s="262"/>
      <c r="AI101" s="262"/>
      <c r="AJ101" s="262"/>
      <c r="AK101" s="262"/>
      <c r="AL101" s="262"/>
      <c r="AM101" s="262"/>
      <c r="AN101" s="263"/>
      <c r="AO101" s="181">
        <f t="shared" si="2"/>
        <v>88</v>
      </c>
      <c r="AP101" s="286"/>
      <c r="AQ101" s="285"/>
      <c r="AR101" s="285"/>
      <c r="AS101" s="285"/>
      <c r="AT101" s="285"/>
      <c r="AU101" s="287"/>
      <c r="AV101" s="288" t="s">
        <v>892</v>
      </c>
      <c r="AW101" s="289"/>
      <c r="AX101" s="289"/>
      <c r="AY101" s="289"/>
      <c r="AZ101" s="289"/>
      <c r="BA101" s="289"/>
      <c r="BB101" s="289"/>
      <c r="BC101" s="290"/>
      <c r="BD101" s="179"/>
      <c r="BE101" s="180"/>
      <c r="BF101" s="261" t="s">
        <v>893</v>
      </c>
      <c r="BG101" s="262"/>
      <c r="BH101" s="262"/>
      <c r="BI101" s="262"/>
      <c r="BJ101" s="262"/>
      <c r="BK101" s="262"/>
      <c r="BL101" s="262"/>
      <c r="BM101" s="262"/>
      <c r="BN101" s="263"/>
      <c r="BO101" s="261" t="s">
        <v>894</v>
      </c>
      <c r="BP101" s="262"/>
      <c r="BQ101" s="262"/>
      <c r="BR101" s="262"/>
      <c r="BS101" s="262"/>
      <c r="BT101" s="263"/>
      <c r="BU101" s="241"/>
      <c r="BW101" s="280">
        <v>4</v>
      </c>
      <c r="BX101" s="281"/>
    </row>
    <row r="102" spans="1:76" ht="12" customHeight="1">
      <c r="A102" s="186"/>
      <c r="B102" s="192"/>
      <c r="C102" s="193"/>
      <c r="D102" s="193"/>
      <c r="E102" s="193"/>
      <c r="F102" s="193"/>
      <c r="G102" s="193"/>
      <c r="H102" s="193"/>
      <c r="I102" s="26"/>
      <c r="J102" s="26"/>
      <c r="K102" s="26"/>
      <c r="L102" s="26"/>
      <c r="M102" s="26"/>
      <c r="N102" s="26"/>
      <c r="O102" s="26"/>
      <c r="P102" s="26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  <c r="AI102" s="194"/>
      <c r="AJ102" s="194"/>
      <c r="AK102" s="194"/>
      <c r="AL102" s="194"/>
      <c r="AM102" s="194"/>
      <c r="AN102" s="194"/>
      <c r="AO102" s="192"/>
      <c r="AP102" s="195"/>
      <c r="AQ102" s="195"/>
      <c r="AR102" s="195"/>
      <c r="AS102" s="195"/>
      <c r="AT102" s="195"/>
      <c r="AU102" s="195"/>
      <c r="AV102" s="187"/>
      <c r="AW102" s="187"/>
      <c r="AX102" s="187"/>
      <c r="AY102" s="187"/>
      <c r="AZ102" s="187"/>
      <c r="BA102" s="187"/>
      <c r="BB102" s="187"/>
      <c r="BC102" s="187"/>
      <c r="BD102" s="189"/>
      <c r="BE102" s="190"/>
      <c r="BF102" s="147"/>
      <c r="BG102" s="148"/>
      <c r="BH102" s="148"/>
      <c r="BI102" s="148"/>
      <c r="BJ102" s="148"/>
      <c r="BK102" s="148"/>
      <c r="BL102" s="148"/>
      <c r="BM102" s="148"/>
      <c r="BN102" s="149"/>
      <c r="BO102" s="147"/>
      <c r="BP102" s="148"/>
      <c r="BQ102" s="148"/>
      <c r="BR102" s="148"/>
      <c r="BS102" s="148"/>
      <c r="BT102" s="149"/>
      <c r="BU102" s="241"/>
      <c r="BW102" s="206"/>
      <c r="BX102" s="207"/>
    </row>
    <row r="103" spans="1:76" ht="12" customHeight="1">
      <c r="A103" s="178"/>
      <c r="B103" s="174">
        <f>B101+1</f>
        <v>89</v>
      </c>
      <c r="C103" s="297" t="s">
        <v>713</v>
      </c>
      <c r="D103" s="298"/>
      <c r="E103" s="298"/>
      <c r="F103" s="298"/>
      <c r="G103" s="298"/>
      <c r="H103" s="299"/>
      <c r="I103" s="288" t="s">
        <v>823</v>
      </c>
      <c r="J103" s="289"/>
      <c r="K103" s="289"/>
      <c r="L103" s="289"/>
      <c r="M103" s="289"/>
      <c r="N103" s="289"/>
      <c r="O103" s="289"/>
      <c r="P103" s="290"/>
      <c r="Q103" s="261" t="s">
        <v>752</v>
      </c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2"/>
      <c r="AH103" s="262"/>
      <c r="AI103" s="262"/>
      <c r="AJ103" s="262"/>
      <c r="AK103" s="262"/>
      <c r="AL103" s="262"/>
      <c r="AM103" s="262"/>
      <c r="AN103" s="263"/>
      <c r="AO103" s="175">
        <f>AO101+1</f>
        <v>89</v>
      </c>
      <c r="AP103" s="297" t="s">
        <v>678</v>
      </c>
      <c r="AQ103" s="298"/>
      <c r="AR103" s="298"/>
      <c r="AS103" s="298"/>
      <c r="AT103" s="298"/>
      <c r="AU103" s="299"/>
      <c r="AV103" s="288" t="s">
        <v>895</v>
      </c>
      <c r="AW103" s="289"/>
      <c r="AX103" s="289"/>
      <c r="AY103" s="289"/>
      <c r="AZ103" s="289"/>
      <c r="BA103" s="289"/>
      <c r="BB103" s="289"/>
      <c r="BC103" s="290"/>
      <c r="BD103" s="179"/>
      <c r="BE103" s="180"/>
      <c r="BF103" s="261" t="s">
        <v>896</v>
      </c>
      <c r="BG103" s="262"/>
      <c r="BH103" s="262"/>
      <c r="BI103" s="262"/>
      <c r="BJ103" s="262"/>
      <c r="BK103" s="262"/>
      <c r="BL103" s="262"/>
      <c r="BM103" s="262"/>
      <c r="BN103" s="263"/>
      <c r="BO103" s="261" t="s">
        <v>897</v>
      </c>
      <c r="BP103" s="262"/>
      <c r="BQ103" s="262"/>
      <c r="BR103" s="262"/>
      <c r="BS103" s="262"/>
      <c r="BT103" s="263"/>
      <c r="BU103" s="241"/>
      <c r="BW103" s="280">
        <v>3</v>
      </c>
      <c r="BX103" s="281"/>
    </row>
    <row r="104" spans="1:76" ht="12" customHeight="1">
      <c r="A104" s="178"/>
      <c r="B104" s="185">
        <f t="shared" si="4"/>
        <v>90</v>
      </c>
      <c r="C104" s="291"/>
      <c r="D104" s="292"/>
      <c r="E104" s="292"/>
      <c r="F104" s="292"/>
      <c r="G104" s="292"/>
      <c r="H104" s="293"/>
      <c r="I104" s="288" t="s">
        <v>713</v>
      </c>
      <c r="J104" s="289"/>
      <c r="K104" s="289"/>
      <c r="L104" s="289"/>
      <c r="M104" s="289"/>
      <c r="N104" s="289"/>
      <c r="O104" s="289"/>
      <c r="P104" s="290"/>
      <c r="Q104" s="261" t="s">
        <v>752</v>
      </c>
      <c r="R104" s="262"/>
      <c r="S104" s="262"/>
      <c r="T104" s="262"/>
      <c r="U104" s="262"/>
      <c r="V104" s="262"/>
      <c r="W104" s="262"/>
      <c r="X104" s="262"/>
      <c r="Y104" s="262"/>
      <c r="Z104" s="262"/>
      <c r="AA104" s="262"/>
      <c r="AB104" s="262"/>
      <c r="AC104" s="262"/>
      <c r="AD104" s="262"/>
      <c r="AE104" s="262"/>
      <c r="AF104" s="262"/>
      <c r="AG104" s="262"/>
      <c r="AH104" s="262"/>
      <c r="AI104" s="262"/>
      <c r="AJ104" s="262"/>
      <c r="AK104" s="262"/>
      <c r="AL104" s="262"/>
      <c r="AM104" s="262"/>
      <c r="AN104" s="263"/>
      <c r="AO104" s="181">
        <f t="shared" si="2"/>
        <v>90</v>
      </c>
      <c r="AP104" s="291"/>
      <c r="AQ104" s="292"/>
      <c r="AR104" s="292"/>
      <c r="AS104" s="292"/>
      <c r="AT104" s="292"/>
      <c r="AU104" s="293"/>
      <c r="AV104" s="288" t="s">
        <v>898</v>
      </c>
      <c r="AW104" s="289"/>
      <c r="AX104" s="289"/>
      <c r="AY104" s="289"/>
      <c r="AZ104" s="289"/>
      <c r="BA104" s="289"/>
      <c r="BB104" s="289"/>
      <c r="BC104" s="290"/>
      <c r="BD104" s="179"/>
      <c r="BE104" s="180"/>
      <c r="BF104" s="261" t="s">
        <v>899</v>
      </c>
      <c r="BG104" s="262"/>
      <c r="BH104" s="262"/>
      <c r="BI104" s="262"/>
      <c r="BJ104" s="262"/>
      <c r="BK104" s="262"/>
      <c r="BL104" s="262"/>
      <c r="BM104" s="262"/>
      <c r="BN104" s="263"/>
      <c r="BO104" s="261" t="s">
        <v>900</v>
      </c>
      <c r="BP104" s="262"/>
      <c r="BQ104" s="262"/>
      <c r="BR104" s="262"/>
      <c r="BS104" s="262"/>
      <c r="BT104" s="263"/>
      <c r="BU104" s="241"/>
      <c r="BW104" s="280">
        <v>4</v>
      </c>
      <c r="BX104" s="281"/>
    </row>
    <row r="105" spans="1:76" ht="12" customHeight="1">
      <c r="A105" s="178"/>
      <c r="B105" s="174">
        <f>B104+1</f>
        <v>91</v>
      </c>
      <c r="C105" s="291"/>
      <c r="D105" s="292"/>
      <c r="E105" s="292"/>
      <c r="F105" s="292"/>
      <c r="G105" s="292"/>
      <c r="H105" s="293"/>
      <c r="I105" s="288" t="s">
        <v>713</v>
      </c>
      <c r="J105" s="289"/>
      <c r="K105" s="289"/>
      <c r="L105" s="289"/>
      <c r="M105" s="289"/>
      <c r="N105" s="289"/>
      <c r="O105" s="289"/>
      <c r="P105" s="290"/>
      <c r="Q105" s="261" t="s">
        <v>752</v>
      </c>
      <c r="R105" s="262"/>
      <c r="S105" s="262"/>
      <c r="T105" s="262"/>
      <c r="U105" s="262"/>
      <c r="V105" s="262"/>
      <c r="W105" s="262"/>
      <c r="X105" s="262"/>
      <c r="Y105" s="262"/>
      <c r="Z105" s="262"/>
      <c r="AA105" s="262"/>
      <c r="AB105" s="262"/>
      <c r="AC105" s="262"/>
      <c r="AD105" s="262"/>
      <c r="AE105" s="262"/>
      <c r="AF105" s="262"/>
      <c r="AG105" s="262"/>
      <c r="AH105" s="262"/>
      <c r="AI105" s="262"/>
      <c r="AJ105" s="262"/>
      <c r="AK105" s="262"/>
      <c r="AL105" s="262"/>
      <c r="AM105" s="262"/>
      <c r="AN105" s="263"/>
      <c r="AO105" s="175">
        <f>AO104+1</f>
        <v>91</v>
      </c>
      <c r="AP105" s="291"/>
      <c r="AQ105" s="292"/>
      <c r="AR105" s="292"/>
      <c r="AS105" s="292"/>
      <c r="AT105" s="292"/>
      <c r="AU105" s="293"/>
      <c r="AV105" s="288" t="s">
        <v>901</v>
      </c>
      <c r="AW105" s="289"/>
      <c r="AX105" s="289"/>
      <c r="AY105" s="289"/>
      <c r="AZ105" s="289"/>
      <c r="BA105" s="289"/>
      <c r="BB105" s="289"/>
      <c r="BC105" s="290"/>
      <c r="BD105" s="179"/>
      <c r="BE105" s="180"/>
      <c r="BF105" s="261" t="s">
        <v>902</v>
      </c>
      <c r="BG105" s="262"/>
      <c r="BH105" s="262"/>
      <c r="BI105" s="262"/>
      <c r="BJ105" s="262"/>
      <c r="BK105" s="262"/>
      <c r="BL105" s="262"/>
      <c r="BM105" s="262"/>
      <c r="BN105" s="263"/>
      <c r="BO105" s="261" t="s">
        <v>903</v>
      </c>
      <c r="BP105" s="262"/>
      <c r="BQ105" s="262"/>
      <c r="BR105" s="262"/>
      <c r="BS105" s="262"/>
      <c r="BT105" s="263"/>
      <c r="BU105" s="241"/>
      <c r="BW105" s="280">
        <v>3</v>
      </c>
      <c r="BX105" s="281"/>
    </row>
    <row r="106" spans="1:76" ht="12" customHeight="1">
      <c r="A106" s="178"/>
      <c r="B106" s="174">
        <f t="shared" si="4"/>
        <v>92</v>
      </c>
      <c r="C106" s="291"/>
      <c r="D106" s="292"/>
      <c r="E106" s="292"/>
      <c r="F106" s="292"/>
      <c r="G106" s="292"/>
      <c r="H106" s="293"/>
      <c r="I106" s="288" t="s">
        <v>713</v>
      </c>
      <c r="J106" s="289"/>
      <c r="K106" s="289"/>
      <c r="L106" s="289"/>
      <c r="M106" s="289"/>
      <c r="N106" s="289"/>
      <c r="O106" s="289"/>
      <c r="P106" s="290"/>
      <c r="Q106" s="261" t="s">
        <v>752</v>
      </c>
      <c r="R106" s="262"/>
      <c r="S106" s="262"/>
      <c r="T106" s="262"/>
      <c r="U106" s="262"/>
      <c r="V106" s="262"/>
      <c r="W106" s="262"/>
      <c r="X106" s="262"/>
      <c r="Y106" s="262"/>
      <c r="Z106" s="262"/>
      <c r="AA106" s="262"/>
      <c r="AB106" s="262"/>
      <c r="AC106" s="262"/>
      <c r="AD106" s="262"/>
      <c r="AE106" s="262"/>
      <c r="AF106" s="262"/>
      <c r="AG106" s="262"/>
      <c r="AH106" s="262"/>
      <c r="AI106" s="262"/>
      <c r="AJ106" s="262"/>
      <c r="AK106" s="262"/>
      <c r="AL106" s="262"/>
      <c r="AM106" s="262"/>
      <c r="AN106" s="263"/>
      <c r="AO106" s="175">
        <f t="shared" si="2"/>
        <v>92</v>
      </c>
      <c r="AP106" s="291"/>
      <c r="AQ106" s="292"/>
      <c r="AR106" s="292"/>
      <c r="AS106" s="292"/>
      <c r="AT106" s="292"/>
      <c r="AU106" s="293"/>
      <c r="AV106" s="288" t="s">
        <v>26</v>
      </c>
      <c r="AW106" s="289"/>
      <c r="AX106" s="289"/>
      <c r="AY106" s="289"/>
      <c r="AZ106" s="289"/>
      <c r="BA106" s="289"/>
      <c r="BB106" s="289"/>
      <c r="BC106" s="290"/>
      <c r="BD106" s="179"/>
      <c r="BE106" s="180"/>
      <c r="BF106" s="261" t="s">
        <v>904</v>
      </c>
      <c r="BG106" s="262"/>
      <c r="BH106" s="262"/>
      <c r="BI106" s="262"/>
      <c r="BJ106" s="262"/>
      <c r="BK106" s="262"/>
      <c r="BL106" s="262"/>
      <c r="BM106" s="262"/>
      <c r="BN106" s="263"/>
      <c r="BO106" s="261" t="s">
        <v>905</v>
      </c>
      <c r="BP106" s="262"/>
      <c r="BQ106" s="262"/>
      <c r="BR106" s="262"/>
      <c r="BS106" s="262"/>
      <c r="BT106" s="263"/>
      <c r="BU106" s="241"/>
      <c r="BW106" s="280">
        <v>8</v>
      </c>
      <c r="BX106" s="281"/>
    </row>
    <row r="107" spans="1:76" ht="12" customHeight="1">
      <c r="A107" s="178"/>
      <c r="B107" s="174">
        <f t="shared" si="4"/>
        <v>93</v>
      </c>
      <c r="C107" s="291"/>
      <c r="D107" s="292"/>
      <c r="E107" s="292"/>
      <c r="F107" s="292"/>
      <c r="G107" s="292"/>
      <c r="H107" s="293"/>
      <c r="I107" s="288" t="s">
        <v>713</v>
      </c>
      <c r="J107" s="289"/>
      <c r="K107" s="289"/>
      <c r="L107" s="289"/>
      <c r="M107" s="289"/>
      <c r="N107" s="289"/>
      <c r="O107" s="289"/>
      <c r="P107" s="290"/>
      <c r="Q107" s="261" t="s">
        <v>752</v>
      </c>
      <c r="R107" s="262"/>
      <c r="S107" s="262"/>
      <c r="T107" s="262"/>
      <c r="U107" s="262"/>
      <c r="V107" s="262"/>
      <c r="W107" s="262"/>
      <c r="X107" s="262"/>
      <c r="Y107" s="262"/>
      <c r="Z107" s="262"/>
      <c r="AA107" s="262"/>
      <c r="AB107" s="262"/>
      <c r="AC107" s="262"/>
      <c r="AD107" s="262"/>
      <c r="AE107" s="262"/>
      <c r="AF107" s="262"/>
      <c r="AG107" s="262"/>
      <c r="AH107" s="262"/>
      <c r="AI107" s="262"/>
      <c r="AJ107" s="262"/>
      <c r="AK107" s="262"/>
      <c r="AL107" s="262"/>
      <c r="AM107" s="262"/>
      <c r="AN107" s="263"/>
      <c r="AO107" s="175">
        <f t="shared" si="2"/>
        <v>93</v>
      </c>
      <c r="AP107" s="291"/>
      <c r="AQ107" s="292"/>
      <c r="AR107" s="292"/>
      <c r="AS107" s="292"/>
      <c r="AT107" s="292"/>
      <c r="AU107" s="293"/>
      <c r="AV107" s="288" t="s">
        <v>77</v>
      </c>
      <c r="AW107" s="289"/>
      <c r="AX107" s="289"/>
      <c r="AY107" s="289"/>
      <c r="AZ107" s="289"/>
      <c r="BA107" s="289"/>
      <c r="BB107" s="289"/>
      <c r="BC107" s="290"/>
      <c r="BD107" s="179"/>
      <c r="BE107" s="180"/>
      <c r="BF107" s="261" t="s">
        <v>77</v>
      </c>
      <c r="BG107" s="262"/>
      <c r="BH107" s="262"/>
      <c r="BI107" s="262"/>
      <c r="BJ107" s="262"/>
      <c r="BK107" s="262"/>
      <c r="BL107" s="262"/>
      <c r="BM107" s="262"/>
      <c r="BN107" s="263"/>
      <c r="BO107" s="261" t="s">
        <v>906</v>
      </c>
      <c r="BP107" s="262"/>
      <c r="BQ107" s="262"/>
      <c r="BR107" s="262"/>
      <c r="BS107" s="262"/>
      <c r="BT107" s="263"/>
      <c r="BU107" s="241"/>
      <c r="BW107" s="280">
        <v>1</v>
      </c>
      <c r="BX107" s="281"/>
    </row>
    <row r="108" spans="1:76" ht="12" customHeight="1">
      <c r="A108" s="178"/>
      <c r="B108" s="185">
        <f t="shared" si="4"/>
        <v>94</v>
      </c>
      <c r="C108" s="291"/>
      <c r="D108" s="292"/>
      <c r="E108" s="292"/>
      <c r="F108" s="292"/>
      <c r="G108" s="292"/>
      <c r="H108" s="293"/>
      <c r="I108" s="288" t="s">
        <v>713</v>
      </c>
      <c r="J108" s="289"/>
      <c r="K108" s="289"/>
      <c r="L108" s="289"/>
      <c r="M108" s="289"/>
      <c r="N108" s="289"/>
      <c r="O108" s="289"/>
      <c r="P108" s="290"/>
      <c r="Q108" s="261" t="s">
        <v>752</v>
      </c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2"/>
      <c r="AH108" s="262"/>
      <c r="AI108" s="262"/>
      <c r="AJ108" s="262"/>
      <c r="AK108" s="262"/>
      <c r="AL108" s="262"/>
      <c r="AM108" s="262"/>
      <c r="AN108" s="263"/>
      <c r="AO108" s="181">
        <f t="shared" si="2"/>
        <v>94</v>
      </c>
      <c r="AP108" s="291"/>
      <c r="AQ108" s="292"/>
      <c r="AR108" s="292"/>
      <c r="AS108" s="292"/>
      <c r="AT108" s="292"/>
      <c r="AU108" s="293"/>
      <c r="AV108" s="288" t="s">
        <v>27</v>
      </c>
      <c r="AW108" s="289"/>
      <c r="AX108" s="289"/>
      <c r="AY108" s="289"/>
      <c r="AZ108" s="289"/>
      <c r="BA108" s="289"/>
      <c r="BB108" s="289"/>
      <c r="BC108" s="290"/>
      <c r="BD108" s="179"/>
      <c r="BE108" s="180"/>
      <c r="BF108" s="261" t="s">
        <v>907</v>
      </c>
      <c r="BG108" s="262"/>
      <c r="BH108" s="262"/>
      <c r="BI108" s="262"/>
      <c r="BJ108" s="262"/>
      <c r="BK108" s="262"/>
      <c r="BL108" s="262"/>
      <c r="BM108" s="262"/>
      <c r="BN108" s="263"/>
      <c r="BO108" s="261" t="s">
        <v>908</v>
      </c>
      <c r="BP108" s="262"/>
      <c r="BQ108" s="262"/>
      <c r="BR108" s="262"/>
      <c r="BS108" s="262"/>
      <c r="BT108" s="263"/>
      <c r="BU108" s="241"/>
      <c r="BW108" s="280">
        <v>8</v>
      </c>
      <c r="BX108" s="281"/>
    </row>
    <row r="109" spans="1:76" ht="12" customHeight="1">
      <c r="A109" s="178"/>
      <c r="B109" s="174">
        <f>B108+1</f>
        <v>95</v>
      </c>
      <c r="C109" s="291"/>
      <c r="D109" s="292"/>
      <c r="E109" s="292"/>
      <c r="F109" s="292"/>
      <c r="G109" s="292"/>
      <c r="H109" s="293"/>
      <c r="I109" s="288" t="s">
        <v>687</v>
      </c>
      <c r="J109" s="289"/>
      <c r="K109" s="289"/>
      <c r="L109" s="289"/>
      <c r="M109" s="289"/>
      <c r="N109" s="289"/>
      <c r="O109" s="289"/>
      <c r="P109" s="290"/>
      <c r="Q109" s="261" t="s">
        <v>752</v>
      </c>
      <c r="R109" s="262"/>
      <c r="S109" s="262"/>
      <c r="T109" s="262"/>
      <c r="U109" s="262"/>
      <c r="V109" s="262"/>
      <c r="W109" s="262"/>
      <c r="X109" s="262"/>
      <c r="Y109" s="262"/>
      <c r="Z109" s="262"/>
      <c r="AA109" s="262"/>
      <c r="AB109" s="262"/>
      <c r="AC109" s="262"/>
      <c r="AD109" s="262"/>
      <c r="AE109" s="262"/>
      <c r="AF109" s="262"/>
      <c r="AG109" s="262"/>
      <c r="AH109" s="262"/>
      <c r="AI109" s="262"/>
      <c r="AJ109" s="262"/>
      <c r="AK109" s="262"/>
      <c r="AL109" s="262"/>
      <c r="AM109" s="262"/>
      <c r="AN109" s="263"/>
      <c r="AO109" s="175">
        <f>AO108+1</f>
        <v>95</v>
      </c>
      <c r="AP109" s="291"/>
      <c r="AQ109" s="292"/>
      <c r="AR109" s="292"/>
      <c r="AS109" s="292"/>
      <c r="AT109" s="292"/>
      <c r="AU109" s="293"/>
      <c r="AV109" s="288" t="s">
        <v>909</v>
      </c>
      <c r="AW109" s="289"/>
      <c r="AX109" s="289"/>
      <c r="AY109" s="289"/>
      <c r="AZ109" s="289"/>
      <c r="BA109" s="289"/>
      <c r="BB109" s="289"/>
      <c r="BC109" s="290"/>
      <c r="BD109" s="179"/>
      <c r="BE109" s="180"/>
      <c r="BF109" s="261" t="s">
        <v>909</v>
      </c>
      <c r="BG109" s="262"/>
      <c r="BH109" s="262"/>
      <c r="BI109" s="262"/>
      <c r="BJ109" s="262"/>
      <c r="BK109" s="262"/>
      <c r="BL109" s="262"/>
      <c r="BM109" s="262"/>
      <c r="BN109" s="263"/>
      <c r="BO109" s="261" t="s">
        <v>910</v>
      </c>
      <c r="BP109" s="262"/>
      <c r="BQ109" s="262"/>
      <c r="BR109" s="262"/>
      <c r="BS109" s="262"/>
      <c r="BT109" s="263"/>
      <c r="BU109" s="241"/>
      <c r="BW109" s="280">
        <v>10</v>
      </c>
      <c r="BX109" s="281"/>
    </row>
    <row r="110" spans="1:76" ht="12" customHeight="1">
      <c r="A110" s="178"/>
      <c r="B110" s="174">
        <f t="shared" si="4"/>
        <v>96</v>
      </c>
      <c r="C110" s="291"/>
      <c r="D110" s="292"/>
      <c r="E110" s="292"/>
      <c r="F110" s="292"/>
      <c r="G110" s="292"/>
      <c r="H110" s="293"/>
      <c r="I110" s="288" t="s">
        <v>713</v>
      </c>
      <c r="J110" s="289"/>
      <c r="K110" s="289"/>
      <c r="L110" s="289"/>
      <c r="M110" s="289"/>
      <c r="N110" s="289"/>
      <c r="O110" s="289"/>
      <c r="P110" s="290"/>
      <c r="Q110" s="261" t="s">
        <v>752</v>
      </c>
      <c r="R110" s="262"/>
      <c r="S110" s="262"/>
      <c r="T110" s="262"/>
      <c r="U110" s="262"/>
      <c r="V110" s="262"/>
      <c r="W110" s="262"/>
      <c r="X110" s="262"/>
      <c r="Y110" s="262"/>
      <c r="Z110" s="262"/>
      <c r="AA110" s="262"/>
      <c r="AB110" s="262"/>
      <c r="AC110" s="262"/>
      <c r="AD110" s="262"/>
      <c r="AE110" s="262"/>
      <c r="AF110" s="262"/>
      <c r="AG110" s="262"/>
      <c r="AH110" s="262"/>
      <c r="AI110" s="262"/>
      <c r="AJ110" s="262"/>
      <c r="AK110" s="262"/>
      <c r="AL110" s="262"/>
      <c r="AM110" s="262"/>
      <c r="AN110" s="263"/>
      <c r="AO110" s="175">
        <f t="shared" si="2"/>
        <v>96</v>
      </c>
      <c r="AP110" s="291"/>
      <c r="AQ110" s="292"/>
      <c r="AR110" s="292"/>
      <c r="AS110" s="292"/>
      <c r="AT110" s="292"/>
      <c r="AU110" s="293"/>
      <c r="AV110" s="288" t="s">
        <v>911</v>
      </c>
      <c r="AW110" s="289"/>
      <c r="AX110" s="289"/>
      <c r="AY110" s="289"/>
      <c r="AZ110" s="289"/>
      <c r="BA110" s="289"/>
      <c r="BB110" s="289"/>
      <c r="BC110" s="290"/>
      <c r="BD110" s="179"/>
      <c r="BE110" s="180"/>
      <c r="BF110" s="261" t="s">
        <v>912</v>
      </c>
      <c r="BG110" s="262"/>
      <c r="BH110" s="262"/>
      <c r="BI110" s="262"/>
      <c r="BJ110" s="262"/>
      <c r="BK110" s="262"/>
      <c r="BL110" s="262"/>
      <c r="BM110" s="262"/>
      <c r="BN110" s="263"/>
      <c r="BO110" s="261" t="s">
        <v>913</v>
      </c>
      <c r="BP110" s="262"/>
      <c r="BQ110" s="262"/>
      <c r="BR110" s="262"/>
      <c r="BS110" s="262"/>
      <c r="BT110" s="263"/>
      <c r="BU110" s="241"/>
      <c r="BW110" s="280">
        <v>10</v>
      </c>
      <c r="BX110" s="281"/>
    </row>
    <row r="111" spans="1:76" ht="12" customHeight="1">
      <c r="A111" s="178"/>
      <c r="B111" s="174">
        <f t="shared" si="4"/>
        <v>97</v>
      </c>
      <c r="C111" s="291"/>
      <c r="D111" s="292"/>
      <c r="E111" s="292"/>
      <c r="F111" s="292"/>
      <c r="G111" s="292"/>
      <c r="H111" s="293"/>
      <c r="I111" s="288" t="s">
        <v>823</v>
      </c>
      <c r="J111" s="289"/>
      <c r="K111" s="289"/>
      <c r="L111" s="289"/>
      <c r="M111" s="289"/>
      <c r="N111" s="289"/>
      <c r="O111" s="289"/>
      <c r="P111" s="290"/>
      <c r="Q111" s="261" t="s">
        <v>752</v>
      </c>
      <c r="R111" s="262"/>
      <c r="S111" s="262"/>
      <c r="T111" s="262"/>
      <c r="U111" s="262"/>
      <c r="V111" s="262"/>
      <c r="W111" s="262"/>
      <c r="X111" s="262"/>
      <c r="Y111" s="262"/>
      <c r="Z111" s="262"/>
      <c r="AA111" s="262"/>
      <c r="AB111" s="262"/>
      <c r="AC111" s="262"/>
      <c r="AD111" s="262"/>
      <c r="AE111" s="262"/>
      <c r="AF111" s="262"/>
      <c r="AG111" s="262"/>
      <c r="AH111" s="262"/>
      <c r="AI111" s="262"/>
      <c r="AJ111" s="262"/>
      <c r="AK111" s="262"/>
      <c r="AL111" s="262"/>
      <c r="AM111" s="262"/>
      <c r="AN111" s="263"/>
      <c r="AO111" s="175">
        <f t="shared" si="2"/>
        <v>97</v>
      </c>
      <c r="AP111" s="291"/>
      <c r="AQ111" s="292"/>
      <c r="AR111" s="292"/>
      <c r="AS111" s="292"/>
      <c r="AT111" s="292"/>
      <c r="AU111" s="293"/>
      <c r="AV111" s="288" t="s">
        <v>321</v>
      </c>
      <c r="AW111" s="289"/>
      <c r="AX111" s="289"/>
      <c r="AY111" s="289"/>
      <c r="AZ111" s="289"/>
      <c r="BA111" s="289"/>
      <c r="BB111" s="289"/>
      <c r="BC111" s="290"/>
      <c r="BD111" s="179"/>
      <c r="BE111" s="180"/>
      <c r="BF111" s="261" t="s">
        <v>914</v>
      </c>
      <c r="BG111" s="262"/>
      <c r="BH111" s="262"/>
      <c r="BI111" s="262"/>
      <c r="BJ111" s="262"/>
      <c r="BK111" s="262"/>
      <c r="BL111" s="262"/>
      <c r="BM111" s="262"/>
      <c r="BN111" s="263"/>
      <c r="BO111" s="261" t="s">
        <v>915</v>
      </c>
      <c r="BP111" s="262"/>
      <c r="BQ111" s="262"/>
      <c r="BR111" s="262"/>
      <c r="BS111" s="262"/>
      <c r="BT111" s="263"/>
      <c r="BU111" s="241"/>
      <c r="BW111" s="280">
        <v>8</v>
      </c>
      <c r="BX111" s="281"/>
    </row>
    <row r="112" spans="1:76" ht="12" customHeight="1">
      <c r="A112" s="178"/>
      <c r="B112" s="174">
        <f t="shared" si="4"/>
        <v>98</v>
      </c>
      <c r="C112" s="291"/>
      <c r="D112" s="292"/>
      <c r="E112" s="292"/>
      <c r="F112" s="292"/>
      <c r="G112" s="292"/>
      <c r="H112" s="293"/>
      <c r="I112" s="288" t="s">
        <v>713</v>
      </c>
      <c r="J112" s="289"/>
      <c r="K112" s="289"/>
      <c r="L112" s="289"/>
      <c r="M112" s="289"/>
      <c r="N112" s="289"/>
      <c r="O112" s="289"/>
      <c r="P112" s="290"/>
      <c r="Q112" s="261" t="s">
        <v>752</v>
      </c>
      <c r="R112" s="262"/>
      <c r="S112" s="262"/>
      <c r="T112" s="262"/>
      <c r="U112" s="262"/>
      <c r="V112" s="262"/>
      <c r="W112" s="262"/>
      <c r="X112" s="262"/>
      <c r="Y112" s="262"/>
      <c r="Z112" s="262"/>
      <c r="AA112" s="262"/>
      <c r="AB112" s="262"/>
      <c r="AC112" s="262"/>
      <c r="AD112" s="262"/>
      <c r="AE112" s="262"/>
      <c r="AF112" s="262"/>
      <c r="AG112" s="262"/>
      <c r="AH112" s="262"/>
      <c r="AI112" s="262"/>
      <c r="AJ112" s="262"/>
      <c r="AK112" s="262"/>
      <c r="AL112" s="262"/>
      <c r="AM112" s="262"/>
      <c r="AN112" s="263"/>
      <c r="AO112" s="175">
        <f t="shared" si="2"/>
        <v>98</v>
      </c>
      <c r="AP112" s="291"/>
      <c r="AQ112" s="292"/>
      <c r="AR112" s="292"/>
      <c r="AS112" s="292"/>
      <c r="AT112" s="292"/>
      <c r="AU112" s="293"/>
      <c r="AV112" s="288" t="s">
        <v>916</v>
      </c>
      <c r="AW112" s="289"/>
      <c r="AX112" s="289"/>
      <c r="AY112" s="289"/>
      <c r="AZ112" s="289"/>
      <c r="BA112" s="289"/>
      <c r="BB112" s="289"/>
      <c r="BC112" s="290"/>
      <c r="BD112" s="196"/>
      <c r="BE112" s="180"/>
      <c r="BF112" s="261" t="s">
        <v>916</v>
      </c>
      <c r="BG112" s="262"/>
      <c r="BH112" s="262"/>
      <c r="BI112" s="262"/>
      <c r="BJ112" s="262"/>
      <c r="BK112" s="262"/>
      <c r="BL112" s="262"/>
      <c r="BM112" s="262"/>
      <c r="BN112" s="263"/>
      <c r="BO112" s="261" t="s">
        <v>917</v>
      </c>
      <c r="BP112" s="262"/>
      <c r="BQ112" s="262"/>
      <c r="BR112" s="262"/>
      <c r="BS112" s="262"/>
      <c r="BT112" s="263"/>
      <c r="BU112" s="241"/>
      <c r="BW112" s="280">
        <v>10</v>
      </c>
      <c r="BX112" s="281"/>
    </row>
    <row r="113" spans="1:76" ht="12" customHeight="1">
      <c r="A113" s="178"/>
      <c r="B113" s="174">
        <f t="shared" si="4"/>
        <v>99</v>
      </c>
      <c r="C113" s="291"/>
      <c r="D113" s="292"/>
      <c r="E113" s="292"/>
      <c r="F113" s="292"/>
      <c r="G113" s="292"/>
      <c r="H113" s="293"/>
      <c r="I113" s="288" t="s">
        <v>713</v>
      </c>
      <c r="J113" s="289"/>
      <c r="K113" s="289"/>
      <c r="L113" s="289"/>
      <c r="M113" s="289"/>
      <c r="N113" s="289"/>
      <c r="O113" s="289"/>
      <c r="P113" s="290"/>
      <c r="Q113" s="261" t="s">
        <v>752</v>
      </c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2"/>
      <c r="AH113" s="262"/>
      <c r="AI113" s="262"/>
      <c r="AJ113" s="262"/>
      <c r="AK113" s="262"/>
      <c r="AL113" s="262"/>
      <c r="AM113" s="262"/>
      <c r="AN113" s="263"/>
      <c r="AO113" s="175">
        <f t="shared" si="2"/>
        <v>99</v>
      </c>
      <c r="AP113" s="291"/>
      <c r="AQ113" s="292"/>
      <c r="AR113" s="292"/>
      <c r="AS113" s="292"/>
      <c r="AT113" s="292"/>
      <c r="AU113" s="293"/>
      <c r="AV113" s="288" t="s">
        <v>918</v>
      </c>
      <c r="AW113" s="289"/>
      <c r="AX113" s="289"/>
      <c r="AY113" s="289"/>
      <c r="AZ113" s="289"/>
      <c r="BA113" s="289"/>
      <c r="BB113" s="289"/>
      <c r="BC113" s="290"/>
      <c r="BD113" s="196"/>
      <c r="BE113" s="180"/>
      <c r="BF113" s="261" t="s">
        <v>919</v>
      </c>
      <c r="BG113" s="262"/>
      <c r="BH113" s="262"/>
      <c r="BI113" s="262"/>
      <c r="BJ113" s="262"/>
      <c r="BK113" s="262"/>
      <c r="BL113" s="262"/>
      <c r="BM113" s="262"/>
      <c r="BN113" s="263"/>
      <c r="BO113" s="261" t="s">
        <v>920</v>
      </c>
      <c r="BP113" s="262"/>
      <c r="BQ113" s="262"/>
      <c r="BR113" s="262"/>
      <c r="BS113" s="262"/>
      <c r="BT113" s="263"/>
      <c r="BU113" s="241"/>
      <c r="BW113" s="280">
        <v>10</v>
      </c>
      <c r="BX113" s="281"/>
    </row>
    <row r="114" spans="1:76" ht="12" customHeight="1">
      <c r="A114" s="178"/>
      <c r="B114" s="174">
        <f t="shared" si="4"/>
        <v>100</v>
      </c>
      <c r="C114" s="291"/>
      <c r="D114" s="292"/>
      <c r="E114" s="292"/>
      <c r="F114" s="292"/>
      <c r="G114" s="292"/>
      <c r="H114" s="293"/>
      <c r="I114" s="288" t="s">
        <v>687</v>
      </c>
      <c r="J114" s="289"/>
      <c r="K114" s="289"/>
      <c r="L114" s="289"/>
      <c r="M114" s="289"/>
      <c r="N114" s="289"/>
      <c r="O114" s="289"/>
      <c r="P114" s="290"/>
      <c r="Q114" s="261" t="s">
        <v>752</v>
      </c>
      <c r="R114" s="262"/>
      <c r="S114" s="262"/>
      <c r="T114" s="262"/>
      <c r="U114" s="262"/>
      <c r="V114" s="262"/>
      <c r="W114" s="262"/>
      <c r="X114" s="262"/>
      <c r="Y114" s="262"/>
      <c r="Z114" s="262"/>
      <c r="AA114" s="262"/>
      <c r="AB114" s="262"/>
      <c r="AC114" s="262"/>
      <c r="AD114" s="262"/>
      <c r="AE114" s="262"/>
      <c r="AF114" s="262"/>
      <c r="AG114" s="262"/>
      <c r="AH114" s="262"/>
      <c r="AI114" s="262"/>
      <c r="AJ114" s="262"/>
      <c r="AK114" s="262"/>
      <c r="AL114" s="262"/>
      <c r="AM114" s="262"/>
      <c r="AN114" s="263"/>
      <c r="AO114" s="175">
        <f t="shared" si="2"/>
        <v>100</v>
      </c>
      <c r="AP114" s="291"/>
      <c r="AQ114" s="292"/>
      <c r="AR114" s="292"/>
      <c r="AS114" s="292"/>
      <c r="AT114" s="292"/>
      <c r="AU114" s="293"/>
      <c r="AV114" s="288" t="s">
        <v>921</v>
      </c>
      <c r="AW114" s="289"/>
      <c r="AX114" s="289"/>
      <c r="AY114" s="289"/>
      <c r="AZ114" s="289"/>
      <c r="BA114" s="289"/>
      <c r="BB114" s="289"/>
      <c r="BC114" s="290"/>
      <c r="BD114" s="196"/>
      <c r="BE114" s="180"/>
      <c r="BF114" s="261" t="s">
        <v>922</v>
      </c>
      <c r="BG114" s="262"/>
      <c r="BH114" s="262"/>
      <c r="BI114" s="262"/>
      <c r="BJ114" s="262"/>
      <c r="BK114" s="262"/>
      <c r="BL114" s="262"/>
      <c r="BM114" s="262"/>
      <c r="BN114" s="263"/>
      <c r="BO114" s="261" t="s">
        <v>923</v>
      </c>
      <c r="BP114" s="262"/>
      <c r="BQ114" s="262"/>
      <c r="BR114" s="262"/>
      <c r="BS114" s="262"/>
      <c r="BT114" s="263"/>
      <c r="BU114" s="241"/>
      <c r="BW114" s="280">
        <v>10</v>
      </c>
      <c r="BX114" s="281"/>
    </row>
    <row r="115" spans="1:76" ht="12" customHeight="1">
      <c r="A115" s="178"/>
      <c r="B115" s="174">
        <f>B114+1</f>
        <v>101</v>
      </c>
      <c r="C115" s="291"/>
      <c r="D115" s="292"/>
      <c r="E115" s="292"/>
      <c r="F115" s="292"/>
      <c r="G115" s="292"/>
      <c r="H115" s="293"/>
      <c r="I115" s="288" t="s">
        <v>713</v>
      </c>
      <c r="J115" s="289"/>
      <c r="K115" s="289"/>
      <c r="L115" s="289"/>
      <c r="M115" s="289"/>
      <c r="N115" s="289"/>
      <c r="O115" s="289"/>
      <c r="P115" s="290"/>
      <c r="Q115" s="261" t="s">
        <v>752</v>
      </c>
      <c r="R115" s="262"/>
      <c r="S115" s="262"/>
      <c r="T115" s="262"/>
      <c r="U115" s="262"/>
      <c r="V115" s="262"/>
      <c r="W115" s="262"/>
      <c r="X115" s="262"/>
      <c r="Y115" s="262"/>
      <c r="Z115" s="262"/>
      <c r="AA115" s="262"/>
      <c r="AB115" s="262"/>
      <c r="AC115" s="262"/>
      <c r="AD115" s="262"/>
      <c r="AE115" s="262"/>
      <c r="AF115" s="262"/>
      <c r="AG115" s="262"/>
      <c r="AH115" s="262"/>
      <c r="AI115" s="262"/>
      <c r="AJ115" s="262"/>
      <c r="AK115" s="262"/>
      <c r="AL115" s="262"/>
      <c r="AM115" s="262"/>
      <c r="AN115" s="263"/>
      <c r="AO115" s="175">
        <f>AO114+1</f>
        <v>101</v>
      </c>
      <c r="AP115" s="291"/>
      <c r="AQ115" s="292"/>
      <c r="AR115" s="292"/>
      <c r="AS115" s="292"/>
      <c r="AT115" s="292"/>
      <c r="AU115" s="293"/>
      <c r="AV115" s="288" t="s">
        <v>924</v>
      </c>
      <c r="AW115" s="289"/>
      <c r="AX115" s="289"/>
      <c r="AY115" s="289"/>
      <c r="AZ115" s="289"/>
      <c r="BA115" s="289"/>
      <c r="BB115" s="289"/>
      <c r="BC115" s="290"/>
      <c r="BD115" s="196"/>
      <c r="BE115" s="180"/>
      <c r="BF115" s="261" t="s">
        <v>925</v>
      </c>
      <c r="BG115" s="262"/>
      <c r="BH115" s="262"/>
      <c r="BI115" s="262"/>
      <c r="BJ115" s="262"/>
      <c r="BK115" s="262"/>
      <c r="BL115" s="262"/>
      <c r="BM115" s="262"/>
      <c r="BN115" s="263"/>
      <c r="BO115" s="261" t="s">
        <v>926</v>
      </c>
      <c r="BP115" s="262"/>
      <c r="BQ115" s="262"/>
      <c r="BR115" s="262"/>
      <c r="BS115" s="262"/>
      <c r="BT115" s="263"/>
      <c r="BU115" s="241"/>
      <c r="BW115" s="280">
        <v>10</v>
      </c>
      <c r="BX115" s="281"/>
    </row>
    <row r="116" spans="1:76" ht="12" customHeight="1">
      <c r="A116" s="178"/>
      <c r="B116" s="174">
        <f t="shared" si="4"/>
        <v>102</v>
      </c>
      <c r="C116" s="291"/>
      <c r="D116" s="292"/>
      <c r="E116" s="292"/>
      <c r="F116" s="292"/>
      <c r="G116" s="292"/>
      <c r="H116" s="293"/>
      <c r="I116" s="288" t="s">
        <v>713</v>
      </c>
      <c r="J116" s="289"/>
      <c r="K116" s="289"/>
      <c r="L116" s="289"/>
      <c r="M116" s="289"/>
      <c r="N116" s="289"/>
      <c r="O116" s="289"/>
      <c r="P116" s="290"/>
      <c r="Q116" s="261" t="s">
        <v>752</v>
      </c>
      <c r="R116" s="262"/>
      <c r="S116" s="262"/>
      <c r="T116" s="262"/>
      <c r="U116" s="262"/>
      <c r="V116" s="262"/>
      <c r="W116" s="262"/>
      <c r="X116" s="262"/>
      <c r="Y116" s="262"/>
      <c r="Z116" s="262"/>
      <c r="AA116" s="262"/>
      <c r="AB116" s="262"/>
      <c r="AC116" s="262"/>
      <c r="AD116" s="262"/>
      <c r="AE116" s="262"/>
      <c r="AF116" s="262"/>
      <c r="AG116" s="262"/>
      <c r="AH116" s="262"/>
      <c r="AI116" s="262"/>
      <c r="AJ116" s="262"/>
      <c r="AK116" s="262"/>
      <c r="AL116" s="262"/>
      <c r="AM116" s="262"/>
      <c r="AN116" s="263"/>
      <c r="AO116" s="175">
        <f t="shared" si="2"/>
        <v>102</v>
      </c>
      <c r="AP116" s="291"/>
      <c r="AQ116" s="292"/>
      <c r="AR116" s="292"/>
      <c r="AS116" s="292"/>
      <c r="AT116" s="292"/>
      <c r="AU116" s="293"/>
      <c r="AV116" s="288" t="s">
        <v>927</v>
      </c>
      <c r="AW116" s="289"/>
      <c r="AX116" s="289"/>
      <c r="AY116" s="289"/>
      <c r="AZ116" s="289"/>
      <c r="BA116" s="289"/>
      <c r="BB116" s="289"/>
      <c r="BC116" s="290"/>
      <c r="BD116" s="179"/>
      <c r="BE116" s="180"/>
      <c r="BF116" s="261" t="s">
        <v>928</v>
      </c>
      <c r="BG116" s="262"/>
      <c r="BH116" s="262"/>
      <c r="BI116" s="262"/>
      <c r="BJ116" s="262"/>
      <c r="BK116" s="262"/>
      <c r="BL116" s="262"/>
      <c r="BM116" s="262"/>
      <c r="BN116" s="263"/>
      <c r="BO116" s="261" t="s">
        <v>929</v>
      </c>
      <c r="BP116" s="262"/>
      <c r="BQ116" s="262"/>
      <c r="BR116" s="262"/>
      <c r="BS116" s="262"/>
      <c r="BT116" s="263"/>
      <c r="BU116" s="241"/>
      <c r="BW116" s="280">
        <v>10</v>
      </c>
      <c r="BX116" s="281"/>
    </row>
    <row r="117" spans="1:76" ht="12" customHeight="1">
      <c r="A117" s="178"/>
      <c r="B117" s="174">
        <f t="shared" si="4"/>
        <v>103</v>
      </c>
      <c r="C117" s="291"/>
      <c r="D117" s="292"/>
      <c r="E117" s="292"/>
      <c r="F117" s="292"/>
      <c r="G117" s="292"/>
      <c r="H117" s="293"/>
      <c r="I117" s="288" t="s">
        <v>823</v>
      </c>
      <c r="J117" s="289"/>
      <c r="K117" s="289"/>
      <c r="L117" s="289"/>
      <c r="M117" s="289"/>
      <c r="N117" s="289"/>
      <c r="O117" s="289"/>
      <c r="P117" s="290"/>
      <c r="Q117" s="261" t="s">
        <v>752</v>
      </c>
      <c r="R117" s="262"/>
      <c r="S117" s="262"/>
      <c r="T117" s="262"/>
      <c r="U117" s="262"/>
      <c r="V117" s="262"/>
      <c r="W117" s="262"/>
      <c r="X117" s="262"/>
      <c r="Y117" s="262"/>
      <c r="Z117" s="262"/>
      <c r="AA117" s="262"/>
      <c r="AB117" s="262"/>
      <c r="AC117" s="262"/>
      <c r="AD117" s="262"/>
      <c r="AE117" s="262"/>
      <c r="AF117" s="262"/>
      <c r="AG117" s="262"/>
      <c r="AH117" s="262"/>
      <c r="AI117" s="262"/>
      <c r="AJ117" s="262"/>
      <c r="AK117" s="262"/>
      <c r="AL117" s="262"/>
      <c r="AM117" s="262"/>
      <c r="AN117" s="263"/>
      <c r="AO117" s="175">
        <f t="shared" si="2"/>
        <v>103</v>
      </c>
      <c r="AP117" s="291"/>
      <c r="AQ117" s="292"/>
      <c r="AR117" s="292"/>
      <c r="AS117" s="292"/>
      <c r="AT117" s="292"/>
      <c r="AU117" s="293"/>
      <c r="AV117" s="288" t="s">
        <v>930</v>
      </c>
      <c r="AW117" s="289"/>
      <c r="AX117" s="289"/>
      <c r="AY117" s="289"/>
      <c r="AZ117" s="289"/>
      <c r="BA117" s="289"/>
      <c r="BB117" s="289"/>
      <c r="BC117" s="290"/>
      <c r="BD117" s="178"/>
      <c r="BE117" s="180"/>
      <c r="BF117" s="261" t="s">
        <v>931</v>
      </c>
      <c r="BG117" s="262"/>
      <c r="BH117" s="262"/>
      <c r="BI117" s="262"/>
      <c r="BJ117" s="262"/>
      <c r="BK117" s="262"/>
      <c r="BL117" s="262"/>
      <c r="BM117" s="262"/>
      <c r="BN117" s="263"/>
      <c r="BO117" s="261" t="s">
        <v>932</v>
      </c>
      <c r="BP117" s="262"/>
      <c r="BQ117" s="262"/>
      <c r="BR117" s="262"/>
      <c r="BS117" s="262"/>
      <c r="BT117" s="263"/>
      <c r="BU117" s="241"/>
      <c r="BW117" s="280">
        <v>10</v>
      </c>
      <c r="BX117" s="281"/>
    </row>
    <row r="118" spans="1:76" ht="12" customHeight="1">
      <c r="A118" s="197"/>
      <c r="B118" s="174">
        <f t="shared" si="4"/>
        <v>104</v>
      </c>
      <c r="C118" s="291"/>
      <c r="D118" s="292"/>
      <c r="E118" s="292"/>
      <c r="F118" s="292"/>
      <c r="G118" s="292"/>
      <c r="H118" s="293"/>
      <c r="I118" s="288" t="s">
        <v>823</v>
      </c>
      <c r="J118" s="289"/>
      <c r="K118" s="289"/>
      <c r="L118" s="289"/>
      <c r="M118" s="289"/>
      <c r="N118" s="289"/>
      <c r="O118" s="289"/>
      <c r="P118" s="290"/>
      <c r="Q118" s="261" t="s">
        <v>752</v>
      </c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2"/>
      <c r="AH118" s="262"/>
      <c r="AI118" s="262"/>
      <c r="AJ118" s="262"/>
      <c r="AK118" s="262"/>
      <c r="AL118" s="262"/>
      <c r="AM118" s="262"/>
      <c r="AN118" s="263"/>
      <c r="AO118" s="175">
        <f t="shared" si="2"/>
        <v>104</v>
      </c>
      <c r="AP118" s="291"/>
      <c r="AQ118" s="292"/>
      <c r="AR118" s="292"/>
      <c r="AS118" s="292"/>
      <c r="AT118" s="292"/>
      <c r="AU118" s="293"/>
      <c r="AV118" s="288" t="s">
        <v>933</v>
      </c>
      <c r="AW118" s="289"/>
      <c r="AX118" s="289"/>
      <c r="AY118" s="289"/>
      <c r="AZ118" s="289"/>
      <c r="BA118" s="289"/>
      <c r="BB118" s="289"/>
      <c r="BC118" s="290"/>
      <c r="BD118" s="196"/>
      <c r="BE118" s="180"/>
      <c r="BF118" s="261" t="s">
        <v>934</v>
      </c>
      <c r="BG118" s="262"/>
      <c r="BH118" s="262"/>
      <c r="BI118" s="262"/>
      <c r="BJ118" s="262"/>
      <c r="BK118" s="262"/>
      <c r="BL118" s="262"/>
      <c r="BM118" s="262"/>
      <c r="BN118" s="263"/>
      <c r="BO118" s="261" t="s">
        <v>935</v>
      </c>
      <c r="BP118" s="262"/>
      <c r="BQ118" s="262"/>
      <c r="BR118" s="262"/>
      <c r="BS118" s="262"/>
      <c r="BT118" s="263"/>
      <c r="BU118" s="241"/>
      <c r="BW118" s="280">
        <v>10</v>
      </c>
      <c r="BX118" s="281"/>
    </row>
    <row r="119" spans="1:76" ht="12" customHeight="1">
      <c r="A119" s="197"/>
      <c r="B119" s="174">
        <f t="shared" si="4"/>
        <v>105</v>
      </c>
      <c r="C119" s="291"/>
      <c r="D119" s="292"/>
      <c r="E119" s="292"/>
      <c r="F119" s="292"/>
      <c r="G119" s="292"/>
      <c r="H119" s="293"/>
      <c r="I119" s="288" t="s">
        <v>823</v>
      </c>
      <c r="J119" s="289"/>
      <c r="K119" s="289"/>
      <c r="L119" s="289"/>
      <c r="M119" s="289"/>
      <c r="N119" s="289"/>
      <c r="O119" s="289"/>
      <c r="P119" s="290"/>
      <c r="Q119" s="261" t="s">
        <v>752</v>
      </c>
      <c r="R119" s="262"/>
      <c r="S119" s="262"/>
      <c r="T119" s="262"/>
      <c r="U119" s="262"/>
      <c r="V119" s="262"/>
      <c r="W119" s="262"/>
      <c r="X119" s="262"/>
      <c r="Y119" s="262"/>
      <c r="Z119" s="262"/>
      <c r="AA119" s="262"/>
      <c r="AB119" s="262"/>
      <c r="AC119" s="262"/>
      <c r="AD119" s="262"/>
      <c r="AE119" s="262"/>
      <c r="AF119" s="262"/>
      <c r="AG119" s="262"/>
      <c r="AH119" s="262"/>
      <c r="AI119" s="262"/>
      <c r="AJ119" s="262"/>
      <c r="AK119" s="262"/>
      <c r="AL119" s="262"/>
      <c r="AM119" s="262"/>
      <c r="AN119" s="263"/>
      <c r="AO119" s="175">
        <f t="shared" si="2"/>
        <v>105</v>
      </c>
      <c r="AP119" s="291"/>
      <c r="AQ119" s="292"/>
      <c r="AR119" s="292"/>
      <c r="AS119" s="292"/>
      <c r="AT119" s="292"/>
      <c r="AU119" s="293"/>
      <c r="AV119" s="288" t="s">
        <v>936</v>
      </c>
      <c r="AW119" s="289"/>
      <c r="AX119" s="289"/>
      <c r="AY119" s="289"/>
      <c r="AZ119" s="289"/>
      <c r="BA119" s="289"/>
      <c r="BB119" s="289"/>
      <c r="BC119" s="290"/>
      <c r="BD119" s="196"/>
      <c r="BE119" s="180"/>
      <c r="BF119" s="261" t="s">
        <v>937</v>
      </c>
      <c r="BG119" s="262"/>
      <c r="BH119" s="262"/>
      <c r="BI119" s="262"/>
      <c r="BJ119" s="262"/>
      <c r="BK119" s="262"/>
      <c r="BL119" s="262"/>
      <c r="BM119" s="262"/>
      <c r="BN119" s="263"/>
      <c r="BO119" s="261" t="s">
        <v>938</v>
      </c>
      <c r="BP119" s="262"/>
      <c r="BQ119" s="262"/>
      <c r="BR119" s="262"/>
      <c r="BS119" s="262"/>
      <c r="BT119" s="263"/>
      <c r="BU119" s="241"/>
      <c r="BW119" s="280">
        <v>10</v>
      </c>
      <c r="BX119" s="281"/>
    </row>
    <row r="120" spans="1:76" ht="12" customHeight="1">
      <c r="A120" s="197"/>
      <c r="B120" s="174">
        <f>B119+1</f>
        <v>106</v>
      </c>
      <c r="C120" s="291"/>
      <c r="D120" s="292"/>
      <c r="E120" s="292"/>
      <c r="F120" s="292"/>
      <c r="G120" s="292"/>
      <c r="H120" s="293"/>
      <c r="I120" s="288" t="s">
        <v>713</v>
      </c>
      <c r="J120" s="289"/>
      <c r="K120" s="289"/>
      <c r="L120" s="289"/>
      <c r="M120" s="289"/>
      <c r="N120" s="289"/>
      <c r="O120" s="289"/>
      <c r="P120" s="290"/>
      <c r="Q120" s="261" t="s">
        <v>752</v>
      </c>
      <c r="R120" s="262"/>
      <c r="S120" s="262"/>
      <c r="T120" s="262"/>
      <c r="U120" s="262"/>
      <c r="V120" s="262"/>
      <c r="W120" s="262"/>
      <c r="X120" s="262"/>
      <c r="Y120" s="262"/>
      <c r="Z120" s="262"/>
      <c r="AA120" s="262"/>
      <c r="AB120" s="262"/>
      <c r="AC120" s="262"/>
      <c r="AD120" s="262"/>
      <c r="AE120" s="262"/>
      <c r="AF120" s="262"/>
      <c r="AG120" s="262"/>
      <c r="AH120" s="262"/>
      <c r="AI120" s="262"/>
      <c r="AJ120" s="262"/>
      <c r="AK120" s="262"/>
      <c r="AL120" s="262"/>
      <c r="AM120" s="262"/>
      <c r="AN120" s="263"/>
      <c r="AO120" s="175">
        <f>AO119+1</f>
        <v>106</v>
      </c>
      <c r="AP120" s="291"/>
      <c r="AQ120" s="292"/>
      <c r="AR120" s="292"/>
      <c r="AS120" s="292"/>
      <c r="AT120" s="292"/>
      <c r="AU120" s="293"/>
      <c r="AV120" s="288" t="s">
        <v>28</v>
      </c>
      <c r="AW120" s="289"/>
      <c r="AX120" s="289"/>
      <c r="AY120" s="289"/>
      <c r="AZ120" s="289"/>
      <c r="BA120" s="289"/>
      <c r="BB120" s="289"/>
      <c r="BC120" s="290"/>
      <c r="BD120" s="198"/>
      <c r="BE120" s="180"/>
      <c r="BF120" s="261" t="s">
        <v>939</v>
      </c>
      <c r="BG120" s="262"/>
      <c r="BH120" s="262"/>
      <c r="BI120" s="262"/>
      <c r="BJ120" s="262"/>
      <c r="BK120" s="262"/>
      <c r="BL120" s="262"/>
      <c r="BM120" s="262"/>
      <c r="BN120" s="263"/>
      <c r="BO120" s="261" t="s">
        <v>940</v>
      </c>
      <c r="BP120" s="262"/>
      <c r="BQ120" s="262"/>
      <c r="BR120" s="262"/>
      <c r="BS120" s="262"/>
      <c r="BT120" s="263"/>
      <c r="BU120" s="241"/>
      <c r="BW120" s="280">
        <v>1</v>
      </c>
      <c r="BX120" s="281"/>
    </row>
    <row r="121" spans="1:76" ht="12" customHeight="1">
      <c r="A121" s="178"/>
      <c r="B121" s="174">
        <f>B120+1</f>
        <v>107</v>
      </c>
      <c r="C121" s="291"/>
      <c r="D121" s="292"/>
      <c r="E121" s="292"/>
      <c r="F121" s="292"/>
      <c r="G121" s="292"/>
      <c r="H121" s="293"/>
      <c r="I121" s="288" t="s">
        <v>713</v>
      </c>
      <c r="J121" s="289"/>
      <c r="K121" s="289"/>
      <c r="L121" s="289"/>
      <c r="M121" s="289"/>
      <c r="N121" s="289"/>
      <c r="O121" s="289"/>
      <c r="P121" s="290"/>
      <c r="Q121" s="261" t="s">
        <v>752</v>
      </c>
      <c r="R121" s="262"/>
      <c r="S121" s="262"/>
      <c r="T121" s="262"/>
      <c r="U121" s="262"/>
      <c r="V121" s="262"/>
      <c r="W121" s="262"/>
      <c r="X121" s="262"/>
      <c r="Y121" s="262"/>
      <c r="Z121" s="262"/>
      <c r="AA121" s="262"/>
      <c r="AB121" s="262"/>
      <c r="AC121" s="262"/>
      <c r="AD121" s="262"/>
      <c r="AE121" s="262"/>
      <c r="AF121" s="262"/>
      <c r="AG121" s="262"/>
      <c r="AH121" s="262"/>
      <c r="AI121" s="262"/>
      <c r="AJ121" s="262"/>
      <c r="AK121" s="262"/>
      <c r="AL121" s="262"/>
      <c r="AM121" s="262"/>
      <c r="AN121" s="263"/>
      <c r="AO121" s="175">
        <f>AO120+1</f>
        <v>107</v>
      </c>
      <c r="AP121" s="291"/>
      <c r="AQ121" s="292"/>
      <c r="AR121" s="292"/>
      <c r="AS121" s="292"/>
      <c r="AT121" s="292"/>
      <c r="AU121" s="293"/>
      <c r="AV121" s="288" t="s">
        <v>941</v>
      </c>
      <c r="AW121" s="289"/>
      <c r="AX121" s="289"/>
      <c r="AY121" s="289"/>
      <c r="AZ121" s="289"/>
      <c r="BA121" s="289"/>
      <c r="BB121" s="289"/>
      <c r="BC121" s="290"/>
      <c r="BD121" s="196"/>
      <c r="BE121" s="180"/>
      <c r="BF121" s="261" t="s">
        <v>942</v>
      </c>
      <c r="BG121" s="262"/>
      <c r="BH121" s="262"/>
      <c r="BI121" s="262"/>
      <c r="BJ121" s="262"/>
      <c r="BK121" s="262"/>
      <c r="BL121" s="262"/>
      <c r="BM121" s="262"/>
      <c r="BN121" s="263"/>
      <c r="BO121" s="261" t="s">
        <v>943</v>
      </c>
      <c r="BP121" s="262"/>
      <c r="BQ121" s="262"/>
      <c r="BR121" s="262"/>
      <c r="BS121" s="262"/>
      <c r="BT121" s="263"/>
      <c r="BU121" s="241"/>
      <c r="BW121" s="280">
        <v>2</v>
      </c>
      <c r="BX121" s="281"/>
    </row>
    <row r="122" spans="1:76" ht="12" customHeight="1">
      <c r="A122" s="178"/>
      <c r="B122" s="174">
        <f>B121+1</f>
        <v>108</v>
      </c>
      <c r="C122" s="291"/>
      <c r="D122" s="292"/>
      <c r="E122" s="292"/>
      <c r="F122" s="292"/>
      <c r="G122" s="292"/>
      <c r="H122" s="293"/>
      <c r="I122" s="288" t="s">
        <v>713</v>
      </c>
      <c r="J122" s="289"/>
      <c r="K122" s="289"/>
      <c r="L122" s="289"/>
      <c r="M122" s="289"/>
      <c r="N122" s="289"/>
      <c r="O122" s="289"/>
      <c r="P122" s="290"/>
      <c r="Q122" s="261" t="s">
        <v>752</v>
      </c>
      <c r="R122" s="262"/>
      <c r="S122" s="262"/>
      <c r="T122" s="262"/>
      <c r="U122" s="262"/>
      <c r="V122" s="262"/>
      <c r="W122" s="262"/>
      <c r="X122" s="262"/>
      <c r="Y122" s="262"/>
      <c r="Z122" s="262"/>
      <c r="AA122" s="262"/>
      <c r="AB122" s="262"/>
      <c r="AC122" s="262"/>
      <c r="AD122" s="262"/>
      <c r="AE122" s="262"/>
      <c r="AF122" s="262"/>
      <c r="AG122" s="262"/>
      <c r="AH122" s="262"/>
      <c r="AI122" s="262"/>
      <c r="AJ122" s="262"/>
      <c r="AK122" s="262"/>
      <c r="AL122" s="262"/>
      <c r="AM122" s="262"/>
      <c r="AN122" s="263"/>
      <c r="AO122" s="175">
        <f>AO121+1</f>
        <v>108</v>
      </c>
      <c r="AP122" s="291"/>
      <c r="AQ122" s="292"/>
      <c r="AR122" s="292"/>
      <c r="AS122" s="292"/>
      <c r="AT122" s="292"/>
      <c r="AU122" s="293"/>
      <c r="AV122" s="288" t="s">
        <v>944</v>
      </c>
      <c r="AW122" s="289"/>
      <c r="AX122" s="289"/>
      <c r="AY122" s="289"/>
      <c r="AZ122" s="289"/>
      <c r="BA122" s="289"/>
      <c r="BB122" s="289"/>
      <c r="BC122" s="290"/>
      <c r="BD122" s="179"/>
      <c r="BE122" s="180"/>
      <c r="BF122" s="261" t="s">
        <v>945</v>
      </c>
      <c r="BG122" s="262"/>
      <c r="BH122" s="262"/>
      <c r="BI122" s="262"/>
      <c r="BJ122" s="262"/>
      <c r="BK122" s="262"/>
      <c r="BL122" s="262"/>
      <c r="BM122" s="262"/>
      <c r="BN122" s="263"/>
      <c r="BO122" s="261" t="s">
        <v>946</v>
      </c>
      <c r="BP122" s="262"/>
      <c r="BQ122" s="262"/>
      <c r="BR122" s="262"/>
      <c r="BS122" s="262"/>
      <c r="BT122" s="263"/>
      <c r="BU122" s="241"/>
      <c r="BW122" s="280">
        <v>2</v>
      </c>
      <c r="BX122" s="281"/>
    </row>
    <row r="123" spans="1:76" ht="12" customHeight="1">
      <c r="A123" s="178"/>
      <c r="B123" s="174">
        <f t="shared" ref="B123:B154" si="5">B122+1</f>
        <v>109</v>
      </c>
      <c r="C123" s="291"/>
      <c r="D123" s="292"/>
      <c r="E123" s="292"/>
      <c r="F123" s="292"/>
      <c r="G123" s="292"/>
      <c r="H123" s="293"/>
      <c r="I123" s="288" t="s">
        <v>713</v>
      </c>
      <c r="J123" s="289"/>
      <c r="K123" s="289"/>
      <c r="L123" s="289"/>
      <c r="M123" s="289"/>
      <c r="N123" s="289"/>
      <c r="O123" s="289"/>
      <c r="P123" s="290"/>
      <c r="Q123" s="261" t="s">
        <v>752</v>
      </c>
      <c r="R123" s="262"/>
      <c r="S123" s="262"/>
      <c r="T123" s="262"/>
      <c r="U123" s="262"/>
      <c r="V123" s="262"/>
      <c r="W123" s="262"/>
      <c r="X123" s="262"/>
      <c r="Y123" s="262"/>
      <c r="Z123" s="262"/>
      <c r="AA123" s="262"/>
      <c r="AB123" s="262"/>
      <c r="AC123" s="262"/>
      <c r="AD123" s="262"/>
      <c r="AE123" s="262"/>
      <c r="AF123" s="262"/>
      <c r="AG123" s="262"/>
      <c r="AH123" s="262"/>
      <c r="AI123" s="262"/>
      <c r="AJ123" s="262"/>
      <c r="AK123" s="262"/>
      <c r="AL123" s="262"/>
      <c r="AM123" s="262"/>
      <c r="AN123" s="263"/>
      <c r="AO123" s="175">
        <f t="shared" ref="AO123:AO153" si="6">AO122+1</f>
        <v>109</v>
      </c>
      <c r="AP123" s="291"/>
      <c r="AQ123" s="292"/>
      <c r="AR123" s="292"/>
      <c r="AS123" s="292"/>
      <c r="AT123" s="292"/>
      <c r="AU123" s="293"/>
      <c r="AV123" s="288" t="s">
        <v>947</v>
      </c>
      <c r="AW123" s="289"/>
      <c r="AX123" s="289"/>
      <c r="AY123" s="289"/>
      <c r="AZ123" s="289"/>
      <c r="BA123" s="289"/>
      <c r="BB123" s="289"/>
      <c r="BC123" s="290"/>
      <c r="BD123" s="178"/>
      <c r="BE123" s="180"/>
      <c r="BF123" s="261" t="s">
        <v>948</v>
      </c>
      <c r="BG123" s="262"/>
      <c r="BH123" s="262"/>
      <c r="BI123" s="262"/>
      <c r="BJ123" s="262"/>
      <c r="BK123" s="262"/>
      <c r="BL123" s="262"/>
      <c r="BM123" s="262"/>
      <c r="BN123" s="263"/>
      <c r="BO123" s="261" t="s">
        <v>949</v>
      </c>
      <c r="BP123" s="262"/>
      <c r="BQ123" s="262"/>
      <c r="BR123" s="262"/>
      <c r="BS123" s="262"/>
      <c r="BT123" s="263"/>
      <c r="BU123" s="241"/>
      <c r="BW123" s="280">
        <v>1</v>
      </c>
      <c r="BX123" s="281"/>
    </row>
    <row r="124" spans="1:76" ht="12" customHeight="1">
      <c r="A124" s="178"/>
      <c r="B124" s="174">
        <f t="shared" si="5"/>
        <v>110</v>
      </c>
      <c r="C124" s="291"/>
      <c r="D124" s="292"/>
      <c r="E124" s="292"/>
      <c r="F124" s="292"/>
      <c r="G124" s="292"/>
      <c r="H124" s="293"/>
      <c r="I124" s="288" t="s">
        <v>713</v>
      </c>
      <c r="J124" s="289"/>
      <c r="K124" s="289"/>
      <c r="L124" s="289"/>
      <c r="M124" s="289"/>
      <c r="N124" s="289"/>
      <c r="O124" s="289"/>
      <c r="P124" s="290"/>
      <c r="Q124" s="261" t="s">
        <v>752</v>
      </c>
      <c r="R124" s="262"/>
      <c r="S124" s="262"/>
      <c r="T124" s="262"/>
      <c r="U124" s="262"/>
      <c r="V124" s="262"/>
      <c r="W124" s="262"/>
      <c r="X124" s="262"/>
      <c r="Y124" s="262"/>
      <c r="Z124" s="262"/>
      <c r="AA124" s="262"/>
      <c r="AB124" s="262"/>
      <c r="AC124" s="262"/>
      <c r="AD124" s="262"/>
      <c r="AE124" s="262"/>
      <c r="AF124" s="262"/>
      <c r="AG124" s="262"/>
      <c r="AH124" s="262"/>
      <c r="AI124" s="262"/>
      <c r="AJ124" s="262"/>
      <c r="AK124" s="262"/>
      <c r="AL124" s="262"/>
      <c r="AM124" s="262"/>
      <c r="AN124" s="263"/>
      <c r="AO124" s="175">
        <f t="shared" si="6"/>
        <v>110</v>
      </c>
      <c r="AP124" s="291"/>
      <c r="AQ124" s="292"/>
      <c r="AR124" s="292"/>
      <c r="AS124" s="292"/>
      <c r="AT124" s="292"/>
      <c r="AU124" s="293"/>
      <c r="AV124" s="288" t="s">
        <v>950</v>
      </c>
      <c r="AW124" s="289"/>
      <c r="AX124" s="289"/>
      <c r="AY124" s="289"/>
      <c r="AZ124" s="289"/>
      <c r="BA124" s="289"/>
      <c r="BB124" s="289"/>
      <c r="BC124" s="290"/>
      <c r="BD124" s="178"/>
      <c r="BE124" s="180"/>
      <c r="BF124" s="261" t="s">
        <v>951</v>
      </c>
      <c r="BG124" s="262"/>
      <c r="BH124" s="262"/>
      <c r="BI124" s="262"/>
      <c r="BJ124" s="262"/>
      <c r="BK124" s="262"/>
      <c r="BL124" s="262"/>
      <c r="BM124" s="262"/>
      <c r="BN124" s="263"/>
      <c r="BO124" s="261" t="s">
        <v>952</v>
      </c>
      <c r="BP124" s="262"/>
      <c r="BQ124" s="262"/>
      <c r="BR124" s="262"/>
      <c r="BS124" s="262"/>
      <c r="BT124" s="263"/>
      <c r="BU124" s="241"/>
      <c r="BW124" s="280">
        <v>10</v>
      </c>
      <c r="BX124" s="281"/>
    </row>
    <row r="125" spans="1:76" ht="12" customHeight="1">
      <c r="A125" s="178"/>
      <c r="B125" s="174">
        <f t="shared" si="5"/>
        <v>111</v>
      </c>
      <c r="C125" s="291"/>
      <c r="D125" s="292"/>
      <c r="E125" s="292"/>
      <c r="F125" s="292"/>
      <c r="G125" s="292"/>
      <c r="H125" s="293"/>
      <c r="I125" s="288" t="s">
        <v>713</v>
      </c>
      <c r="J125" s="289"/>
      <c r="K125" s="289"/>
      <c r="L125" s="289"/>
      <c r="M125" s="289"/>
      <c r="N125" s="289"/>
      <c r="O125" s="289"/>
      <c r="P125" s="290"/>
      <c r="Q125" s="261" t="s">
        <v>752</v>
      </c>
      <c r="R125" s="262"/>
      <c r="S125" s="262"/>
      <c r="T125" s="262"/>
      <c r="U125" s="262"/>
      <c r="V125" s="262"/>
      <c r="W125" s="262"/>
      <c r="X125" s="262"/>
      <c r="Y125" s="262"/>
      <c r="Z125" s="262"/>
      <c r="AA125" s="262"/>
      <c r="AB125" s="262"/>
      <c r="AC125" s="262"/>
      <c r="AD125" s="262"/>
      <c r="AE125" s="262"/>
      <c r="AF125" s="262"/>
      <c r="AG125" s="262"/>
      <c r="AH125" s="262"/>
      <c r="AI125" s="262"/>
      <c r="AJ125" s="262"/>
      <c r="AK125" s="262"/>
      <c r="AL125" s="262"/>
      <c r="AM125" s="262"/>
      <c r="AN125" s="263"/>
      <c r="AO125" s="175">
        <f t="shared" si="6"/>
        <v>111</v>
      </c>
      <c r="AP125" s="291"/>
      <c r="AQ125" s="292"/>
      <c r="AR125" s="292"/>
      <c r="AS125" s="292"/>
      <c r="AT125" s="292"/>
      <c r="AU125" s="293"/>
      <c r="AV125" s="288" t="s">
        <v>953</v>
      </c>
      <c r="AW125" s="289"/>
      <c r="AX125" s="289"/>
      <c r="AY125" s="289"/>
      <c r="AZ125" s="289"/>
      <c r="BA125" s="289"/>
      <c r="BB125" s="289"/>
      <c r="BC125" s="290"/>
      <c r="BD125" s="178"/>
      <c r="BE125" s="180"/>
      <c r="BF125" s="261" t="s">
        <v>954</v>
      </c>
      <c r="BG125" s="262"/>
      <c r="BH125" s="262"/>
      <c r="BI125" s="262"/>
      <c r="BJ125" s="262"/>
      <c r="BK125" s="262"/>
      <c r="BL125" s="262"/>
      <c r="BM125" s="262"/>
      <c r="BN125" s="263"/>
      <c r="BO125" s="261" t="s">
        <v>955</v>
      </c>
      <c r="BP125" s="262"/>
      <c r="BQ125" s="262"/>
      <c r="BR125" s="262"/>
      <c r="BS125" s="262"/>
      <c r="BT125" s="263"/>
      <c r="BU125" s="241"/>
      <c r="BW125" s="280">
        <v>10</v>
      </c>
      <c r="BX125" s="281"/>
    </row>
    <row r="126" spans="1:76" ht="12" customHeight="1">
      <c r="A126" s="178"/>
      <c r="B126" s="174">
        <f t="shared" si="5"/>
        <v>112</v>
      </c>
      <c r="C126" s="291"/>
      <c r="D126" s="292"/>
      <c r="E126" s="292"/>
      <c r="F126" s="292"/>
      <c r="G126" s="292"/>
      <c r="H126" s="293"/>
      <c r="I126" s="288" t="s">
        <v>713</v>
      </c>
      <c r="J126" s="289"/>
      <c r="K126" s="289"/>
      <c r="L126" s="289"/>
      <c r="M126" s="289"/>
      <c r="N126" s="289"/>
      <c r="O126" s="289"/>
      <c r="P126" s="290"/>
      <c r="Q126" s="261" t="s">
        <v>752</v>
      </c>
      <c r="R126" s="262"/>
      <c r="S126" s="262"/>
      <c r="T126" s="262"/>
      <c r="U126" s="262"/>
      <c r="V126" s="262"/>
      <c r="W126" s="262"/>
      <c r="X126" s="262"/>
      <c r="Y126" s="262"/>
      <c r="Z126" s="262"/>
      <c r="AA126" s="262"/>
      <c r="AB126" s="262"/>
      <c r="AC126" s="262"/>
      <c r="AD126" s="262"/>
      <c r="AE126" s="262"/>
      <c r="AF126" s="262"/>
      <c r="AG126" s="262"/>
      <c r="AH126" s="262"/>
      <c r="AI126" s="262"/>
      <c r="AJ126" s="262"/>
      <c r="AK126" s="262"/>
      <c r="AL126" s="262"/>
      <c r="AM126" s="262"/>
      <c r="AN126" s="263"/>
      <c r="AO126" s="175">
        <f t="shared" si="6"/>
        <v>112</v>
      </c>
      <c r="AP126" s="291"/>
      <c r="AQ126" s="292"/>
      <c r="AR126" s="292"/>
      <c r="AS126" s="292"/>
      <c r="AT126" s="292"/>
      <c r="AU126" s="293"/>
      <c r="AV126" s="288" t="s">
        <v>956</v>
      </c>
      <c r="AW126" s="289"/>
      <c r="AX126" s="289"/>
      <c r="AY126" s="289"/>
      <c r="AZ126" s="289"/>
      <c r="BA126" s="289"/>
      <c r="BB126" s="289"/>
      <c r="BC126" s="290"/>
      <c r="BD126" s="179"/>
      <c r="BE126" s="180"/>
      <c r="BF126" s="261" t="s">
        <v>957</v>
      </c>
      <c r="BG126" s="262"/>
      <c r="BH126" s="262"/>
      <c r="BI126" s="262"/>
      <c r="BJ126" s="262"/>
      <c r="BK126" s="262"/>
      <c r="BL126" s="262"/>
      <c r="BM126" s="262"/>
      <c r="BN126" s="263"/>
      <c r="BO126" s="261" t="s">
        <v>958</v>
      </c>
      <c r="BP126" s="262"/>
      <c r="BQ126" s="262"/>
      <c r="BR126" s="262"/>
      <c r="BS126" s="262"/>
      <c r="BT126" s="263"/>
      <c r="BU126" s="241"/>
      <c r="BW126" s="280">
        <v>10</v>
      </c>
      <c r="BX126" s="281"/>
    </row>
    <row r="127" spans="1:76" ht="12" customHeight="1">
      <c r="A127" s="178"/>
      <c r="B127" s="174">
        <f t="shared" si="5"/>
        <v>113</v>
      </c>
      <c r="C127" s="291"/>
      <c r="D127" s="292"/>
      <c r="E127" s="292"/>
      <c r="F127" s="292"/>
      <c r="G127" s="292"/>
      <c r="H127" s="293"/>
      <c r="I127" s="288" t="s">
        <v>713</v>
      </c>
      <c r="J127" s="289"/>
      <c r="K127" s="289"/>
      <c r="L127" s="289"/>
      <c r="M127" s="289"/>
      <c r="N127" s="289"/>
      <c r="O127" s="289"/>
      <c r="P127" s="290"/>
      <c r="Q127" s="261" t="s">
        <v>752</v>
      </c>
      <c r="R127" s="262"/>
      <c r="S127" s="262"/>
      <c r="T127" s="262"/>
      <c r="U127" s="262"/>
      <c r="V127" s="262"/>
      <c r="W127" s="262"/>
      <c r="X127" s="262"/>
      <c r="Y127" s="262"/>
      <c r="Z127" s="262"/>
      <c r="AA127" s="262"/>
      <c r="AB127" s="262"/>
      <c r="AC127" s="262"/>
      <c r="AD127" s="262"/>
      <c r="AE127" s="262"/>
      <c r="AF127" s="262"/>
      <c r="AG127" s="262"/>
      <c r="AH127" s="262"/>
      <c r="AI127" s="262"/>
      <c r="AJ127" s="262"/>
      <c r="AK127" s="262"/>
      <c r="AL127" s="262"/>
      <c r="AM127" s="262"/>
      <c r="AN127" s="263"/>
      <c r="AO127" s="175">
        <f t="shared" si="6"/>
        <v>113</v>
      </c>
      <c r="AP127" s="291"/>
      <c r="AQ127" s="292"/>
      <c r="AR127" s="292"/>
      <c r="AS127" s="292"/>
      <c r="AT127" s="292"/>
      <c r="AU127" s="293"/>
      <c r="AV127" s="288" t="s">
        <v>959</v>
      </c>
      <c r="AW127" s="289"/>
      <c r="AX127" s="289"/>
      <c r="AY127" s="289"/>
      <c r="AZ127" s="289"/>
      <c r="BA127" s="289"/>
      <c r="BB127" s="289"/>
      <c r="BC127" s="290"/>
      <c r="BD127" s="179"/>
      <c r="BE127" s="180"/>
      <c r="BF127" s="261" t="s">
        <v>960</v>
      </c>
      <c r="BG127" s="262"/>
      <c r="BH127" s="262"/>
      <c r="BI127" s="262"/>
      <c r="BJ127" s="262"/>
      <c r="BK127" s="262"/>
      <c r="BL127" s="262"/>
      <c r="BM127" s="262"/>
      <c r="BN127" s="263"/>
      <c r="BO127" s="261" t="s">
        <v>961</v>
      </c>
      <c r="BP127" s="262"/>
      <c r="BQ127" s="262"/>
      <c r="BR127" s="262"/>
      <c r="BS127" s="262"/>
      <c r="BT127" s="263"/>
      <c r="BU127" s="241"/>
      <c r="BW127" s="280">
        <v>10</v>
      </c>
      <c r="BX127" s="281"/>
    </row>
    <row r="128" spans="1:76" ht="12" customHeight="1">
      <c r="A128" s="199"/>
      <c r="B128" s="174">
        <f t="shared" si="5"/>
        <v>114</v>
      </c>
      <c r="C128" s="291"/>
      <c r="D128" s="292"/>
      <c r="E128" s="292"/>
      <c r="F128" s="292"/>
      <c r="G128" s="292"/>
      <c r="H128" s="293"/>
      <c r="I128" s="288" t="s">
        <v>713</v>
      </c>
      <c r="J128" s="289"/>
      <c r="K128" s="289"/>
      <c r="L128" s="289"/>
      <c r="M128" s="289"/>
      <c r="N128" s="289"/>
      <c r="O128" s="289"/>
      <c r="P128" s="290"/>
      <c r="Q128" s="261" t="s">
        <v>752</v>
      </c>
      <c r="R128" s="262"/>
      <c r="S128" s="262"/>
      <c r="T128" s="262"/>
      <c r="U128" s="262"/>
      <c r="V128" s="262"/>
      <c r="W128" s="262"/>
      <c r="X128" s="262"/>
      <c r="Y128" s="262"/>
      <c r="Z128" s="262"/>
      <c r="AA128" s="262"/>
      <c r="AB128" s="262"/>
      <c r="AC128" s="262"/>
      <c r="AD128" s="262"/>
      <c r="AE128" s="262"/>
      <c r="AF128" s="262"/>
      <c r="AG128" s="262"/>
      <c r="AH128" s="262"/>
      <c r="AI128" s="262"/>
      <c r="AJ128" s="262"/>
      <c r="AK128" s="262"/>
      <c r="AL128" s="262"/>
      <c r="AM128" s="262"/>
      <c r="AN128" s="263"/>
      <c r="AO128" s="175">
        <f t="shared" si="6"/>
        <v>114</v>
      </c>
      <c r="AP128" s="291"/>
      <c r="AQ128" s="292"/>
      <c r="AR128" s="292"/>
      <c r="AS128" s="292"/>
      <c r="AT128" s="292"/>
      <c r="AU128" s="293"/>
      <c r="AV128" s="288" t="s">
        <v>32</v>
      </c>
      <c r="AW128" s="289"/>
      <c r="AX128" s="289"/>
      <c r="AY128" s="289"/>
      <c r="AZ128" s="289"/>
      <c r="BA128" s="289"/>
      <c r="BB128" s="289"/>
      <c r="BC128" s="290"/>
      <c r="BD128" s="179"/>
      <c r="BE128" s="180"/>
      <c r="BF128" s="261" t="s">
        <v>962</v>
      </c>
      <c r="BG128" s="262"/>
      <c r="BH128" s="262"/>
      <c r="BI128" s="262"/>
      <c r="BJ128" s="262"/>
      <c r="BK128" s="262"/>
      <c r="BL128" s="262"/>
      <c r="BM128" s="262"/>
      <c r="BN128" s="263"/>
      <c r="BO128" s="261" t="s">
        <v>963</v>
      </c>
      <c r="BP128" s="262"/>
      <c r="BQ128" s="262"/>
      <c r="BR128" s="262"/>
      <c r="BS128" s="262"/>
      <c r="BT128" s="263"/>
      <c r="BU128" s="241"/>
      <c r="BW128" s="280">
        <v>1</v>
      </c>
      <c r="BX128" s="281"/>
    </row>
    <row r="129" spans="1:76" ht="12" customHeight="1">
      <c r="A129" s="199"/>
      <c r="B129" s="174">
        <f t="shared" si="5"/>
        <v>115</v>
      </c>
      <c r="C129" s="291"/>
      <c r="D129" s="292"/>
      <c r="E129" s="292"/>
      <c r="F129" s="292"/>
      <c r="G129" s="292"/>
      <c r="H129" s="293"/>
      <c r="I129" s="288" t="s">
        <v>713</v>
      </c>
      <c r="J129" s="289"/>
      <c r="K129" s="289"/>
      <c r="L129" s="289"/>
      <c r="M129" s="289"/>
      <c r="N129" s="289"/>
      <c r="O129" s="289"/>
      <c r="P129" s="290"/>
      <c r="Q129" s="261" t="s">
        <v>752</v>
      </c>
      <c r="R129" s="262"/>
      <c r="S129" s="262"/>
      <c r="T129" s="262"/>
      <c r="U129" s="262"/>
      <c r="V129" s="262"/>
      <c r="W129" s="262"/>
      <c r="X129" s="262"/>
      <c r="Y129" s="262"/>
      <c r="Z129" s="262"/>
      <c r="AA129" s="262"/>
      <c r="AB129" s="262"/>
      <c r="AC129" s="262"/>
      <c r="AD129" s="262"/>
      <c r="AE129" s="262"/>
      <c r="AF129" s="262"/>
      <c r="AG129" s="262"/>
      <c r="AH129" s="262"/>
      <c r="AI129" s="262"/>
      <c r="AJ129" s="262"/>
      <c r="AK129" s="262"/>
      <c r="AL129" s="262"/>
      <c r="AM129" s="262"/>
      <c r="AN129" s="263"/>
      <c r="AO129" s="175">
        <f t="shared" si="6"/>
        <v>115</v>
      </c>
      <c r="AP129" s="291"/>
      <c r="AQ129" s="292"/>
      <c r="AR129" s="292"/>
      <c r="AS129" s="292"/>
      <c r="AT129" s="292"/>
      <c r="AU129" s="293"/>
      <c r="AV129" s="288" t="s">
        <v>92</v>
      </c>
      <c r="AW129" s="289"/>
      <c r="AX129" s="289"/>
      <c r="AY129" s="289"/>
      <c r="AZ129" s="289"/>
      <c r="BA129" s="289"/>
      <c r="BB129" s="289"/>
      <c r="BC129" s="290"/>
      <c r="BD129" s="179"/>
      <c r="BE129" s="180"/>
      <c r="BF129" s="261" t="s">
        <v>964</v>
      </c>
      <c r="BG129" s="262"/>
      <c r="BH129" s="262"/>
      <c r="BI129" s="262"/>
      <c r="BJ129" s="262"/>
      <c r="BK129" s="262"/>
      <c r="BL129" s="262"/>
      <c r="BM129" s="262"/>
      <c r="BN129" s="263"/>
      <c r="BO129" s="261" t="s">
        <v>965</v>
      </c>
      <c r="BP129" s="262"/>
      <c r="BQ129" s="262"/>
      <c r="BR129" s="262"/>
      <c r="BS129" s="262"/>
      <c r="BT129" s="263"/>
      <c r="BU129" s="241"/>
      <c r="BW129" s="280">
        <v>1</v>
      </c>
      <c r="BX129" s="281"/>
    </row>
    <row r="130" spans="1:76" ht="12" customHeight="1">
      <c r="A130" s="199"/>
      <c r="B130" s="174">
        <f t="shared" si="5"/>
        <v>116</v>
      </c>
      <c r="C130" s="291"/>
      <c r="D130" s="292"/>
      <c r="E130" s="292"/>
      <c r="F130" s="292"/>
      <c r="G130" s="292"/>
      <c r="H130" s="293"/>
      <c r="I130" s="288" t="s">
        <v>713</v>
      </c>
      <c r="J130" s="289"/>
      <c r="K130" s="289"/>
      <c r="L130" s="289"/>
      <c r="M130" s="289"/>
      <c r="N130" s="289"/>
      <c r="O130" s="289"/>
      <c r="P130" s="290"/>
      <c r="Q130" s="261" t="s">
        <v>752</v>
      </c>
      <c r="R130" s="262"/>
      <c r="S130" s="262"/>
      <c r="T130" s="262"/>
      <c r="U130" s="262"/>
      <c r="V130" s="262"/>
      <c r="W130" s="262"/>
      <c r="X130" s="262"/>
      <c r="Y130" s="262"/>
      <c r="Z130" s="262"/>
      <c r="AA130" s="262"/>
      <c r="AB130" s="262"/>
      <c r="AC130" s="262"/>
      <c r="AD130" s="262"/>
      <c r="AE130" s="262"/>
      <c r="AF130" s="262"/>
      <c r="AG130" s="262"/>
      <c r="AH130" s="262"/>
      <c r="AI130" s="262"/>
      <c r="AJ130" s="262"/>
      <c r="AK130" s="262"/>
      <c r="AL130" s="262"/>
      <c r="AM130" s="262"/>
      <c r="AN130" s="263"/>
      <c r="AO130" s="175">
        <f t="shared" si="6"/>
        <v>116</v>
      </c>
      <c r="AP130" s="291"/>
      <c r="AQ130" s="292"/>
      <c r="AR130" s="292"/>
      <c r="AS130" s="292"/>
      <c r="AT130" s="292"/>
      <c r="AU130" s="293"/>
      <c r="AV130" s="288" t="s">
        <v>33</v>
      </c>
      <c r="AW130" s="289"/>
      <c r="AX130" s="289"/>
      <c r="AY130" s="289"/>
      <c r="AZ130" s="289"/>
      <c r="BA130" s="289"/>
      <c r="BB130" s="289"/>
      <c r="BC130" s="290"/>
      <c r="BD130" s="179"/>
      <c r="BE130" s="180"/>
      <c r="BF130" s="261" t="s">
        <v>33</v>
      </c>
      <c r="BG130" s="262"/>
      <c r="BH130" s="262"/>
      <c r="BI130" s="262"/>
      <c r="BJ130" s="262"/>
      <c r="BK130" s="262"/>
      <c r="BL130" s="262"/>
      <c r="BM130" s="262"/>
      <c r="BN130" s="263"/>
      <c r="BO130" s="261" t="s">
        <v>966</v>
      </c>
      <c r="BP130" s="262"/>
      <c r="BQ130" s="262"/>
      <c r="BR130" s="262"/>
      <c r="BS130" s="262"/>
      <c r="BT130" s="263"/>
      <c r="BU130" s="241"/>
      <c r="BW130" s="280">
        <v>1</v>
      </c>
      <c r="BX130" s="281"/>
    </row>
    <row r="131" spans="1:76" ht="12" customHeight="1">
      <c r="A131" s="199"/>
      <c r="B131" s="174">
        <f t="shared" si="5"/>
        <v>117</v>
      </c>
      <c r="C131" s="286"/>
      <c r="D131" s="285"/>
      <c r="E131" s="285"/>
      <c r="F131" s="285"/>
      <c r="G131" s="285"/>
      <c r="H131" s="287"/>
      <c r="I131" s="288" t="s">
        <v>713</v>
      </c>
      <c r="J131" s="289"/>
      <c r="K131" s="289"/>
      <c r="L131" s="289"/>
      <c r="M131" s="289"/>
      <c r="N131" s="289"/>
      <c r="O131" s="289"/>
      <c r="P131" s="290"/>
      <c r="Q131" s="261" t="s">
        <v>752</v>
      </c>
      <c r="R131" s="262"/>
      <c r="S131" s="262"/>
      <c r="T131" s="262"/>
      <c r="U131" s="262"/>
      <c r="V131" s="262"/>
      <c r="W131" s="262"/>
      <c r="X131" s="262"/>
      <c r="Y131" s="262"/>
      <c r="Z131" s="262"/>
      <c r="AA131" s="262"/>
      <c r="AB131" s="262"/>
      <c r="AC131" s="262"/>
      <c r="AD131" s="262"/>
      <c r="AE131" s="262"/>
      <c r="AF131" s="262"/>
      <c r="AG131" s="262"/>
      <c r="AH131" s="262"/>
      <c r="AI131" s="262"/>
      <c r="AJ131" s="262"/>
      <c r="AK131" s="262"/>
      <c r="AL131" s="262"/>
      <c r="AM131" s="262"/>
      <c r="AN131" s="263"/>
      <c r="AO131" s="175">
        <f t="shared" si="6"/>
        <v>117</v>
      </c>
      <c r="AP131" s="291"/>
      <c r="AQ131" s="292"/>
      <c r="AR131" s="292"/>
      <c r="AS131" s="292"/>
      <c r="AT131" s="292"/>
      <c r="AU131" s="293"/>
      <c r="AV131" s="288" t="s">
        <v>34</v>
      </c>
      <c r="AW131" s="289"/>
      <c r="AX131" s="289"/>
      <c r="AY131" s="289"/>
      <c r="AZ131" s="289"/>
      <c r="BA131" s="289"/>
      <c r="BB131" s="289"/>
      <c r="BC131" s="290"/>
      <c r="BD131" s="179"/>
      <c r="BE131" s="180"/>
      <c r="BF131" s="261" t="s">
        <v>967</v>
      </c>
      <c r="BG131" s="262"/>
      <c r="BH131" s="262"/>
      <c r="BI131" s="262"/>
      <c r="BJ131" s="262"/>
      <c r="BK131" s="262"/>
      <c r="BL131" s="262"/>
      <c r="BM131" s="262"/>
      <c r="BN131" s="263"/>
      <c r="BO131" s="261" t="s">
        <v>968</v>
      </c>
      <c r="BP131" s="262"/>
      <c r="BQ131" s="262"/>
      <c r="BR131" s="262"/>
      <c r="BS131" s="262"/>
      <c r="BT131" s="263"/>
      <c r="BU131" s="241"/>
      <c r="BW131" s="280">
        <v>20</v>
      </c>
      <c r="BX131" s="281"/>
    </row>
    <row r="132" spans="1:76" ht="12" customHeight="1">
      <c r="A132" s="199"/>
      <c r="B132" s="174">
        <f t="shared" si="5"/>
        <v>118</v>
      </c>
      <c r="C132" s="297" t="s">
        <v>676</v>
      </c>
      <c r="D132" s="298"/>
      <c r="E132" s="298"/>
      <c r="F132" s="298"/>
      <c r="G132" s="298"/>
      <c r="H132" s="299"/>
      <c r="I132" s="288" t="s">
        <v>591</v>
      </c>
      <c r="J132" s="289"/>
      <c r="K132" s="289"/>
      <c r="L132" s="289"/>
      <c r="M132" s="289"/>
      <c r="N132" s="289"/>
      <c r="O132" s="289"/>
      <c r="P132" s="290"/>
      <c r="Q132" s="261" t="s">
        <v>677</v>
      </c>
      <c r="R132" s="262"/>
      <c r="S132" s="262"/>
      <c r="T132" s="262"/>
      <c r="U132" s="262"/>
      <c r="V132" s="262"/>
      <c r="W132" s="262"/>
      <c r="X132" s="262"/>
      <c r="Y132" s="262"/>
      <c r="Z132" s="262"/>
      <c r="AA132" s="262"/>
      <c r="AB132" s="262"/>
      <c r="AC132" s="262"/>
      <c r="AD132" s="262"/>
      <c r="AE132" s="262"/>
      <c r="AF132" s="262"/>
      <c r="AG132" s="262"/>
      <c r="AH132" s="262"/>
      <c r="AI132" s="262"/>
      <c r="AJ132" s="262"/>
      <c r="AK132" s="262"/>
      <c r="AL132" s="262"/>
      <c r="AM132" s="262"/>
      <c r="AN132" s="263"/>
      <c r="AO132" s="175">
        <f t="shared" si="6"/>
        <v>118</v>
      </c>
      <c r="AP132" s="291"/>
      <c r="AQ132" s="292"/>
      <c r="AR132" s="292"/>
      <c r="AS132" s="292"/>
      <c r="AT132" s="292"/>
      <c r="AU132" s="293"/>
      <c r="AV132" s="288" t="s">
        <v>591</v>
      </c>
      <c r="AW132" s="289"/>
      <c r="AX132" s="289"/>
      <c r="AY132" s="289"/>
      <c r="AZ132" s="289"/>
      <c r="BA132" s="289"/>
      <c r="BB132" s="289"/>
      <c r="BC132" s="290"/>
      <c r="BD132" s="179"/>
      <c r="BE132" s="180"/>
      <c r="BF132" s="261" t="s">
        <v>969</v>
      </c>
      <c r="BG132" s="262"/>
      <c r="BH132" s="262"/>
      <c r="BI132" s="262"/>
      <c r="BJ132" s="262"/>
      <c r="BK132" s="262"/>
      <c r="BL132" s="262"/>
      <c r="BM132" s="262"/>
      <c r="BN132" s="263"/>
      <c r="BO132" s="261" t="s">
        <v>970</v>
      </c>
      <c r="BP132" s="262"/>
      <c r="BQ132" s="262"/>
      <c r="BR132" s="262"/>
      <c r="BS132" s="262"/>
      <c r="BT132" s="263"/>
      <c r="BU132" s="241"/>
      <c r="BW132" s="280">
        <v>4</v>
      </c>
      <c r="BX132" s="281"/>
    </row>
    <row r="133" spans="1:76" ht="12" customHeight="1">
      <c r="A133" s="199"/>
      <c r="B133" s="174">
        <f t="shared" si="5"/>
        <v>119</v>
      </c>
      <c r="C133" s="303" t="s">
        <v>713</v>
      </c>
      <c r="D133" s="304"/>
      <c r="E133" s="304"/>
      <c r="F133" s="304"/>
      <c r="G133" s="304"/>
      <c r="H133" s="305"/>
      <c r="I133" s="288" t="s">
        <v>713</v>
      </c>
      <c r="J133" s="289"/>
      <c r="K133" s="289"/>
      <c r="L133" s="289"/>
      <c r="M133" s="289"/>
      <c r="N133" s="289"/>
      <c r="O133" s="289"/>
      <c r="P133" s="290"/>
      <c r="Q133" s="261" t="s">
        <v>752</v>
      </c>
      <c r="R133" s="262"/>
      <c r="S133" s="262"/>
      <c r="T133" s="262"/>
      <c r="U133" s="262"/>
      <c r="V133" s="262"/>
      <c r="W133" s="262"/>
      <c r="X133" s="262"/>
      <c r="Y133" s="262"/>
      <c r="Z133" s="262"/>
      <c r="AA133" s="262"/>
      <c r="AB133" s="262"/>
      <c r="AC133" s="262"/>
      <c r="AD133" s="262"/>
      <c r="AE133" s="262"/>
      <c r="AF133" s="262"/>
      <c r="AG133" s="262"/>
      <c r="AH133" s="262"/>
      <c r="AI133" s="262"/>
      <c r="AJ133" s="262"/>
      <c r="AK133" s="262"/>
      <c r="AL133" s="262"/>
      <c r="AM133" s="262"/>
      <c r="AN133" s="263"/>
      <c r="AO133" s="175">
        <f t="shared" si="6"/>
        <v>119</v>
      </c>
      <c r="AP133" s="291"/>
      <c r="AQ133" s="292"/>
      <c r="AR133" s="292"/>
      <c r="AS133" s="292"/>
      <c r="AT133" s="292"/>
      <c r="AU133" s="293"/>
      <c r="AV133" s="288" t="s">
        <v>971</v>
      </c>
      <c r="AW133" s="289"/>
      <c r="AX133" s="289"/>
      <c r="AY133" s="289"/>
      <c r="AZ133" s="289"/>
      <c r="BA133" s="289"/>
      <c r="BB133" s="289"/>
      <c r="BC133" s="290"/>
      <c r="BD133" s="179"/>
      <c r="BE133" s="180"/>
      <c r="BF133" s="261" t="s">
        <v>972</v>
      </c>
      <c r="BG133" s="262"/>
      <c r="BH133" s="262"/>
      <c r="BI133" s="262"/>
      <c r="BJ133" s="262"/>
      <c r="BK133" s="262"/>
      <c r="BL133" s="262"/>
      <c r="BM133" s="262"/>
      <c r="BN133" s="263"/>
      <c r="BO133" s="261" t="s">
        <v>973</v>
      </c>
      <c r="BP133" s="262"/>
      <c r="BQ133" s="262"/>
      <c r="BR133" s="262"/>
      <c r="BS133" s="262"/>
      <c r="BT133" s="263"/>
      <c r="BU133" s="241"/>
      <c r="BW133" s="280">
        <v>1</v>
      </c>
      <c r="BX133" s="281"/>
    </row>
    <row r="134" spans="1:76" ht="12" customHeight="1">
      <c r="A134" s="199"/>
      <c r="B134" s="174">
        <f t="shared" si="5"/>
        <v>120</v>
      </c>
      <c r="C134" s="297" t="s">
        <v>676</v>
      </c>
      <c r="D134" s="298"/>
      <c r="E134" s="298"/>
      <c r="F134" s="298"/>
      <c r="G134" s="298"/>
      <c r="H134" s="299"/>
      <c r="I134" s="288" t="s">
        <v>593</v>
      </c>
      <c r="J134" s="289"/>
      <c r="K134" s="289"/>
      <c r="L134" s="289"/>
      <c r="M134" s="289"/>
      <c r="N134" s="289"/>
      <c r="O134" s="289"/>
      <c r="P134" s="290"/>
      <c r="Q134" s="261" t="s">
        <v>677</v>
      </c>
      <c r="R134" s="262"/>
      <c r="S134" s="262"/>
      <c r="T134" s="262"/>
      <c r="U134" s="262"/>
      <c r="V134" s="262"/>
      <c r="W134" s="262"/>
      <c r="X134" s="262"/>
      <c r="Y134" s="262"/>
      <c r="Z134" s="262"/>
      <c r="AA134" s="262"/>
      <c r="AB134" s="262"/>
      <c r="AC134" s="262"/>
      <c r="AD134" s="262"/>
      <c r="AE134" s="262"/>
      <c r="AF134" s="262"/>
      <c r="AG134" s="262"/>
      <c r="AH134" s="262"/>
      <c r="AI134" s="262"/>
      <c r="AJ134" s="262"/>
      <c r="AK134" s="262"/>
      <c r="AL134" s="262"/>
      <c r="AM134" s="262"/>
      <c r="AN134" s="263"/>
      <c r="AO134" s="175">
        <f t="shared" si="6"/>
        <v>120</v>
      </c>
      <c r="AP134" s="291"/>
      <c r="AQ134" s="292"/>
      <c r="AR134" s="292"/>
      <c r="AS134" s="292"/>
      <c r="AT134" s="292"/>
      <c r="AU134" s="293"/>
      <c r="AV134" s="288" t="s">
        <v>593</v>
      </c>
      <c r="AW134" s="289"/>
      <c r="AX134" s="289"/>
      <c r="AY134" s="289"/>
      <c r="AZ134" s="289"/>
      <c r="BA134" s="289"/>
      <c r="BB134" s="289"/>
      <c r="BC134" s="290"/>
      <c r="BD134" s="179"/>
      <c r="BE134" s="180"/>
      <c r="BF134" s="261" t="s">
        <v>593</v>
      </c>
      <c r="BG134" s="262"/>
      <c r="BH134" s="262"/>
      <c r="BI134" s="262"/>
      <c r="BJ134" s="262"/>
      <c r="BK134" s="262"/>
      <c r="BL134" s="262"/>
      <c r="BM134" s="262"/>
      <c r="BN134" s="263"/>
      <c r="BO134" s="261" t="s">
        <v>974</v>
      </c>
      <c r="BP134" s="262"/>
      <c r="BQ134" s="262"/>
      <c r="BR134" s="262"/>
      <c r="BS134" s="262"/>
      <c r="BT134" s="263"/>
      <c r="BU134" s="241"/>
      <c r="BW134" s="280">
        <v>1</v>
      </c>
      <c r="BX134" s="281"/>
    </row>
    <row r="135" spans="1:76" ht="12" customHeight="1">
      <c r="A135" s="199"/>
      <c r="B135" s="174">
        <f t="shared" si="5"/>
        <v>121</v>
      </c>
      <c r="C135" s="291"/>
      <c r="D135" s="292"/>
      <c r="E135" s="292"/>
      <c r="F135" s="292"/>
      <c r="G135" s="292"/>
      <c r="H135" s="293"/>
      <c r="I135" s="288" t="s">
        <v>597</v>
      </c>
      <c r="J135" s="289"/>
      <c r="K135" s="289"/>
      <c r="L135" s="289"/>
      <c r="M135" s="289"/>
      <c r="N135" s="289"/>
      <c r="O135" s="289"/>
      <c r="P135" s="290"/>
      <c r="Q135" s="261" t="s">
        <v>677</v>
      </c>
      <c r="R135" s="262"/>
      <c r="S135" s="262"/>
      <c r="T135" s="262"/>
      <c r="U135" s="262"/>
      <c r="V135" s="262"/>
      <c r="W135" s="262"/>
      <c r="X135" s="262"/>
      <c r="Y135" s="262"/>
      <c r="Z135" s="262"/>
      <c r="AA135" s="262"/>
      <c r="AB135" s="262"/>
      <c r="AC135" s="262"/>
      <c r="AD135" s="262"/>
      <c r="AE135" s="262"/>
      <c r="AF135" s="262"/>
      <c r="AG135" s="262"/>
      <c r="AH135" s="262"/>
      <c r="AI135" s="262"/>
      <c r="AJ135" s="262"/>
      <c r="AK135" s="262"/>
      <c r="AL135" s="262"/>
      <c r="AM135" s="262"/>
      <c r="AN135" s="263"/>
      <c r="AO135" s="175">
        <f t="shared" si="6"/>
        <v>121</v>
      </c>
      <c r="AP135" s="291"/>
      <c r="AQ135" s="292"/>
      <c r="AR135" s="292"/>
      <c r="AS135" s="292"/>
      <c r="AT135" s="292"/>
      <c r="AU135" s="293"/>
      <c r="AV135" s="288" t="s">
        <v>597</v>
      </c>
      <c r="AW135" s="289"/>
      <c r="AX135" s="289"/>
      <c r="AY135" s="289"/>
      <c r="AZ135" s="289"/>
      <c r="BA135" s="289"/>
      <c r="BB135" s="289"/>
      <c r="BC135" s="290"/>
      <c r="BD135" s="179"/>
      <c r="BE135" s="180"/>
      <c r="BF135" s="261" t="s">
        <v>975</v>
      </c>
      <c r="BG135" s="262"/>
      <c r="BH135" s="262"/>
      <c r="BI135" s="262"/>
      <c r="BJ135" s="262"/>
      <c r="BK135" s="262"/>
      <c r="BL135" s="262"/>
      <c r="BM135" s="262"/>
      <c r="BN135" s="263"/>
      <c r="BO135" s="261" t="s">
        <v>976</v>
      </c>
      <c r="BP135" s="262"/>
      <c r="BQ135" s="262"/>
      <c r="BR135" s="262"/>
      <c r="BS135" s="262"/>
      <c r="BT135" s="263"/>
      <c r="BU135" s="241"/>
      <c r="BW135" s="280">
        <v>1</v>
      </c>
      <c r="BX135" s="281"/>
    </row>
    <row r="136" spans="1:76" ht="12" customHeight="1">
      <c r="A136" s="199"/>
      <c r="B136" s="174">
        <f t="shared" si="5"/>
        <v>122</v>
      </c>
      <c r="C136" s="303" t="s">
        <v>713</v>
      </c>
      <c r="D136" s="304"/>
      <c r="E136" s="304"/>
      <c r="F136" s="304"/>
      <c r="G136" s="304"/>
      <c r="H136" s="305"/>
      <c r="I136" s="288" t="s">
        <v>713</v>
      </c>
      <c r="J136" s="289"/>
      <c r="K136" s="289"/>
      <c r="L136" s="289"/>
      <c r="M136" s="289"/>
      <c r="N136" s="289"/>
      <c r="O136" s="289"/>
      <c r="P136" s="290"/>
      <c r="Q136" s="261" t="s">
        <v>752</v>
      </c>
      <c r="R136" s="262"/>
      <c r="S136" s="262"/>
      <c r="T136" s="262"/>
      <c r="U136" s="262"/>
      <c r="V136" s="262"/>
      <c r="W136" s="262"/>
      <c r="X136" s="262"/>
      <c r="Y136" s="262"/>
      <c r="Z136" s="262"/>
      <c r="AA136" s="262"/>
      <c r="AB136" s="262"/>
      <c r="AC136" s="262"/>
      <c r="AD136" s="262"/>
      <c r="AE136" s="262"/>
      <c r="AF136" s="262"/>
      <c r="AG136" s="262"/>
      <c r="AH136" s="262"/>
      <c r="AI136" s="262"/>
      <c r="AJ136" s="262"/>
      <c r="AK136" s="262"/>
      <c r="AL136" s="262"/>
      <c r="AM136" s="262"/>
      <c r="AN136" s="263"/>
      <c r="AO136" s="175">
        <f t="shared" si="6"/>
        <v>122</v>
      </c>
      <c r="AP136" s="291"/>
      <c r="AQ136" s="292"/>
      <c r="AR136" s="292"/>
      <c r="AS136" s="292"/>
      <c r="AT136" s="292"/>
      <c r="AU136" s="293"/>
      <c r="AV136" s="288" t="s">
        <v>977</v>
      </c>
      <c r="AW136" s="289"/>
      <c r="AX136" s="289"/>
      <c r="AY136" s="289"/>
      <c r="AZ136" s="289"/>
      <c r="BA136" s="289"/>
      <c r="BB136" s="289"/>
      <c r="BC136" s="290"/>
      <c r="BD136" s="179"/>
      <c r="BE136" s="180"/>
      <c r="BF136" s="261" t="s">
        <v>978</v>
      </c>
      <c r="BG136" s="262"/>
      <c r="BH136" s="262"/>
      <c r="BI136" s="262"/>
      <c r="BJ136" s="262"/>
      <c r="BK136" s="262"/>
      <c r="BL136" s="262"/>
      <c r="BM136" s="262"/>
      <c r="BN136" s="263"/>
      <c r="BO136" s="261" t="s">
        <v>979</v>
      </c>
      <c r="BP136" s="262"/>
      <c r="BQ136" s="262"/>
      <c r="BR136" s="262"/>
      <c r="BS136" s="262"/>
      <c r="BT136" s="263"/>
      <c r="BU136" s="241"/>
      <c r="BW136" s="280">
        <v>1</v>
      </c>
      <c r="BX136" s="281"/>
    </row>
    <row r="137" spans="1:76" ht="12" customHeight="1">
      <c r="A137" s="199"/>
      <c r="B137" s="174">
        <f t="shared" si="5"/>
        <v>123</v>
      </c>
      <c r="C137" s="297" t="s">
        <v>676</v>
      </c>
      <c r="D137" s="298"/>
      <c r="E137" s="298"/>
      <c r="F137" s="298"/>
      <c r="G137" s="298"/>
      <c r="H137" s="299"/>
      <c r="I137" s="288" t="s">
        <v>599</v>
      </c>
      <c r="J137" s="289"/>
      <c r="K137" s="289"/>
      <c r="L137" s="289"/>
      <c r="M137" s="289"/>
      <c r="N137" s="289"/>
      <c r="O137" s="289"/>
      <c r="P137" s="290"/>
      <c r="Q137" s="261" t="s">
        <v>677</v>
      </c>
      <c r="R137" s="262"/>
      <c r="S137" s="262"/>
      <c r="T137" s="262"/>
      <c r="U137" s="262"/>
      <c r="V137" s="262"/>
      <c r="W137" s="262"/>
      <c r="X137" s="262"/>
      <c r="Y137" s="262"/>
      <c r="Z137" s="262"/>
      <c r="AA137" s="262"/>
      <c r="AB137" s="262"/>
      <c r="AC137" s="262"/>
      <c r="AD137" s="262"/>
      <c r="AE137" s="262"/>
      <c r="AF137" s="262"/>
      <c r="AG137" s="262"/>
      <c r="AH137" s="262"/>
      <c r="AI137" s="262"/>
      <c r="AJ137" s="262"/>
      <c r="AK137" s="262"/>
      <c r="AL137" s="262"/>
      <c r="AM137" s="262"/>
      <c r="AN137" s="263"/>
      <c r="AO137" s="175">
        <f t="shared" si="6"/>
        <v>123</v>
      </c>
      <c r="AP137" s="291"/>
      <c r="AQ137" s="292"/>
      <c r="AR137" s="292"/>
      <c r="AS137" s="292"/>
      <c r="AT137" s="292"/>
      <c r="AU137" s="293"/>
      <c r="AV137" s="288" t="s">
        <v>599</v>
      </c>
      <c r="AW137" s="289"/>
      <c r="AX137" s="289"/>
      <c r="AY137" s="289"/>
      <c r="AZ137" s="289"/>
      <c r="BA137" s="289"/>
      <c r="BB137" s="289"/>
      <c r="BC137" s="290"/>
      <c r="BD137" s="179"/>
      <c r="BE137" s="180"/>
      <c r="BF137" s="261" t="s">
        <v>599</v>
      </c>
      <c r="BG137" s="262"/>
      <c r="BH137" s="262"/>
      <c r="BI137" s="262"/>
      <c r="BJ137" s="262"/>
      <c r="BK137" s="262"/>
      <c r="BL137" s="262"/>
      <c r="BM137" s="262"/>
      <c r="BN137" s="263"/>
      <c r="BO137" s="261" t="s">
        <v>980</v>
      </c>
      <c r="BP137" s="262"/>
      <c r="BQ137" s="262"/>
      <c r="BR137" s="262"/>
      <c r="BS137" s="262"/>
      <c r="BT137" s="263"/>
      <c r="BU137" s="241"/>
      <c r="BW137" s="280">
        <v>1</v>
      </c>
      <c r="BX137" s="281"/>
    </row>
    <row r="138" spans="1:76" ht="12" customHeight="1">
      <c r="A138" s="199"/>
      <c r="B138" s="174">
        <f t="shared" si="5"/>
        <v>124</v>
      </c>
      <c r="C138" s="291"/>
      <c r="D138" s="292"/>
      <c r="E138" s="292"/>
      <c r="F138" s="292"/>
      <c r="G138" s="292"/>
      <c r="H138" s="293"/>
      <c r="I138" s="288" t="s">
        <v>601</v>
      </c>
      <c r="J138" s="289"/>
      <c r="K138" s="289"/>
      <c r="L138" s="289"/>
      <c r="M138" s="289"/>
      <c r="N138" s="289"/>
      <c r="O138" s="289"/>
      <c r="P138" s="290"/>
      <c r="Q138" s="261" t="s">
        <v>677</v>
      </c>
      <c r="R138" s="262"/>
      <c r="S138" s="262"/>
      <c r="T138" s="262"/>
      <c r="U138" s="262"/>
      <c r="V138" s="262"/>
      <c r="W138" s="262"/>
      <c r="X138" s="262"/>
      <c r="Y138" s="262"/>
      <c r="Z138" s="262"/>
      <c r="AA138" s="262"/>
      <c r="AB138" s="262"/>
      <c r="AC138" s="262"/>
      <c r="AD138" s="262"/>
      <c r="AE138" s="262"/>
      <c r="AF138" s="262"/>
      <c r="AG138" s="262"/>
      <c r="AH138" s="262"/>
      <c r="AI138" s="262"/>
      <c r="AJ138" s="262"/>
      <c r="AK138" s="262"/>
      <c r="AL138" s="262"/>
      <c r="AM138" s="262"/>
      <c r="AN138" s="263"/>
      <c r="AO138" s="175">
        <f t="shared" si="6"/>
        <v>124</v>
      </c>
      <c r="AP138" s="291"/>
      <c r="AQ138" s="292"/>
      <c r="AR138" s="292"/>
      <c r="AS138" s="292"/>
      <c r="AT138" s="292"/>
      <c r="AU138" s="293"/>
      <c r="AV138" s="288" t="s">
        <v>601</v>
      </c>
      <c r="AW138" s="289"/>
      <c r="AX138" s="289"/>
      <c r="AY138" s="289"/>
      <c r="AZ138" s="289"/>
      <c r="BA138" s="289"/>
      <c r="BB138" s="289"/>
      <c r="BC138" s="290"/>
      <c r="BD138" s="179"/>
      <c r="BE138" s="180"/>
      <c r="BF138" s="261" t="s">
        <v>981</v>
      </c>
      <c r="BG138" s="262"/>
      <c r="BH138" s="262"/>
      <c r="BI138" s="262"/>
      <c r="BJ138" s="262"/>
      <c r="BK138" s="262"/>
      <c r="BL138" s="262"/>
      <c r="BM138" s="262"/>
      <c r="BN138" s="263"/>
      <c r="BO138" s="261" t="s">
        <v>982</v>
      </c>
      <c r="BP138" s="262"/>
      <c r="BQ138" s="262"/>
      <c r="BR138" s="262"/>
      <c r="BS138" s="262"/>
      <c r="BT138" s="263"/>
      <c r="BU138" s="241"/>
      <c r="BW138" s="280">
        <v>1</v>
      </c>
      <c r="BX138" s="281"/>
    </row>
    <row r="139" spans="1:76" ht="12" customHeight="1">
      <c r="A139" s="199"/>
      <c r="B139" s="174">
        <f t="shared" si="5"/>
        <v>125</v>
      </c>
      <c r="C139" s="291"/>
      <c r="D139" s="292"/>
      <c r="E139" s="292"/>
      <c r="F139" s="292"/>
      <c r="G139" s="292"/>
      <c r="H139" s="293"/>
      <c r="I139" s="288" t="s">
        <v>603</v>
      </c>
      <c r="J139" s="289"/>
      <c r="K139" s="289"/>
      <c r="L139" s="289"/>
      <c r="M139" s="289"/>
      <c r="N139" s="289"/>
      <c r="O139" s="289"/>
      <c r="P139" s="290"/>
      <c r="Q139" s="261" t="s">
        <v>677</v>
      </c>
      <c r="R139" s="262"/>
      <c r="S139" s="262"/>
      <c r="T139" s="262"/>
      <c r="U139" s="262"/>
      <c r="V139" s="262"/>
      <c r="W139" s="262"/>
      <c r="X139" s="262"/>
      <c r="Y139" s="262"/>
      <c r="Z139" s="262"/>
      <c r="AA139" s="262"/>
      <c r="AB139" s="262"/>
      <c r="AC139" s="262"/>
      <c r="AD139" s="262"/>
      <c r="AE139" s="262"/>
      <c r="AF139" s="262"/>
      <c r="AG139" s="262"/>
      <c r="AH139" s="262"/>
      <c r="AI139" s="262"/>
      <c r="AJ139" s="262"/>
      <c r="AK139" s="262"/>
      <c r="AL139" s="262"/>
      <c r="AM139" s="262"/>
      <c r="AN139" s="263"/>
      <c r="AO139" s="175">
        <f t="shared" si="6"/>
        <v>125</v>
      </c>
      <c r="AP139" s="291"/>
      <c r="AQ139" s="292"/>
      <c r="AR139" s="292"/>
      <c r="AS139" s="292"/>
      <c r="AT139" s="292"/>
      <c r="AU139" s="293"/>
      <c r="AV139" s="288" t="s">
        <v>603</v>
      </c>
      <c r="AW139" s="289"/>
      <c r="AX139" s="289"/>
      <c r="AY139" s="289"/>
      <c r="AZ139" s="289"/>
      <c r="BA139" s="289"/>
      <c r="BB139" s="289"/>
      <c r="BC139" s="290"/>
      <c r="BD139" s="179"/>
      <c r="BE139" s="180"/>
      <c r="BF139" s="261" t="s">
        <v>983</v>
      </c>
      <c r="BG139" s="262"/>
      <c r="BH139" s="262"/>
      <c r="BI139" s="262"/>
      <c r="BJ139" s="262"/>
      <c r="BK139" s="262"/>
      <c r="BL139" s="262"/>
      <c r="BM139" s="262"/>
      <c r="BN139" s="263"/>
      <c r="BO139" s="261" t="s">
        <v>984</v>
      </c>
      <c r="BP139" s="262"/>
      <c r="BQ139" s="262"/>
      <c r="BR139" s="262"/>
      <c r="BS139" s="262"/>
      <c r="BT139" s="263"/>
      <c r="BU139" s="241"/>
      <c r="BW139" s="280">
        <v>1</v>
      </c>
      <c r="BX139" s="281"/>
    </row>
    <row r="140" spans="1:76" ht="12" customHeight="1">
      <c r="A140" s="199"/>
      <c r="B140" s="174">
        <f t="shared" si="5"/>
        <v>126</v>
      </c>
      <c r="C140" s="291"/>
      <c r="D140" s="292"/>
      <c r="E140" s="292"/>
      <c r="F140" s="292"/>
      <c r="G140" s="292"/>
      <c r="H140" s="293"/>
      <c r="I140" s="288" t="s">
        <v>610</v>
      </c>
      <c r="J140" s="289"/>
      <c r="K140" s="289"/>
      <c r="L140" s="289"/>
      <c r="M140" s="289"/>
      <c r="N140" s="289"/>
      <c r="O140" s="289"/>
      <c r="P140" s="290"/>
      <c r="Q140" s="261" t="s">
        <v>677</v>
      </c>
      <c r="R140" s="262"/>
      <c r="S140" s="262"/>
      <c r="T140" s="262"/>
      <c r="U140" s="262"/>
      <c r="V140" s="262"/>
      <c r="W140" s="262"/>
      <c r="X140" s="262"/>
      <c r="Y140" s="262"/>
      <c r="Z140" s="262"/>
      <c r="AA140" s="262"/>
      <c r="AB140" s="262"/>
      <c r="AC140" s="262"/>
      <c r="AD140" s="262"/>
      <c r="AE140" s="262"/>
      <c r="AF140" s="262"/>
      <c r="AG140" s="262"/>
      <c r="AH140" s="262"/>
      <c r="AI140" s="262"/>
      <c r="AJ140" s="262"/>
      <c r="AK140" s="262"/>
      <c r="AL140" s="262"/>
      <c r="AM140" s="262"/>
      <c r="AN140" s="263"/>
      <c r="AO140" s="175">
        <f t="shared" si="6"/>
        <v>126</v>
      </c>
      <c r="AP140" s="291"/>
      <c r="AQ140" s="292"/>
      <c r="AR140" s="292"/>
      <c r="AS140" s="292"/>
      <c r="AT140" s="292"/>
      <c r="AU140" s="293"/>
      <c r="AV140" s="288" t="s">
        <v>610</v>
      </c>
      <c r="AW140" s="289"/>
      <c r="AX140" s="289"/>
      <c r="AY140" s="289"/>
      <c r="AZ140" s="289"/>
      <c r="BA140" s="289"/>
      <c r="BB140" s="289"/>
      <c r="BC140" s="290"/>
      <c r="BD140" s="179"/>
      <c r="BE140" s="180"/>
      <c r="BF140" s="261" t="s">
        <v>985</v>
      </c>
      <c r="BG140" s="262"/>
      <c r="BH140" s="262"/>
      <c r="BI140" s="262"/>
      <c r="BJ140" s="262"/>
      <c r="BK140" s="262"/>
      <c r="BL140" s="262"/>
      <c r="BM140" s="262"/>
      <c r="BN140" s="263"/>
      <c r="BO140" s="261" t="s">
        <v>986</v>
      </c>
      <c r="BP140" s="262"/>
      <c r="BQ140" s="262"/>
      <c r="BR140" s="262"/>
      <c r="BS140" s="262"/>
      <c r="BT140" s="263"/>
      <c r="BU140" s="241"/>
      <c r="BW140" s="280">
        <v>10</v>
      </c>
      <c r="BX140" s="281"/>
    </row>
    <row r="141" spans="1:76" ht="12" customHeight="1">
      <c r="A141" s="199"/>
      <c r="B141" s="174">
        <f t="shared" si="5"/>
        <v>127</v>
      </c>
      <c r="C141" s="291"/>
      <c r="D141" s="292"/>
      <c r="E141" s="292"/>
      <c r="F141" s="292"/>
      <c r="G141" s="292"/>
      <c r="H141" s="293"/>
      <c r="I141" s="288" t="s">
        <v>622</v>
      </c>
      <c r="J141" s="289"/>
      <c r="K141" s="289"/>
      <c r="L141" s="289"/>
      <c r="M141" s="289"/>
      <c r="N141" s="289"/>
      <c r="O141" s="289"/>
      <c r="P141" s="290"/>
      <c r="Q141" s="261" t="s">
        <v>677</v>
      </c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262"/>
      <c r="AC141" s="262"/>
      <c r="AD141" s="262"/>
      <c r="AE141" s="262"/>
      <c r="AF141" s="262"/>
      <c r="AG141" s="262"/>
      <c r="AH141" s="262"/>
      <c r="AI141" s="262"/>
      <c r="AJ141" s="262"/>
      <c r="AK141" s="262"/>
      <c r="AL141" s="262"/>
      <c r="AM141" s="262"/>
      <c r="AN141" s="263"/>
      <c r="AO141" s="175">
        <f t="shared" si="6"/>
        <v>127</v>
      </c>
      <c r="AP141" s="291"/>
      <c r="AQ141" s="292"/>
      <c r="AR141" s="292"/>
      <c r="AS141" s="292"/>
      <c r="AT141" s="292"/>
      <c r="AU141" s="293"/>
      <c r="AV141" s="288" t="s">
        <v>622</v>
      </c>
      <c r="AW141" s="289"/>
      <c r="AX141" s="289"/>
      <c r="AY141" s="289"/>
      <c r="AZ141" s="289"/>
      <c r="BA141" s="289"/>
      <c r="BB141" s="289"/>
      <c r="BC141" s="290"/>
      <c r="BD141" s="179"/>
      <c r="BE141" s="180"/>
      <c r="BF141" s="261" t="s">
        <v>987</v>
      </c>
      <c r="BG141" s="262"/>
      <c r="BH141" s="262"/>
      <c r="BI141" s="262"/>
      <c r="BJ141" s="262"/>
      <c r="BK141" s="262"/>
      <c r="BL141" s="262"/>
      <c r="BM141" s="262"/>
      <c r="BN141" s="263"/>
      <c r="BO141" s="261" t="s">
        <v>988</v>
      </c>
      <c r="BP141" s="262"/>
      <c r="BQ141" s="262"/>
      <c r="BR141" s="262"/>
      <c r="BS141" s="262"/>
      <c r="BT141" s="263"/>
      <c r="BU141" s="241"/>
      <c r="BW141" s="280">
        <v>8</v>
      </c>
      <c r="BX141" s="281"/>
    </row>
    <row r="142" spans="1:76" ht="12" customHeight="1">
      <c r="A142" s="199"/>
      <c r="B142" s="174">
        <f t="shared" si="5"/>
        <v>128</v>
      </c>
      <c r="C142" s="291"/>
      <c r="D142" s="292"/>
      <c r="E142" s="292"/>
      <c r="F142" s="292"/>
      <c r="G142" s="292"/>
      <c r="H142" s="293"/>
      <c r="I142" s="288" t="s">
        <v>624</v>
      </c>
      <c r="J142" s="289"/>
      <c r="K142" s="289"/>
      <c r="L142" s="289"/>
      <c r="M142" s="289"/>
      <c r="N142" s="289"/>
      <c r="O142" s="289"/>
      <c r="P142" s="290"/>
      <c r="Q142" s="261" t="s">
        <v>677</v>
      </c>
      <c r="R142" s="262"/>
      <c r="S142" s="262"/>
      <c r="T142" s="262"/>
      <c r="U142" s="262"/>
      <c r="V142" s="262"/>
      <c r="W142" s="262"/>
      <c r="X142" s="262"/>
      <c r="Y142" s="262"/>
      <c r="Z142" s="262"/>
      <c r="AA142" s="262"/>
      <c r="AB142" s="262"/>
      <c r="AC142" s="262"/>
      <c r="AD142" s="262"/>
      <c r="AE142" s="262"/>
      <c r="AF142" s="262"/>
      <c r="AG142" s="262"/>
      <c r="AH142" s="262"/>
      <c r="AI142" s="262"/>
      <c r="AJ142" s="262"/>
      <c r="AK142" s="262"/>
      <c r="AL142" s="262"/>
      <c r="AM142" s="262"/>
      <c r="AN142" s="263"/>
      <c r="AO142" s="175">
        <f t="shared" si="6"/>
        <v>128</v>
      </c>
      <c r="AP142" s="291"/>
      <c r="AQ142" s="292"/>
      <c r="AR142" s="292"/>
      <c r="AS142" s="292"/>
      <c r="AT142" s="292"/>
      <c r="AU142" s="293"/>
      <c r="AV142" s="288" t="s">
        <v>624</v>
      </c>
      <c r="AW142" s="289"/>
      <c r="AX142" s="289"/>
      <c r="AY142" s="289"/>
      <c r="AZ142" s="289"/>
      <c r="BA142" s="289"/>
      <c r="BB142" s="289"/>
      <c r="BC142" s="290"/>
      <c r="BD142" s="179"/>
      <c r="BE142" s="180"/>
      <c r="BF142" s="261" t="s">
        <v>989</v>
      </c>
      <c r="BG142" s="262"/>
      <c r="BH142" s="262"/>
      <c r="BI142" s="262"/>
      <c r="BJ142" s="262"/>
      <c r="BK142" s="262"/>
      <c r="BL142" s="262"/>
      <c r="BM142" s="262"/>
      <c r="BN142" s="263"/>
      <c r="BO142" s="261" t="s">
        <v>990</v>
      </c>
      <c r="BP142" s="262"/>
      <c r="BQ142" s="262"/>
      <c r="BR142" s="262"/>
      <c r="BS142" s="262"/>
      <c r="BT142" s="263"/>
      <c r="BU142" s="241"/>
      <c r="BW142" s="280">
        <v>8</v>
      </c>
      <c r="BX142" s="281"/>
    </row>
    <row r="143" spans="1:76" ht="12" customHeight="1">
      <c r="A143" s="199"/>
      <c r="B143" s="174">
        <f t="shared" si="5"/>
        <v>129</v>
      </c>
      <c r="C143" s="291"/>
      <c r="D143" s="292"/>
      <c r="E143" s="292"/>
      <c r="F143" s="292"/>
      <c r="G143" s="292"/>
      <c r="H143" s="293"/>
      <c r="I143" s="288" t="s">
        <v>991</v>
      </c>
      <c r="J143" s="289"/>
      <c r="K143" s="289"/>
      <c r="L143" s="289"/>
      <c r="M143" s="289"/>
      <c r="N143" s="289"/>
      <c r="O143" s="289"/>
      <c r="P143" s="290"/>
      <c r="Q143" s="261" t="s">
        <v>677</v>
      </c>
      <c r="R143" s="262"/>
      <c r="S143" s="262"/>
      <c r="T143" s="262"/>
      <c r="U143" s="262"/>
      <c r="V143" s="262"/>
      <c r="W143" s="262"/>
      <c r="X143" s="262"/>
      <c r="Y143" s="262"/>
      <c r="Z143" s="262"/>
      <c r="AA143" s="262"/>
      <c r="AB143" s="262"/>
      <c r="AC143" s="262"/>
      <c r="AD143" s="262"/>
      <c r="AE143" s="262"/>
      <c r="AF143" s="262"/>
      <c r="AG143" s="262"/>
      <c r="AH143" s="262"/>
      <c r="AI143" s="262"/>
      <c r="AJ143" s="262"/>
      <c r="AK143" s="262"/>
      <c r="AL143" s="262"/>
      <c r="AM143" s="262"/>
      <c r="AN143" s="263"/>
      <c r="AO143" s="181">
        <f t="shared" si="6"/>
        <v>129</v>
      </c>
      <c r="AP143" s="291"/>
      <c r="AQ143" s="292"/>
      <c r="AR143" s="292"/>
      <c r="AS143" s="292"/>
      <c r="AT143" s="292"/>
      <c r="AU143" s="293"/>
      <c r="AV143" s="288" t="s">
        <v>992</v>
      </c>
      <c r="AW143" s="289"/>
      <c r="AX143" s="289"/>
      <c r="AY143" s="289"/>
      <c r="AZ143" s="289"/>
      <c r="BA143" s="289"/>
      <c r="BB143" s="289"/>
      <c r="BC143" s="290"/>
      <c r="BD143" s="179"/>
      <c r="BE143" s="180"/>
      <c r="BF143" s="261" t="s">
        <v>993</v>
      </c>
      <c r="BG143" s="262"/>
      <c r="BH143" s="262"/>
      <c r="BI143" s="262"/>
      <c r="BJ143" s="262"/>
      <c r="BK143" s="262"/>
      <c r="BL143" s="262"/>
      <c r="BM143" s="262"/>
      <c r="BN143" s="263"/>
      <c r="BO143" s="261" t="s">
        <v>994</v>
      </c>
      <c r="BP143" s="262"/>
      <c r="BQ143" s="262"/>
      <c r="BR143" s="262"/>
      <c r="BS143" s="262"/>
      <c r="BT143" s="263"/>
      <c r="BU143" s="241"/>
      <c r="BW143" s="280">
        <v>8</v>
      </c>
      <c r="BX143" s="281"/>
    </row>
    <row r="144" spans="1:76" ht="12" customHeight="1">
      <c r="A144" s="199"/>
      <c r="B144" s="174">
        <f t="shared" si="5"/>
        <v>130</v>
      </c>
      <c r="C144" s="297" t="s">
        <v>713</v>
      </c>
      <c r="D144" s="298"/>
      <c r="E144" s="298"/>
      <c r="F144" s="298"/>
      <c r="G144" s="298"/>
      <c r="H144" s="299"/>
      <c r="I144" s="288" t="s">
        <v>713</v>
      </c>
      <c r="J144" s="289"/>
      <c r="K144" s="289"/>
      <c r="L144" s="289"/>
      <c r="M144" s="289"/>
      <c r="N144" s="289"/>
      <c r="O144" s="289"/>
      <c r="P144" s="290"/>
      <c r="Q144" s="261" t="s">
        <v>752</v>
      </c>
      <c r="R144" s="262"/>
      <c r="S144" s="262"/>
      <c r="T144" s="262"/>
      <c r="U144" s="262"/>
      <c r="V144" s="262"/>
      <c r="W144" s="262"/>
      <c r="X144" s="262"/>
      <c r="Y144" s="262"/>
      <c r="Z144" s="262"/>
      <c r="AA144" s="262"/>
      <c r="AB144" s="262"/>
      <c r="AC144" s="262"/>
      <c r="AD144" s="262"/>
      <c r="AE144" s="262"/>
      <c r="AF144" s="262"/>
      <c r="AG144" s="262"/>
      <c r="AH144" s="262"/>
      <c r="AI144" s="262"/>
      <c r="AJ144" s="262"/>
      <c r="AK144" s="262"/>
      <c r="AL144" s="262"/>
      <c r="AM144" s="262"/>
      <c r="AN144" s="263"/>
      <c r="AO144" s="181">
        <f t="shared" si="6"/>
        <v>130</v>
      </c>
      <c r="AP144" s="291"/>
      <c r="AQ144" s="292"/>
      <c r="AR144" s="292"/>
      <c r="AS144" s="292"/>
      <c r="AT144" s="292"/>
      <c r="AU144" s="293"/>
      <c r="AV144" s="288" t="s">
        <v>995</v>
      </c>
      <c r="AW144" s="289"/>
      <c r="AX144" s="289"/>
      <c r="AY144" s="289"/>
      <c r="AZ144" s="289"/>
      <c r="BA144" s="289"/>
      <c r="BB144" s="289"/>
      <c r="BC144" s="290"/>
      <c r="BD144" s="179"/>
      <c r="BE144" s="180"/>
      <c r="BF144" s="261" t="s">
        <v>995</v>
      </c>
      <c r="BG144" s="262"/>
      <c r="BH144" s="262"/>
      <c r="BI144" s="262"/>
      <c r="BJ144" s="262"/>
      <c r="BK144" s="262"/>
      <c r="BL144" s="262"/>
      <c r="BM144" s="262"/>
      <c r="BN144" s="263"/>
      <c r="BO144" s="261" t="s">
        <v>996</v>
      </c>
      <c r="BP144" s="262"/>
      <c r="BQ144" s="262"/>
      <c r="BR144" s="262"/>
      <c r="BS144" s="262"/>
      <c r="BT144" s="263"/>
      <c r="BU144" s="241"/>
      <c r="BW144" s="280">
        <v>2</v>
      </c>
      <c r="BX144" s="281"/>
    </row>
    <row r="145" spans="1:76" ht="12" customHeight="1">
      <c r="A145" s="199"/>
      <c r="B145" s="174">
        <f t="shared" si="5"/>
        <v>131</v>
      </c>
      <c r="C145" s="306"/>
      <c r="D145" s="307"/>
      <c r="E145" s="307"/>
      <c r="F145" s="307"/>
      <c r="G145" s="307"/>
      <c r="H145" s="308"/>
      <c r="I145" s="288" t="s">
        <v>713</v>
      </c>
      <c r="J145" s="289"/>
      <c r="K145" s="289"/>
      <c r="L145" s="289"/>
      <c r="M145" s="289"/>
      <c r="N145" s="289"/>
      <c r="O145" s="289"/>
      <c r="P145" s="290"/>
      <c r="Q145" s="261" t="s">
        <v>752</v>
      </c>
      <c r="R145" s="262"/>
      <c r="S145" s="262"/>
      <c r="T145" s="262"/>
      <c r="U145" s="262"/>
      <c r="V145" s="262"/>
      <c r="W145" s="262"/>
      <c r="X145" s="262"/>
      <c r="Y145" s="262"/>
      <c r="Z145" s="262"/>
      <c r="AA145" s="262"/>
      <c r="AB145" s="262"/>
      <c r="AC145" s="262"/>
      <c r="AD145" s="262"/>
      <c r="AE145" s="262"/>
      <c r="AF145" s="262"/>
      <c r="AG145" s="262"/>
      <c r="AH145" s="262"/>
      <c r="AI145" s="262"/>
      <c r="AJ145" s="262"/>
      <c r="AK145" s="262"/>
      <c r="AL145" s="262"/>
      <c r="AM145" s="262"/>
      <c r="AN145" s="263"/>
      <c r="AO145" s="182">
        <f t="shared" si="6"/>
        <v>131</v>
      </c>
      <c r="AP145" s="306"/>
      <c r="AQ145" s="307"/>
      <c r="AR145" s="307"/>
      <c r="AS145" s="307"/>
      <c r="AT145" s="307"/>
      <c r="AU145" s="308"/>
      <c r="AV145" s="288" t="s">
        <v>997</v>
      </c>
      <c r="AW145" s="289"/>
      <c r="AX145" s="289"/>
      <c r="AY145" s="289"/>
      <c r="AZ145" s="289"/>
      <c r="BA145" s="289"/>
      <c r="BB145" s="289"/>
      <c r="BC145" s="290"/>
      <c r="BD145" s="179"/>
      <c r="BE145" s="180"/>
      <c r="BF145" s="261" t="s">
        <v>998</v>
      </c>
      <c r="BG145" s="262"/>
      <c r="BH145" s="262"/>
      <c r="BI145" s="262"/>
      <c r="BJ145" s="262"/>
      <c r="BK145" s="262"/>
      <c r="BL145" s="262"/>
      <c r="BM145" s="262"/>
      <c r="BN145" s="263"/>
      <c r="BO145" s="261" t="s">
        <v>999</v>
      </c>
      <c r="BP145" s="262"/>
      <c r="BQ145" s="262"/>
      <c r="BR145" s="262"/>
      <c r="BS145" s="262"/>
      <c r="BT145" s="263"/>
      <c r="BU145" s="241"/>
      <c r="BW145" s="280">
        <v>8</v>
      </c>
      <c r="BX145" s="281"/>
    </row>
    <row r="146" spans="1:76" ht="12" customHeight="1">
      <c r="A146" s="199"/>
      <c r="B146" s="174">
        <f t="shared" si="5"/>
        <v>132</v>
      </c>
      <c r="C146" s="286"/>
      <c r="D146" s="285"/>
      <c r="E146" s="285"/>
      <c r="F146" s="285"/>
      <c r="G146" s="285"/>
      <c r="H146" s="287"/>
      <c r="I146" s="288" t="s">
        <v>713</v>
      </c>
      <c r="J146" s="289"/>
      <c r="K146" s="289"/>
      <c r="L146" s="289"/>
      <c r="M146" s="289"/>
      <c r="N146" s="289"/>
      <c r="O146" s="289"/>
      <c r="P146" s="290"/>
      <c r="Q146" s="261" t="s">
        <v>752</v>
      </c>
      <c r="R146" s="262"/>
      <c r="S146" s="262"/>
      <c r="T146" s="262"/>
      <c r="U146" s="262"/>
      <c r="V146" s="262"/>
      <c r="W146" s="262"/>
      <c r="X146" s="262"/>
      <c r="Y146" s="262"/>
      <c r="Z146" s="262"/>
      <c r="AA146" s="262"/>
      <c r="AB146" s="262"/>
      <c r="AC146" s="262"/>
      <c r="AD146" s="262"/>
      <c r="AE146" s="262"/>
      <c r="AF146" s="262"/>
      <c r="AG146" s="262"/>
      <c r="AH146" s="262"/>
      <c r="AI146" s="262"/>
      <c r="AJ146" s="262"/>
      <c r="AK146" s="262"/>
      <c r="AL146" s="262"/>
      <c r="AM146" s="262"/>
      <c r="AN146" s="263"/>
      <c r="AO146" s="184">
        <f t="shared" si="6"/>
        <v>132</v>
      </c>
      <c r="AP146" s="291"/>
      <c r="AQ146" s="292"/>
      <c r="AR146" s="292"/>
      <c r="AS146" s="292"/>
      <c r="AT146" s="292"/>
      <c r="AU146" s="293"/>
      <c r="AV146" s="288" t="s">
        <v>1000</v>
      </c>
      <c r="AW146" s="289"/>
      <c r="AX146" s="289"/>
      <c r="AY146" s="289"/>
      <c r="AZ146" s="289"/>
      <c r="BA146" s="289"/>
      <c r="BB146" s="289"/>
      <c r="BC146" s="290"/>
      <c r="BD146" s="179"/>
      <c r="BE146" s="180"/>
      <c r="BF146" s="261" t="s">
        <v>1001</v>
      </c>
      <c r="BG146" s="262"/>
      <c r="BH146" s="262"/>
      <c r="BI146" s="262"/>
      <c r="BJ146" s="262"/>
      <c r="BK146" s="262"/>
      <c r="BL146" s="262"/>
      <c r="BM146" s="262"/>
      <c r="BN146" s="263"/>
      <c r="BO146" s="261" t="s">
        <v>1002</v>
      </c>
      <c r="BP146" s="262"/>
      <c r="BQ146" s="262"/>
      <c r="BR146" s="262"/>
      <c r="BS146" s="262"/>
      <c r="BT146" s="263"/>
      <c r="BU146" s="241"/>
      <c r="BW146" s="280">
        <v>10</v>
      </c>
      <c r="BX146" s="281"/>
    </row>
    <row r="147" spans="1:76" ht="12" customHeight="1">
      <c r="A147" s="199"/>
      <c r="B147" s="185">
        <f t="shared" si="5"/>
        <v>133</v>
      </c>
      <c r="C147" s="303" t="s">
        <v>676</v>
      </c>
      <c r="D147" s="304"/>
      <c r="E147" s="304"/>
      <c r="F147" s="304"/>
      <c r="G147" s="304"/>
      <c r="H147" s="305"/>
      <c r="I147" s="288" t="s">
        <v>618</v>
      </c>
      <c r="J147" s="289"/>
      <c r="K147" s="289"/>
      <c r="L147" s="289"/>
      <c r="M147" s="289"/>
      <c r="N147" s="289"/>
      <c r="O147" s="289"/>
      <c r="P147" s="290"/>
      <c r="Q147" s="261" t="s">
        <v>677</v>
      </c>
      <c r="R147" s="262"/>
      <c r="S147" s="262"/>
      <c r="T147" s="262"/>
      <c r="U147" s="262"/>
      <c r="V147" s="262"/>
      <c r="W147" s="262"/>
      <c r="X147" s="262"/>
      <c r="Y147" s="262"/>
      <c r="Z147" s="262"/>
      <c r="AA147" s="262"/>
      <c r="AB147" s="262"/>
      <c r="AC147" s="262"/>
      <c r="AD147" s="262"/>
      <c r="AE147" s="262"/>
      <c r="AF147" s="262"/>
      <c r="AG147" s="262"/>
      <c r="AH147" s="262"/>
      <c r="AI147" s="262"/>
      <c r="AJ147" s="262"/>
      <c r="AK147" s="262"/>
      <c r="AL147" s="262"/>
      <c r="AM147" s="262"/>
      <c r="AN147" s="263"/>
      <c r="AO147" s="181">
        <f t="shared" si="6"/>
        <v>133</v>
      </c>
      <c r="AP147" s="286"/>
      <c r="AQ147" s="285"/>
      <c r="AR147" s="285"/>
      <c r="AS147" s="285"/>
      <c r="AT147" s="285"/>
      <c r="AU147" s="287"/>
      <c r="AV147" s="288" t="s">
        <v>618</v>
      </c>
      <c r="AW147" s="289"/>
      <c r="AX147" s="289"/>
      <c r="AY147" s="289"/>
      <c r="AZ147" s="289"/>
      <c r="BA147" s="289"/>
      <c r="BB147" s="289"/>
      <c r="BC147" s="290"/>
      <c r="BD147" s="97"/>
      <c r="BE147" s="200"/>
      <c r="BF147" s="261" t="s">
        <v>1003</v>
      </c>
      <c r="BG147" s="262"/>
      <c r="BH147" s="262"/>
      <c r="BI147" s="262"/>
      <c r="BJ147" s="262"/>
      <c r="BK147" s="262"/>
      <c r="BL147" s="262"/>
      <c r="BM147" s="262"/>
      <c r="BN147" s="263"/>
      <c r="BO147" s="261" t="s">
        <v>1004</v>
      </c>
      <c r="BP147" s="262"/>
      <c r="BQ147" s="262"/>
      <c r="BR147" s="262"/>
      <c r="BS147" s="262"/>
      <c r="BT147" s="263"/>
      <c r="BU147" s="241"/>
      <c r="BW147" s="280">
        <v>10</v>
      </c>
      <c r="BX147" s="281"/>
    </row>
    <row r="148" spans="1:76" ht="12" customHeight="1">
      <c r="A148" s="201"/>
      <c r="B148" s="131"/>
      <c r="C148" s="282"/>
      <c r="D148" s="282"/>
      <c r="E148" s="282"/>
      <c r="F148" s="282"/>
      <c r="G148" s="282"/>
      <c r="H148" s="282"/>
      <c r="I148" s="187"/>
      <c r="J148" s="187"/>
      <c r="K148" s="187"/>
      <c r="L148" s="187"/>
      <c r="M148" s="187"/>
      <c r="N148" s="187"/>
      <c r="O148" s="187"/>
      <c r="P148" s="187"/>
      <c r="Q148" s="284"/>
      <c r="R148" s="284"/>
      <c r="S148" s="284"/>
      <c r="T148" s="284"/>
      <c r="U148" s="284"/>
      <c r="V148" s="284"/>
      <c r="W148" s="284"/>
      <c r="X148" s="284"/>
      <c r="Y148" s="284"/>
      <c r="Z148" s="284"/>
      <c r="AA148" s="284"/>
      <c r="AB148" s="284"/>
      <c r="AC148" s="284"/>
      <c r="AD148" s="284"/>
      <c r="AE148" s="284"/>
      <c r="AF148" s="284"/>
      <c r="AG148" s="284"/>
      <c r="AH148" s="284"/>
      <c r="AI148" s="284"/>
      <c r="AJ148" s="284"/>
      <c r="AK148" s="284"/>
      <c r="AL148" s="284"/>
      <c r="AM148" s="284"/>
      <c r="AN148" s="284"/>
      <c r="AO148" s="192"/>
      <c r="AP148" s="285"/>
      <c r="AQ148" s="285"/>
      <c r="AR148" s="285"/>
      <c r="AS148" s="285"/>
      <c r="AT148" s="285"/>
      <c r="AU148" s="285"/>
      <c r="AV148" s="187"/>
      <c r="AW148" s="187"/>
      <c r="AX148" s="187"/>
      <c r="AY148" s="187"/>
      <c r="AZ148" s="187"/>
      <c r="BA148" s="187"/>
      <c r="BB148" s="187"/>
      <c r="BC148" s="187"/>
      <c r="BD148" s="202"/>
      <c r="BE148" s="203"/>
      <c r="BF148" s="147"/>
      <c r="BG148" s="148"/>
      <c r="BH148" s="148"/>
      <c r="BI148" s="148"/>
      <c r="BJ148" s="148"/>
      <c r="BK148" s="148"/>
      <c r="BL148" s="148"/>
      <c r="BM148" s="148"/>
      <c r="BN148" s="149"/>
      <c r="BO148" s="147"/>
      <c r="BP148" s="148"/>
      <c r="BQ148" s="148"/>
      <c r="BR148" s="148"/>
      <c r="BS148" s="148"/>
      <c r="BT148" s="149"/>
      <c r="BU148" s="241"/>
      <c r="BW148" s="206"/>
      <c r="BX148" s="207"/>
    </row>
    <row r="149" spans="1:76" ht="12" customHeight="1">
      <c r="A149" s="199"/>
      <c r="B149" s="174">
        <f>B147+1</f>
        <v>134</v>
      </c>
      <c r="C149" s="297" t="s">
        <v>713</v>
      </c>
      <c r="D149" s="298"/>
      <c r="E149" s="298"/>
      <c r="F149" s="298"/>
      <c r="G149" s="298"/>
      <c r="H149" s="299"/>
      <c r="I149" s="288" t="s">
        <v>713</v>
      </c>
      <c r="J149" s="289"/>
      <c r="K149" s="289"/>
      <c r="L149" s="289"/>
      <c r="M149" s="289"/>
      <c r="N149" s="289"/>
      <c r="O149" s="289"/>
      <c r="P149" s="290"/>
      <c r="Q149" s="261" t="s">
        <v>752</v>
      </c>
      <c r="R149" s="262"/>
      <c r="S149" s="262"/>
      <c r="T149" s="262"/>
      <c r="U149" s="262"/>
      <c r="V149" s="262"/>
      <c r="W149" s="262"/>
      <c r="X149" s="262"/>
      <c r="Y149" s="262"/>
      <c r="Z149" s="262"/>
      <c r="AA149" s="262"/>
      <c r="AB149" s="262"/>
      <c r="AC149" s="262"/>
      <c r="AD149" s="262"/>
      <c r="AE149" s="262"/>
      <c r="AF149" s="262"/>
      <c r="AG149" s="262"/>
      <c r="AH149" s="262"/>
      <c r="AI149" s="262"/>
      <c r="AJ149" s="262"/>
      <c r="AK149" s="262"/>
      <c r="AL149" s="262"/>
      <c r="AM149" s="262"/>
      <c r="AN149" s="263"/>
      <c r="AO149" s="175">
        <f>AO147+1</f>
        <v>134</v>
      </c>
      <c r="AP149" s="297" t="s">
        <v>678</v>
      </c>
      <c r="AQ149" s="298"/>
      <c r="AR149" s="298"/>
      <c r="AS149" s="298"/>
      <c r="AT149" s="298"/>
      <c r="AU149" s="299"/>
      <c r="AV149" s="288" t="s">
        <v>1005</v>
      </c>
      <c r="AW149" s="289"/>
      <c r="AX149" s="289"/>
      <c r="AY149" s="289"/>
      <c r="AZ149" s="289"/>
      <c r="BA149" s="289"/>
      <c r="BB149" s="289"/>
      <c r="BC149" s="290"/>
      <c r="BD149" s="97"/>
      <c r="BE149" s="200"/>
      <c r="BF149" s="261" t="s">
        <v>1006</v>
      </c>
      <c r="BG149" s="262"/>
      <c r="BH149" s="262"/>
      <c r="BI149" s="262"/>
      <c r="BJ149" s="262"/>
      <c r="BK149" s="262"/>
      <c r="BL149" s="262"/>
      <c r="BM149" s="262"/>
      <c r="BN149" s="263"/>
      <c r="BO149" s="261" t="s">
        <v>1007</v>
      </c>
      <c r="BP149" s="262"/>
      <c r="BQ149" s="262"/>
      <c r="BR149" s="262"/>
      <c r="BS149" s="262"/>
      <c r="BT149" s="263"/>
      <c r="BU149" s="241"/>
      <c r="BW149" s="280">
        <v>3</v>
      </c>
      <c r="BX149" s="281"/>
    </row>
    <row r="150" spans="1:76" ht="12" customHeight="1">
      <c r="A150" s="199"/>
      <c r="B150" s="185">
        <f t="shared" si="5"/>
        <v>135</v>
      </c>
      <c r="C150" s="291"/>
      <c r="D150" s="292"/>
      <c r="E150" s="292"/>
      <c r="F150" s="292"/>
      <c r="G150" s="292"/>
      <c r="H150" s="293"/>
      <c r="I150" s="288" t="s">
        <v>713</v>
      </c>
      <c r="J150" s="289"/>
      <c r="K150" s="289"/>
      <c r="L150" s="289"/>
      <c r="M150" s="289"/>
      <c r="N150" s="289"/>
      <c r="O150" s="289"/>
      <c r="P150" s="290"/>
      <c r="Q150" s="261" t="s">
        <v>752</v>
      </c>
      <c r="R150" s="262"/>
      <c r="S150" s="262"/>
      <c r="T150" s="262"/>
      <c r="U150" s="262"/>
      <c r="V150" s="262"/>
      <c r="W150" s="262"/>
      <c r="X150" s="262"/>
      <c r="Y150" s="262"/>
      <c r="Z150" s="262"/>
      <c r="AA150" s="262"/>
      <c r="AB150" s="262"/>
      <c r="AC150" s="262"/>
      <c r="AD150" s="262"/>
      <c r="AE150" s="262"/>
      <c r="AF150" s="262"/>
      <c r="AG150" s="262"/>
      <c r="AH150" s="262"/>
      <c r="AI150" s="262"/>
      <c r="AJ150" s="262"/>
      <c r="AK150" s="262"/>
      <c r="AL150" s="262"/>
      <c r="AM150" s="262"/>
      <c r="AN150" s="263"/>
      <c r="AO150" s="181">
        <f t="shared" si="6"/>
        <v>135</v>
      </c>
      <c r="AP150" s="291"/>
      <c r="AQ150" s="292"/>
      <c r="AR150" s="292"/>
      <c r="AS150" s="292"/>
      <c r="AT150" s="292"/>
      <c r="AU150" s="293"/>
      <c r="AV150" s="288" t="s">
        <v>1008</v>
      </c>
      <c r="AW150" s="289"/>
      <c r="AX150" s="289"/>
      <c r="AY150" s="289"/>
      <c r="AZ150" s="289"/>
      <c r="BA150" s="289"/>
      <c r="BB150" s="289"/>
      <c r="BC150" s="290"/>
      <c r="BD150" s="97"/>
      <c r="BE150" s="200"/>
      <c r="BF150" s="261" t="s">
        <v>1009</v>
      </c>
      <c r="BG150" s="262"/>
      <c r="BH150" s="262"/>
      <c r="BI150" s="262"/>
      <c r="BJ150" s="262"/>
      <c r="BK150" s="262"/>
      <c r="BL150" s="262"/>
      <c r="BM150" s="262"/>
      <c r="BN150" s="263"/>
      <c r="BO150" s="261" t="s">
        <v>1010</v>
      </c>
      <c r="BP150" s="262"/>
      <c r="BQ150" s="262"/>
      <c r="BR150" s="262"/>
      <c r="BS150" s="262"/>
      <c r="BT150" s="263"/>
      <c r="BU150" s="241"/>
      <c r="BW150" s="280">
        <v>3</v>
      </c>
      <c r="BX150" s="281"/>
    </row>
    <row r="151" spans="1:76" ht="12" customHeight="1">
      <c r="A151" s="199"/>
      <c r="B151" s="174">
        <f>B150+1</f>
        <v>136</v>
      </c>
      <c r="C151" s="291"/>
      <c r="D151" s="292"/>
      <c r="E151" s="292"/>
      <c r="F151" s="292"/>
      <c r="G151" s="292"/>
      <c r="H151" s="293"/>
      <c r="I151" s="288" t="s">
        <v>713</v>
      </c>
      <c r="J151" s="289"/>
      <c r="K151" s="289"/>
      <c r="L151" s="289"/>
      <c r="M151" s="289"/>
      <c r="N151" s="289"/>
      <c r="O151" s="289"/>
      <c r="P151" s="290"/>
      <c r="Q151" s="261" t="s">
        <v>752</v>
      </c>
      <c r="R151" s="262"/>
      <c r="S151" s="262"/>
      <c r="T151" s="262"/>
      <c r="U151" s="262"/>
      <c r="V151" s="262"/>
      <c r="W151" s="262"/>
      <c r="X151" s="262"/>
      <c r="Y151" s="262"/>
      <c r="Z151" s="262"/>
      <c r="AA151" s="262"/>
      <c r="AB151" s="262"/>
      <c r="AC151" s="262"/>
      <c r="AD151" s="262"/>
      <c r="AE151" s="262"/>
      <c r="AF151" s="262"/>
      <c r="AG151" s="262"/>
      <c r="AH151" s="262"/>
      <c r="AI151" s="262"/>
      <c r="AJ151" s="262"/>
      <c r="AK151" s="262"/>
      <c r="AL151" s="262"/>
      <c r="AM151" s="262"/>
      <c r="AN151" s="263"/>
      <c r="AO151" s="175">
        <f>AO150+1</f>
        <v>136</v>
      </c>
      <c r="AP151" s="291"/>
      <c r="AQ151" s="292"/>
      <c r="AR151" s="292"/>
      <c r="AS151" s="292"/>
      <c r="AT151" s="292"/>
      <c r="AU151" s="293"/>
      <c r="AV151" s="288" t="s">
        <v>1011</v>
      </c>
      <c r="AW151" s="289"/>
      <c r="AX151" s="289"/>
      <c r="AY151" s="289"/>
      <c r="AZ151" s="289"/>
      <c r="BA151" s="289"/>
      <c r="BB151" s="289"/>
      <c r="BC151" s="290"/>
      <c r="BD151" s="97"/>
      <c r="BE151" s="200"/>
      <c r="BF151" s="261" t="s">
        <v>1012</v>
      </c>
      <c r="BG151" s="262"/>
      <c r="BH151" s="262"/>
      <c r="BI151" s="262"/>
      <c r="BJ151" s="262"/>
      <c r="BK151" s="262"/>
      <c r="BL151" s="262"/>
      <c r="BM151" s="262"/>
      <c r="BN151" s="263"/>
      <c r="BO151" s="261" t="s">
        <v>1013</v>
      </c>
      <c r="BP151" s="262"/>
      <c r="BQ151" s="262"/>
      <c r="BR151" s="262"/>
      <c r="BS151" s="262"/>
      <c r="BT151" s="263"/>
      <c r="BU151" s="241"/>
      <c r="BW151" s="280">
        <v>3</v>
      </c>
      <c r="BX151" s="281"/>
    </row>
    <row r="152" spans="1:76" ht="12" customHeight="1">
      <c r="A152" s="199"/>
      <c r="B152" s="174">
        <f t="shared" si="5"/>
        <v>137</v>
      </c>
      <c r="C152" s="291"/>
      <c r="D152" s="292"/>
      <c r="E152" s="292"/>
      <c r="F152" s="292"/>
      <c r="G152" s="292"/>
      <c r="H152" s="293"/>
      <c r="I152" s="288" t="s">
        <v>713</v>
      </c>
      <c r="J152" s="289"/>
      <c r="K152" s="289"/>
      <c r="L152" s="289"/>
      <c r="M152" s="289"/>
      <c r="N152" s="289"/>
      <c r="O152" s="289"/>
      <c r="P152" s="290"/>
      <c r="Q152" s="261" t="s">
        <v>752</v>
      </c>
      <c r="R152" s="262"/>
      <c r="S152" s="262"/>
      <c r="T152" s="262"/>
      <c r="U152" s="262"/>
      <c r="V152" s="262"/>
      <c r="W152" s="262"/>
      <c r="X152" s="262"/>
      <c r="Y152" s="262"/>
      <c r="Z152" s="262"/>
      <c r="AA152" s="262"/>
      <c r="AB152" s="262"/>
      <c r="AC152" s="262"/>
      <c r="AD152" s="262"/>
      <c r="AE152" s="262"/>
      <c r="AF152" s="262"/>
      <c r="AG152" s="262"/>
      <c r="AH152" s="262"/>
      <c r="AI152" s="262"/>
      <c r="AJ152" s="262"/>
      <c r="AK152" s="262"/>
      <c r="AL152" s="262"/>
      <c r="AM152" s="262"/>
      <c r="AN152" s="263"/>
      <c r="AO152" s="175">
        <f t="shared" si="6"/>
        <v>137</v>
      </c>
      <c r="AP152" s="291"/>
      <c r="AQ152" s="292"/>
      <c r="AR152" s="292"/>
      <c r="AS152" s="292"/>
      <c r="AT152" s="292"/>
      <c r="AU152" s="293"/>
      <c r="AV152" s="288" t="s">
        <v>1014</v>
      </c>
      <c r="AW152" s="289"/>
      <c r="AX152" s="289"/>
      <c r="AY152" s="289"/>
      <c r="AZ152" s="289"/>
      <c r="BA152" s="289"/>
      <c r="BB152" s="289"/>
      <c r="BC152" s="290"/>
      <c r="BD152" s="97"/>
      <c r="BE152" s="200"/>
      <c r="BF152" s="261" t="s">
        <v>1015</v>
      </c>
      <c r="BG152" s="262"/>
      <c r="BH152" s="262"/>
      <c r="BI152" s="262"/>
      <c r="BJ152" s="262"/>
      <c r="BK152" s="262"/>
      <c r="BL152" s="262"/>
      <c r="BM152" s="262"/>
      <c r="BN152" s="263"/>
      <c r="BO152" s="261" t="s">
        <v>1016</v>
      </c>
      <c r="BP152" s="262"/>
      <c r="BQ152" s="262"/>
      <c r="BR152" s="262"/>
      <c r="BS152" s="262"/>
      <c r="BT152" s="263"/>
      <c r="BU152" s="241"/>
      <c r="BW152" s="280">
        <v>3</v>
      </c>
      <c r="BX152" s="281"/>
    </row>
    <row r="153" spans="1:76" ht="12" customHeight="1">
      <c r="A153" s="199"/>
      <c r="B153" s="174">
        <f t="shared" si="5"/>
        <v>138</v>
      </c>
      <c r="C153" s="291"/>
      <c r="D153" s="292"/>
      <c r="E153" s="292"/>
      <c r="F153" s="292"/>
      <c r="G153" s="292"/>
      <c r="H153" s="293"/>
      <c r="I153" s="288" t="s">
        <v>713</v>
      </c>
      <c r="J153" s="289"/>
      <c r="K153" s="289"/>
      <c r="L153" s="289"/>
      <c r="M153" s="289"/>
      <c r="N153" s="289"/>
      <c r="O153" s="289"/>
      <c r="P153" s="290"/>
      <c r="Q153" s="261" t="s">
        <v>752</v>
      </c>
      <c r="R153" s="262"/>
      <c r="S153" s="262"/>
      <c r="T153" s="262"/>
      <c r="U153" s="262"/>
      <c r="V153" s="262"/>
      <c r="W153" s="262"/>
      <c r="X153" s="262"/>
      <c r="Y153" s="262"/>
      <c r="Z153" s="262"/>
      <c r="AA153" s="262"/>
      <c r="AB153" s="262"/>
      <c r="AC153" s="262"/>
      <c r="AD153" s="262"/>
      <c r="AE153" s="262"/>
      <c r="AF153" s="262"/>
      <c r="AG153" s="262"/>
      <c r="AH153" s="262"/>
      <c r="AI153" s="262"/>
      <c r="AJ153" s="262"/>
      <c r="AK153" s="262"/>
      <c r="AL153" s="262"/>
      <c r="AM153" s="262"/>
      <c r="AN153" s="263"/>
      <c r="AO153" s="175">
        <f t="shared" si="6"/>
        <v>138</v>
      </c>
      <c r="AP153" s="291"/>
      <c r="AQ153" s="292"/>
      <c r="AR153" s="292"/>
      <c r="AS153" s="292"/>
      <c r="AT153" s="292"/>
      <c r="AU153" s="293"/>
      <c r="AV153" s="288" t="s">
        <v>1017</v>
      </c>
      <c r="AW153" s="289"/>
      <c r="AX153" s="289"/>
      <c r="AY153" s="289"/>
      <c r="AZ153" s="289"/>
      <c r="BA153" s="289"/>
      <c r="BB153" s="289"/>
      <c r="BC153" s="290"/>
      <c r="BD153" s="97"/>
      <c r="BE153" s="200"/>
      <c r="BF153" s="261" t="s">
        <v>1018</v>
      </c>
      <c r="BG153" s="262"/>
      <c r="BH153" s="262"/>
      <c r="BI153" s="262"/>
      <c r="BJ153" s="262"/>
      <c r="BK153" s="262"/>
      <c r="BL153" s="262"/>
      <c r="BM153" s="262"/>
      <c r="BN153" s="263"/>
      <c r="BO153" s="261" t="s">
        <v>1019</v>
      </c>
      <c r="BP153" s="262"/>
      <c r="BQ153" s="262"/>
      <c r="BR153" s="262"/>
      <c r="BS153" s="262"/>
      <c r="BT153" s="263"/>
      <c r="BU153" s="241"/>
      <c r="BW153" s="280">
        <v>3</v>
      </c>
      <c r="BX153" s="281"/>
    </row>
    <row r="154" spans="1:76" ht="12" customHeight="1">
      <c r="A154" s="199"/>
      <c r="B154" s="174">
        <f t="shared" si="5"/>
        <v>139</v>
      </c>
      <c r="C154" s="291"/>
      <c r="D154" s="292"/>
      <c r="E154" s="292"/>
      <c r="F154" s="292"/>
      <c r="G154" s="292"/>
      <c r="H154" s="293"/>
      <c r="I154" s="288" t="s">
        <v>713</v>
      </c>
      <c r="J154" s="289"/>
      <c r="K154" s="289"/>
      <c r="L154" s="289"/>
      <c r="M154" s="289"/>
      <c r="N154" s="289"/>
      <c r="O154" s="289"/>
      <c r="P154" s="290"/>
      <c r="Q154" s="261" t="s">
        <v>752</v>
      </c>
      <c r="R154" s="262"/>
      <c r="S154" s="262"/>
      <c r="T154" s="262"/>
      <c r="U154" s="262"/>
      <c r="V154" s="262"/>
      <c r="W154" s="262"/>
      <c r="X154" s="262"/>
      <c r="Y154" s="262"/>
      <c r="Z154" s="262"/>
      <c r="AA154" s="262"/>
      <c r="AB154" s="262"/>
      <c r="AC154" s="262"/>
      <c r="AD154" s="262"/>
      <c r="AE154" s="262"/>
      <c r="AF154" s="262"/>
      <c r="AG154" s="262"/>
      <c r="AH154" s="262"/>
      <c r="AI154" s="262"/>
      <c r="AJ154" s="262"/>
      <c r="AK154" s="262"/>
      <c r="AL154" s="262"/>
      <c r="AM154" s="262"/>
      <c r="AN154" s="263"/>
      <c r="AO154" s="175">
        <f>AO153+1</f>
        <v>139</v>
      </c>
      <c r="AP154" s="291"/>
      <c r="AQ154" s="292"/>
      <c r="AR154" s="292"/>
      <c r="AS154" s="292"/>
      <c r="AT154" s="292"/>
      <c r="AU154" s="293"/>
      <c r="AV154" s="288" t="s">
        <v>1020</v>
      </c>
      <c r="AW154" s="289"/>
      <c r="AX154" s="289"/>
      <c r="AY154" s="289"/>
      <c r="AZ154" s="289"/>
      <c r="BA154" s="289"/>
      <c r="BB154" s="289"/>
      <c r="BC154" s="290"/>
      <c r="BD154" s="97"/>
      <c r="BE154" s="200"/>
      <c r="BF154" s="261" t="s">
        <v>1021</v>
      </c>
      <c r="BG154" s="262"/>
      <c r="BH154" s="262"/>
      <c r="BI154" s="262"/>
      <c r="BJ154" s="262"/>
      <c r="BK154" s="262"/>
      <c r="BL154" s="262"/>
      <c r="BM154" s="262"/>
      <c r="BN154" s="263"/>
      <c r="BO154" s="261" t="s">
        <v>1022</v>
      </c>
      <c r="BP154" s="262"/>
      <c r="BQ154" s="262"/>
      <c r="BR154" s="262"/>
      <c r="BS154" s="262"/>
      <c r="BT154" s="263"/>
      <c r="BU154" s="241"/>
      <c r="BW154" s="280">
        <v>3</v>
      </c>
      <c r="BX154" s="281"/>
    </row>
    <row r="155" spans="1:76" ht="12" customHeight="1">
      <c r="A155" s="199"/>
      <c r="B155" s="174">
        <f>B154+1</f>
        <v>140</v>
      </c>
      <c r="C155" s="303" t="s">
        <v>676</v>
      </c>
      <c r="D155" s="304"/>
      <c r="E155" s="304"/>
      <c r="F155" s="304"/>
      <c r="G155" s="304"/>
      <c r="H155" s="305"/>
      <c r="I155" s="288" t="s">
        <v>1023</v>
      </c>
      <c r="J155" s="289"/>
      <c r="K155" s="289"/>
      <c r="L155" s="289"/>
      <c r="M155" s="289"/>
      <c r="N155" s="289"/>
      <c r="O155" s="289"/>
      <c r="P155" s="290"/>
      <c r="Q155" s="261" t="s">
        <v>677</v>
      </c>
      <c r="R155" s="262"/>
      <c r="S155" s="262"/>
      <c r="T155" s="262"/>
      <c r="U155" s="262"/>
      <c r="V155" s="262"/>
      <c r="W155" s="262"/>
      <c r="X155" s="262"/>
      <c r="Y155" s="262"/>
      <c r="Z155" s="262"/>
      <c r="AA155" s="262"/>
      <c r="AB155" s="262"/>
      <c r="AC155" s="262"/>
      <c r="AD155" s="262"/>
      <c r="AE155" s="262"/>
      <c r="AF155" s="262"/>
      <c r="AG155" s="262"/>
      <c r="AH155" s="262"/>
      <c r="AI155" s="262"/>
      <c r="AJ155" s="262"/>
      <c r="AK155" s="262"/>
      <c r="AL155" s="262"/>
      <c r="AM155" s="262"/>
      <c r="AN155" s="263"/>
      <c r="AO155" s="175">
        <f>AO154+1</f>
        <v>140</v>
      </c>
      <c r="AP155" s="291"/>
      <c r="AQ155" s="292"/>
      <c r="AR155" s="292"/>
      <c r="AS155" s="292"/>
      <c r="AT155" s="292"/>
      <c r="AU155" s="293"/>
      <c r="AV155" s="288" t="s">
        <v>1024</v>
      </c>
      <c r="AW155" s="289"/>
      <c r="AX155" s="289"/>
      <c r="AY155" s="289"/>
      <c r="AZ155" s="289"/>
      <c r="BA155" s="289"/>
      <c r="BB155" s="289"/>
      <c r="BC155" s="290"/>
      <c r="BD155" s="97"/>
      <c r="BE155" s="200"/>
      <c r="BF155" s="261" t="s">
        <v>1024</v>
      </c>
      <c r="BG155" s="262"/>
      <c r="BH155" s="262"/>
      <c r="BI155" s="262"/>
      <c r="BJ155" s="262"/>
      <c r="BK155" s="262"/>
      <c r="BL155" s="262"/>
      <c r="BM155" s="262"/>
      <c r="BN155" s="263"/>
      <c r="BO155" s="261" t="s">
        <v>1025</v>
      </c>
      <c r="BP155" s="262"/>
      <c r="BQ155" s="262"/>
      <c r="BR155" s="262"/>
      <c r="BS155" s="262"/>
      <c r="BT155" s="263"/>
      <c r="BU155" s="241"/>
      <c r="BW155" s="280">
        <v>2</v>
      </c>
      <c r="BX155" s="281"/>
    </row>
    <row r="156" spans="1:76" ht="12" customHeight="1">
      <c r="A156" s="199"/>
      <c r="B156" s="185">
        <f>B155+1</f>
        <v>141</v>
      </c>
      <c r="C156" s="297" t="s">
        <v>713</v>
      </c>
      <c r="D156" s="298"/>
      <c r="E156" s="298"/>
      <c r="F156" s="298"/>
      <c r="G156" s="298"/>
      <c r="H156" s="299"/>
      <c r="I156" s="288" t="s">
        <v>713</v>
      </c>
      <c r="J156" s="289"/>
      <c r="K156" s="289"/>
      <c r="L156" s="289"/>
      <c r="M156" s="289"/>
      <c r="N156" s="289"/>
      <c r="O156" s="289"/>
      <c r="P156" s="290"/>
      <c r="Q156" s="261" t="s">
        <v>752</v>
      </c>
      <c r="R156" s="262"/>
      <c r="S156" s="262"/>
      <c r="T156" s="262"/>
      <c r="U156" s="262"/>
      <c r="V156" s="262"/>
      <c r="W156" s="262"/>
      <c r="X156" s="262"/>
      <c r="Y156" s="262"/>
      <c r="Z156" s="262"/>
      <c r="AA156" s="262"/>
      <c r="AB156" s="262"/>
      <c r="AC156" s="262"/>
      <c r="AD156" s="262"/>
      <c r="AE156" s="262"/>
      <c r="AF156" s="262"/>
      <c r="AG156" s="262"/>
      <c r="AH156" s="262"/>
      <c r="AI156" s="262"/>
      <c r="AJ156" s="262"/>
      <c r="AK156" s="262"/>
      <c r="AL156" s="262"/>
      <c r="AM156" s="262"/>
      <c r="AN156" s="263"/>
      <c r="AO156" s="181">
        <f>AO155+1</f>
        <v>141</v>
      </c>
      <c r="AP156" s="291"/>
      <c r="AQ156" s="292"/>
      <c r="AR156" s="292"/>
      <c r="AS156" s="292"/>
      <c r="AT156" s="292"/>
      <c r="AU156" s="293"/>
      <c r="AV156" s="288" t="s">
        <v>1026</v>
      </c>
      <c r="AW156" s="289"/>
      <c r="AX156" s="289"/>
      <c r="AY156" s="289"/>
      <c r="AZ156" s="289"/>
      <c r="BA156" s="289"/>
      <c r="BB156" s="289"/>
      <c r="BC156" s="290"/>
      <c r="BD156" s="97"/>
      <c r="BE156" s="200"/>
      <c r="BF156" s="261" t="s">
        <v>1027</v>
      </c>
      <c r="BG156" s="262"/>
      <c r="BH156" s="262"/>
      <c r="BI156" s="262"/>
      <c r="BJ156" s="262"/>
      <c r="BK156" s="262"/>
      <c r="BL156" s="262"/>
      <c r="BM156" s="262"/>
      <c r="BN156" s="263"/>
      <c r="BO156" s="261" t="s">
        <v>1028</v>
      </c>
      <c r="BP156" s="262"/>
      <c r="BQ156" s="262"/>
      <c r="BR156" s="262"/>
      <c r="BS156" s="262"/>
      <c r="BT156" s="263"/>
      <c r="BU156" s="241"/>
      <c r="BW156" s="280">
        <v>2</v>
      </c>
      <c r="BX156" s="281"/>
    </row>
    <row r="157" spans="1:76" ht="12" customHeight="1">
      <c r="A157" s="178"/>
      <c r="B157" s="174">
        <f>B156+1</f>
        <v>142</v>
      </c>
      <c r="C157" s="291"/>
      <c r="D157" s="292"/>
      <c r="E157" s="292"/>
      <c r="F157" s="292"/>
      <c r="G157" s="292"/>
      <c r="H157" s="293"/>
      <c r="I157" s="288" t="s">
        <v>713</v>
      </c>
      <c r="J157" s="289"/>
      <c r="K157" s="289"/>
      <c r="L157" s="289"/>
      <c r="M157" s="289"/>
      <c r="N157" s="289"/>
      <c r="O157" s="289"/>
      <c r="P157" s="290"/>
      <c r="Q157" s="261" t="s">
        <v>752</v>
      </c>
      <c r="R157" s="262"/>
      <c r="S157" s="262"/>
      <c r="T157" s="262"/>
      <c r="U157" s="262"/>
      <c r="V157" s="262"/>
      <c r="W157" s="262"/>
      <c r="X157" s="262"/>
      <c r="Y157" s="262"/>
      <c r="Z157" s="262"/>
      <c r="AA157" s="262"/>
      <c r="AB157" s="262"/>
      <c r="AC157" s="262"/>
      <c r="AD157" s="262"/>
      <c r="AE157" s="262"/>
      <c r="AF157" s="262"/>
      <c r="AG157" s="262"/>
      <c r="AH157" s="262"/>
      <c r="AI157" s="262"/>
      <c r="AJ157" s="262"/>
      <c r="AK157" s="262"/>
      <c r="AL157" s="262"/>
      <c r="AM157" s="262"/>
      <c r="AN157" s="263"/>
      <c r="AO157" s="175">
        <f>AO156+1</f>
        <v>142</v>
      </c>
      <c r="AP157" s="291"/>
      <c r="AQ157" s="292"/>
      <c r="AR157" s="292"/>
      <c r="AS157" s="292"/>
      <c r="AT157" s="292"/>
      <c r="AU157" s="293"/>
      <c r="AV157" s="288" t="s">
        <v>1029</v>
      </c>
      <c r="AW157" s="289"/>
      <c r="AX157" s="289"/>
      <c r="AY157" s="289"/>
      <c r="AZ157" s="289"/>
      <c r="BA157" s="289"/>
      <c r="BB157" s="289"/>
      <c r="BC157" s="290"/>
      <c r="BD157" s="179"/>
      <c r="BE157" s="180"/>
      <c r="BF157" s="261" t="s">
        <v>1030</v>
      </c>
      <c r="BG157" s="262"/>
      <c r="BH157" s="262"/>
      <c r="BI157" s="262"/>
      <c r="BJ157" s="262"/>
      <c r="BK157" s="262"/>
      <c r="BL157" s="262"/>
      <c r="BM157" s="262"/>
      <c r="BN157" s="263"/>
      <c r="BO157" s="261" t="s">
        <v>1031</v>
      </c>
      <c r="BP157" s="262"/>
      <c r="BQ157" s="262"/>
      <c r="BR157" s="262"/>
      <c r="BS157" s="262"/>
      <c r="BT157" s="263"/>
      <c r="BU157" s="241"/>
      <c r="BW157" s="280">
        <v>1</v>
      </c>
      <c r="BX157" s="281"/>
    </row>
    <row r="158" spans="1:76" ht="12" customHeight="1">
      <c r="A158" s="178"/>
      <c r="B158" s="174">
        <f t="shared" ref="B158:B167" si="7">B157+1</f>
        <v>143</v>
      </c>
      <c r="C158" s="291"/>
      <c r="D158" s="292"/>
      <c r="E158" s="292"/>
      <c r="F158" s="292"/>
      <c r="G158" s="292"/>
      <c r="H158" s="293"/>
      <c r="I158" s="288" t="s">
        <v>713</v>
      </c>
      <c r="J158" s="289"/>
      <c r="K158" s="289"/>
      <c r="L158" s="289"/>
      <c r="M158" s="289"/>
      <c r="N158" s="289"/>
      <c r="O158" s="289"/>
      <c r="P158" s="290"/>
      <c r="Q158" s="261" t="s">
        <v>752</v>
      </c>
      <c r="R158" s="262"/>
      <c r="S158" s="262"/>
      <c r="T158" s="262"/>
      <c r="U158" s="262"/>
      <c r="V158" s="262"/>
      <c r="W158" s="262"/>
      <c r="X158" s="262"/>
      <c r="Y158" s="262"/>
      <c r="Z158" s="262"/>
      <c r="AA158" s="262"/>
      <c r="AB158" s="262"/>
      <c r="AC158" s="262"/>
      <c r="AD158" s="262"/>
      <c r="AE158" s="262"/>
      <c r="AF158" s="262"/>
      <c r="AG158" s="262"/>
      <c r="AH158" s="262"/>
      <c r="AI158" s="262"/>
      <c r="AJ158" s="262"/>
      <c r="AK158" s="262"/>
      <c r="AL158" s="262"/>
      <c r="AM158" s="262"/>
      <c r="AN158" s="263"/>
      <c r="AO158" s="175">
        <f t="shared" ref="AO158:AO167" si="8">AO157+1</f>
        <v>143</v>
      </c>
      <c r="AP158" s="291"/>
      <c r="AQ158" s="292"/>
      <c r="AR158" s="292"/>
      <c r="AS158" s="292"/>
      <c r="AT158" s="292"/>
      <c r="AU158" s="293"/>
      <c r="AV158" s="288" t="s">
        <v>1032</v>
      </c>
      <c r="AW158" s="289"/>
      <c r="AX158" s="289"/>
      <c r="AY158" s="289"/>
      <c r="AZ158" s="289"/>
      <c r="BA158" s="289"/>
      <c r="BB158" s="289"/>
      <c r="BC158" s="290"/>
      <c r="BD158" s="179"/>
      <c r="BE158" s="180"/>
      <c r="BF158" s="261" t="s">
        <v>1033</v>
      </c>
      <c r="BG158" s="262"/>
      <c r="BH158" s="262"/>
      <c r="BI158" s="262"/>
      <c r="BJ158" s="262"/>
      <c r="BK158" s="262"/>
      <c r="BL158" s="262"/>
      <c r="BM158" s="262"/>
      <c r="BN158" s="263"/>
      <c r="BO158" s="261" t="s">
        <v>1034</v>
      </c>
      <c r="BP158" s="262"/>
      <c r="BQ158" s="262"/>
      <c r="BR158" s="262"/>
      <c r="BS158" s="262"/>
      <c r="BT158" s="263"/>
      <c r="BU158" s="241"/>
      <c r="BW158" s="280">
        <v>8</v>
      </c>
      <c r="BX158" s="281"/>
    </row>
    <row r="159" spans="1:76" ht="12" customHeight="1">
      <c r="A159" s="178"/>
      <c r="B159" s="174">
        <f t="shared" si="7"/>
        <v>144</v>
      </c>
      <c r="C159" s="291"/>
      <c r="D159" s="292"/>
      <c r="E159" s="292"/>
      <c r="F159" s="292"/>
      <c r="G159" s="292"/>
      <c r="H159" s="293"/>
      <c r="I159" s="288" t="s">
        <v>713</v>
      </c>
      <c r="J159" s="289"/>
      <c r="K159" s="289"/>
      <c r="L159" s="289"/>
      <c r="M159" s="289"/>
      <c r="N159" s="289"/>
      <c r="O159" s="289"/>
      <c r="P159" s="290"/>
      <c r="Q159" s="261" t="s">
        <v>752</v>
      </c>
      <c r="R159" s="262"/>
      <c r="S159" s="262"/>
      <c r="T159" s="262"/>
      <c r="U159" s="262"/>
      <c r="V159" s="262"/>
      <c r="W159" s="262"/>
      <c r="X159" s="262"/>
      <c r="Y159" s="262"/>
      <c r="Z159" s="262"/>
      <c r="AA159" s="262"/>
      <c r="AB159" s="262"/>
      <c r="AC159" s="262"/>
      <c r="AD159" s="262"/>
      <c r="AE159" s="262"/>
      <c r="AF159" s="262"/>
      <c r="AG159" s="262"/>
      <c r="AH159" s="262"/>
      <c r="AI159" s="262"/>
      <c r="AJ159" s="262"/>
      <c r="AK159" s="262"/>
      <c r="AL159" s="262"/>
      <c r="AM159" s="262"/>
      <c r="AN159" s="263"/>
      <c r="AO159" s="175">
        <f t="shared" si="8"/>
        <v>144</v>
      </c>
      <c r="AP159" s="291"/>
      <c r="AQ159" s="292"/>
      <c r="AR159" s="292"/>
      <c r="AS159" s="292"/>
      <c r="AT159" s="292"/>
      <c r="AU159" s="293"/>
      <c r="AV159" s="288" t="s">
        <v>1035</v>
      </c>
      <c r="AW159" s="289"/>
      <c r="AX159" s="289"/>
      <c r="AY159" s="289"/>
      <c r="AZ159" s="289"/>
      <c r="BA159" s="289"/>
      <c r="BB159" s="289"/>
      <c r="BC159" s="290"/>
      <c r="BD159" s="179"/>
      <c r="BE159" s="180"/>
      <c r="BF159" s="261" t="s">
        <v>1035</v>
      </c>
      <c r="BG159" s="262"/>
      <c r="BH159" s="262"/>
      <c r="BI159" s="262"/>
      <c r="BJ159" s="262"/>
      <c r="BK159" s="262"/>
      <c r="BL159" s="262"/>
      <c r="BM159" s="262"/>
      <c r="BN159" s="263"/>
      <c r="BO159" s="261" t="s">
        <v>1036</v>
      </c>
      <c r="BP159" s="262"/>
      <c r="BQ159" s="262"/>
      <c r="BR159" s="262"/>
      <c r="BS159" s="262"/>
      <c r="BT159" s="263"/>
      <c r="BU159" s="241"/>
      <c r="BW159" s="280">
        <v>30</v>
      </c>
      <c r="BX159" s="281"/>
    </row>
    <row r="160" spans="1:76" ht="12" customHeight="1">
      <c r="A160" s="178"/>
      <c r="B160" s="174">
        <f t="shared" si="7"/>
        <v>145</v>
      </c>
      <c r="C160" s="291"/>
      <c r="D160" s="292"/>
      <c r="E160" s="292"/>
      <c r="F160" s="292"/>
      <c r="G160" s="292"/>
      <c r="H160" s="293"/>
      <c r="I160" s="288" t="s">
        <v>713</v>
      </c>
      <c r="J160" s="289"/>
      <c r="K160" s="289"/>
      <c r="L160" s="289"/>
      <c r="M160" s="289"/>
      <c r="N160" s="289"/>
      <c r="O160" s="289"/>
      <c r="P160" s="290"/>
      <c r="Q160" s="261" t="s">
        <v>752</v>
      </c>
      <c r="R160" s="262"/>
      <c r="S160" s="262"/>
      <c r="T160" s="262"/>
      <c r="U160" s="262"/>
      <c r="V160" s="262"/>
      <c r="W160" s="262"/>
      <c r="X160" s="262"/>
      <c r="Y160" s="262"/>
      <c r="Z160" s="262"/>
      <c r="AA160" s="262"/>
      <c r="AB160" s="262"/>
      <c r="AC160" s="262"/>
      <c r="AD160" s="262"/>
      <c r="AE160" s="262"/>
      <c r="AF160" s="262"/>
      <c r="AG160" s="262"/>
      <c r="AH160" s="262"/>
      <c r="AI160" s="262"/>
      <c r="AJ160" s="262"/>
      <c r="AK160" s="262"/>
      <c r="AL160" s="262"/>
      <c r="AM160" s="262"/>
      <c r="AN160" s="263"/>
      <c r="AO160" s="175">
        <f t="shared" si="8"/>
        <v>145</v>
      </c>
      <c r="AP160" s="291"/>
      <c r="AQ160" s="292"/>
      <c r="AR160" s="292"/>
      <c r="AS160" s="292"/>
      <c r="AT160" s="292"/>
      <c r="AU160" s="293"/>
      <c r="AV160" s="288" t="s">
        <v>1037</v>
      </c>
      <c r="AW160" s="289"/>
      <c r="AX160" s="289"/>
      <c r="AY160" s="289"/>
      <c r="AZ160" s="289"/>
      <c r="BA160" s="289"/>
      <c r="BB160" s="289"/>
      <c r="BC160" s="290"/>
      <c r="BD160" s="196"/>
      <c r="BE160" s="180"/>
      <c r="BF160" s="261" t="s">
        <v>1038</v>
      </c>
      <c r="BG160" s="262"/>
      <c r="BH160" s="262"/>
      <c r="BI160" s="262"/>
      <c r="BJ160" s="262"/>
      <c r="BK160" s="262"/>
      <c r="BL160" s="262"/>
      <c r="BM160" s="262"/>
      <c r="BN160" s="263"/>
      <c r="BO160" s="261" t="s">
        <v>1039</v>
      </c>
      <c r="BP160" s="262"/>
      <c r="BQ160" s="262"/>
      <c r="BR160" s="262"/>
      <c r="BS160" s="262"/>
      <c r="BT160" s="263"/>
      <c r="BU160" s="241"/>
      <c r="BW160" s="280">
        <v>7</v>
      </c>
      <c r="BX160" s="281"/>
    </row>
    <row r="161" spans="1:76" ht="12" customHeight="1">
      <c r="A161" s="178"/>
      <c r="B161" s="174">
        <f t="shared" si="7"/>
        <v>146</v>
      </c>
      <c r="C161" s="291"/>
      <c r="D161" s="292"/>
      <c r="E161" s="292"/>
      <c r="F161" s="292"/>
      <c r="G161" s="292"/>
      <c r="H161" s="293"/>
      <c r="I161" s="288" t="s">
        <v>713</v>
      </c>
      <c r="J161" s="289"/>
      <c r="K161" s="289"/>
      <c r="L161" s="289"/>
      <c r="M161" s="289"/>
      <c r="N161" s="289"/>
      <c r="O161" s="289"/>
      <c r="P161" s="290"/>
      <c r="Q161" s="261" t="s">
        <v>752</v>
      </c>
      <c r="R161" s="262"/>
      <c r="S161" s="262"/>
      <c r="T161" s="262"/>
      <c r="U161" s="262"/>
      <c r="V161" s="262"/>
      <c r="W161" s="262"/>
      <c r="X161" s="262"/>
      <c r="Y161" s="262"/>
      <c r="Z161" s="262"/>
      <c r="AA161" s="262"/>
      <c r="AB161" s="262"/>
      <c r="AC161" s="262"/>
      <c r="AD161" s="262"/>
      <c r="AE161" s="262"/>
      <c r="AF161" s="262"/>
      <c r="AG161" s="262"/>
      <c r="AH161" s="262"/>
      <c r="AI161" s="262"/>
      <c r="AJ161" s="262"/>
      <c r="AK161" s="262"/>
      <c r="AL161" s="262"/>
      <c r="AM161" s="262"/>
      <c r="AN161" s="263"/>
      <c r="AO161" s="175">
        <f t="shared" si="8"/>
        <v>146</v>
      </c>
      <c r="AP161" s="291"/>
      <c r="AQ161" s="292"/>
      <c r="AR161" s="292"/>
      <c r="AS161" s="292"/>
      <c r="AT161" s="292"/>
      <c r="AU161" s="293"/>
      <c r="AV161" s="288" t="s">
        <v>1040</v>
      </c>
      <c r="AW161" s="289"/>
      <c r="AX161" s="289"/>
      <c r="AY161" s="289"/>
      <c r="AZ161" s="289"/>
      <c r="BA161" s="289"/>
      <c r="BB161" s="289"/>
      <c r="BC161" s="290"/>
      <c r="BD161" s="196"/>
      <c r="BE161" s="180"/>
      <c r="BF161" s="261" t="s">
        <v>1041</v>
      </c>
      <c r="BG161" s="262"/>
      <c r="BH161" s="262"/>
      <c r="BI161" s="262"/>
      <c r="BJ161" s="262"/>
      <c r="BK161" s="262"/>
      <c r="BL161" s="262"/>
      <c r="BM161" s="262"/>
      <c r="BN161" s="263"/>
      <c r="BO161" s="261" t="s">
        <v>1042</v>
      </c>
      <c r="BP161" s="262"/>
      <c r="BQ161" s="262"/>
      <c r="BR161" s="262"/>
      <c r="BS161" s="262"/>
      <c r="BT161" s="263"/>
      <c r="BU161" s="241"/>
      <c r="BW161" s="280">
        <v>7</v>
      </c>
      <c r="BX161" s="281"/>
    </row>
    <row r="162" spans="1:76" ht="12" customHeight="1">
      <c r="A162" s="178"/>
      <c r="B162" s="174">
        <f t="shared" si="7"/>
        <v>147</v>
      </c>
      <c r="C162" s="291"/>
      <c r="D162" s="292"/>
      <c r="E162" s="292"/>
      <c r="F162" s="292"/>
      <c r="G162" s="292"/>
      <c r="H162" s="293"/>
      <c r="I162" s="288" t="s">
        <v>713</v>
      </c>
      <c r="J162" s="289"/>
      <c r="K162" s="289"/>
      <c r="L162" s="289"/>
      <c r="M162" s="289"/>
      <c r="N162" s="289"/>
      <c r="O162" s="289"/>
      <c r="P162" s="290"/>
      <c r="Q162" s="261" t="s">
        <v>752</v>
      </c>
      <c r="R162" s="262"/>
      <c r="S162" s="262"/>
      <c r="T162" s="262"/>
      <c r="U162" s="262"/>
      <c r="V162" s="262"/>
      <c r="W162" s="262"/>
      <c r="X162" s="262"/>
      <c r="Y162" s="262"/>
      <c r="Z162" s="262"/>
      <c r="AA162" s="262"/>
      <c r="AB162" s="262"/>
      <c r="AC162" s="262"/>
      <c r="AD162" s="262"/>
      <c r="AE162" s="262"/>
      <c r="AF162" s="262"/>
      <c r="AG162" s="262"/>
      <c r="AH162" s="262"/>
      <c r="AI162" s="262"/>
      <c r="AJ162" s="262"/>
      <c r="AK162" s="262"/>
      <c r="AL162" s="262"/>
      <c r="AM162" s="262"/>
      <c r="AN162" s="263"/>
      <c r="AO162" s="175">
        <f t="shared" si="8"/>
        <v>147</v>
      </c>
      <c r="AP162" s="291"/>
      <c r="AQ162" s="292"/>
      <c r="AR162" s="292"/>
      <c r="AS162" s="292"/>
      <c r="AT162" s="292"/>
      <c r="AU162" s="293"/>
      <c r="AV162" s="288" t="s">
        <v>1043</v>
      </c>
      <c r="AW162" s="289"/>
      <c r="AX162" s="289"/>
      <c r="AY162" s="289"/>
      <c r="AZ162" s="289"/>
      <c r="BA162" s="289"/>
      <c r="BB162" s="289"/>
      <c r="BC162" s="290"/>
      <c r="BD162" s="196"/>
      <c r="BE162" s="180"/>
      <c r="BF162" s="261" t="s">
        <v>1044</v>
      </c>
      <c r="BG162" s="262"/>
      <c r="BH162" s="262"/>
      <c r="BI162" s="262"/>
      <c r="BJ162" s="262"/>
      <c r="BK162" s="262"/>
      <c r="BL162" s="262"/>
      <c r="BM162" s="262"/>
      <c r="BN162" s="263"/>
      <c r="BO162" s="261" t="s">
        <v>1045</v>
      </c>
      <c r="BP162" s="262"/>
      <c r="BQ162" s="262"/>
      <c r="BR162" s="262"/>
      <c r="BS162" s="262"/>
      <c r="BT162" s="263"/>
      <c r="BU162" s="241"/>
      <c r="BW162" s="280">
        <v>7</v>
      </c>
      <c r="BX162" s="281"/>
    </row>
    <row r="163" spans="1:76" ht="12" customHeight="1">
      <c r="A163" s="178"/>
      <c r="B163" s="174">
        <f>B162+1</f>
        <v>148</v>
      </c>
      <c r="C163" s="291"/>
      <c r="D163" s="292"/>
      <c r="E163" s="292"/>
      <c r="F163" s="292"/>
      <c r="G163" s="292"/>
      <c r="H163" s="293"/>
      <c r="I163" s="288" t="s">
        <v>713</v>
      </c>
      <c r="J163" s="289"/>
      <c r="K163" s="289"/>
      <c r="L163" s="289"/>
      <c r="M163" s="289"/>
      <c r="N163" s="289"/>
      <c r="O163" s="289"/>
      <c r="P163" s="290"/>
      <c r="Q163" s="261" t="s">
        <v>752</v>
      </c>
      <c r="R163" s="262"/>
      <c r="S163" s="262"/>
      <c r="T163" s="262"/>
      <c r="U163" s="262"/>
      <c r="V163" s="262"/>
      <c r="W163" s="262"/>
      <c r="X163" s="262"/>
      <c r="Y163" s="262"/>
      <c r="Z163" s="262"/>
      <c r="AA163" s="262"/>
      <c r="AB163" s="262"/>
      <c r="AC163" s="262"/>
      <c r="AD163" s="262"/>
      <c r="AE163" s="262"/>
      <c r="AF163" s="262"/>
      <c r="AG163" s="262"/>
      <c r="AH163" s="262"/>
      <c r="AI163" s="262"/>
      <c r="AJ163" s="262"/>
      <c r="AK163" s="262"/>
      <c r="AL163" s="262"/>
      <c r="AM163" s="262"/>
      <c r="AN163" s="263"/>
      <c r="AO163" s="175">
        <f>AO162+1</f>
        <v>148</v>
      </c>
      <c r="AP163" s="291"/>
      <c r="AQ163" s="292"/>
      <c r="AR163" s="292"/>
      <c r="AS163" s="292"/>
      <c r="AT163" s="292"/>
      <c r="AU163" s="293"/>
      <c r="AV163" s="288" t="s">
        <v>1046</v>
      </c>
      <c r="AW163" s="289"/>
      <c r="AX163" s="289"/>
      <c r="AY163" s="289"/>
      <c r="AZ163" s="289"/>
      <c r="BA163" s="289"/>
      <c r="BB163" s="289"/>
      <c r="BC163" s="290"/>
      <c r="BD163" s="196"/>
      <c r="BE163" s="180"/>
      <c r="BF163" s="261" t="s">
        <v>1047</v>
      </c>
      <c r="BG163" s="262"/>
      <c r="BH163" s="262"/>
      <c r="BI163" s="262"/>
      <c r="BJ163" s="262"/>
      <c r="BK163" s="262"/>
      <c r="BL163" s="262"/>
      <c r="BM163" s="262"/>
      <c r="BN163" s="263"/>
      <c r="BO163" s="261" t="s">
        <v>1048</v>
      </c>
      <c r="BP163" s="262"/>
      <c r="BQ163" s="262"/>
      <c r="BR163" s="262"/>
      <c r="BS163" s="262"/>
      <c r="BT163" s="263"/>
      <c r="BU163" s="241"/>
      <c r="BW163" s="280">
        <v>8</v>
      </c>
      <c r="BX163" s="281"/>
    </row>
    <row r="164" spans="1:76" ht="12" customHeight="1">
      <c r="A164" s="178"/>
      <c r="B164" s="174">
        <f t="shared" si="7"/>
        <v>149</v>
      </c>
      <c r="C164" s="291"/>
      <c r="D164" s="292"/>
      <c r="E164" s="292"/>
      <c r="F164" s="292"/>
      <c r="G164" s="292"/>
      <c r="H164" s="293"/>
      <c r="I164" s="288" t="s">
        <v>713</v>
      </c>
      <c r="J164" s="289"/>
      <c r="K164" s="289"/>
      <c r="L164" s="289"/>
      <c r="M164" s="289"/>
      <c r="N164" s="289"/>
      <c r="O164" s="289"/>
      <c r="P164" s="290"/>
      <c r="Q164" s="261" t="s">
        <v>752</v>
      </c>
      <c r="R164" s="262"/>
      <c r="S164" s="262"/>
      <c r="T164" s="262"/>
      <c r="U164" s="262"/>
      <c r="V164" s="262"/>
      <c r="W164" s="262"/>
      <c r="X164" s="262"/>
      <c r="Y164" s="262"/>
      <c r="Z164" s="262"/>
      <c r="AA164" s="262"/>
      <c r="AB164" s="262"/>
      <c r="AC164" s="262"/>
      <c r="AD164" s="262"/>
      <c r="AE164" s="262"/>
      <c r="AF164" s="262"/>
      <c r="AG164" s="262"/>
      <c r="AH164" s="262"/>
      <c r="AI164" s="262"/>
      <c r="AJ164" s="262"/>
      <c r="AK164" s="262"/>
      <c r="AL164" s="262"/>
      <c r="AM164" s="262"/>
      <c r="AN164" s="263"/>
      <c r="AO164" s="175">
        <f t="shared" si="8"/>
        <v>149</v>
      </c>
      <c r="AP164" s="291"/>
      <c r="AQ164" s="292"/>
      <c r="AR164" s="292"/>
      <c r="AS164" s="292"/>
      <c r="AT164" s="292"/>
      <c r="AU164" s="293"/>
      <c r="AV164" s="288" t="s">
        <v>1049</v>
      </c>
      <c r="AW164" s="289"/>
      <c r="AX164" s="289"/>
      <c r="AY164" s="289"/>
      <c r="AZ164" s="289"/>
      <c r="BA164" s="289"/>
      <c r="BB164" s="289"/>
      <c r="BC164" s="290"/>
      <c r="BD164" s="179"/>
      <c r="BE164" s="180"/>
      <c r="BF164" s="261" t="s">
        <v>1050</v>
      </c>
      <c r="BG164" s="262"/>
      <c r="BH164" s="262"/>
      <c r="BI164" s="262"/>
      <c r="BJ164" s="262"/>
      <c r="BK164" s="262"/>
      <c r="BL164" s="262"/>
      <c r="BM164" s="262"/>
      <c r="BN164" s="263"/>
      <c r="BO164" s="261" t="s">
        <v>1051</v>
      </c>
      <c r="BP164" s="262"/>
      <c r="BQ164" s="262"/>
      <c r="BR164" s="262"/>
      <c r="BS164" s="262"/>
      <c r="BT164" s="263"/>
      <c r="BU164" s="241"/>
      <c r="BW164" s="280">
        <v>1</v>
      </c>
      <c r="BX164" s="281"/>
    </row>
    <row r="165" spans="1:76" ht="12" customHeight="1">
      <c r="A165" s="178"/>
      <c r="B165" s="174">
        <f t="shared" si="7"/>
        <v>150</v>
      </c>
      <c r="C165" s="291"/>
      <c r="D165" s="292"/>
      <c r="E165" s="292"/>
      <c r="F165" s="292"/>
      <c r="G165" s="292"/>
      <c r="H165" s="293"/>
      <c r="I165" s="288" t="s">
        <v>713</v>
      </c>
      <c r="J165" s="289"/>
      <c r="K165" s="289"/>
      <c r="L165" s="289"/>
      <c r="M165" s="289"/>
      <c r="N165" s="289"/>
      <c r="O165" s="289"/>
      <c r="P165" s="290"/>
      <c r="Q165" s="261" t="s">
        <v>752</v>
      </c>
      <c r="R165" s="262"/>
      <c r="S165" s="262"/>
      <c r="T165" s="262"/>
      <c r="U165" s="262"/>
      <c r="V165" s="262"/>
      <c r="W165" s="262"/>
      <c r="X165" s="262"/>
      <c r="Y165" s="262"/>
      <c r="Z165" s="262"/>
      <c r="AA165" s="262"/>
      <c r="AB165" s="262"/>
      <c r="AC165" s="262"/>
      <c r="AD165" s="262"/>
      <c r="AE165" s="262"/>
      <c r="AF165" s="262"/>
      <c r="AG165" s="262"/>
      <c r="AH165" s="262"/>
      <c r="AI165" s="262"/>
      <c r="AJ165" s="262"/>
      <c r="AK165" s="262"/>
      <c r="AL165" s="262"/>
      <c r="AM165" s="262"/>
      <c r="AN165" s="263"/>
      <c r="AO165" s="175">
        <f t="shared" si="8"/>
        <v>150</v>
      </c>
      <c r="AP165" s="291"/>
      <c r="AQ165" s="292"/>
      <c r="AR165" s="292"/>
      <c r="AS165" s="292"/>
      <c r="AT165" s="292"/>
      <c r="AU165" s="293"/>
      <c r="AV165" s="288" t="s">
        <v>1052</v>
      </c>
      <c r="AW165" s="289"/>
      <c r="AX165" s="289"/>
      <c r="AY165" s="289"/>
      <c r="AZ165" s="289"/>
      <c r="BA165" s="289"/>
      <c r="BB165" s="289"/>
      <c r="BC165" s="290"/>
      <c r="BD165" s="178"/>
      <c r="BE165" s="180"/>
      <c r="BF165" s="261" t="s">
        <v>1053</v>
      </c>
      <c r="BG165" s="262"/>
      <c r="BH165" s="262"/>
      <c r="BI165" s="262"/>
      <c r="BJ165" s="262"/>
      <c r="BK165" s="262"/>
      <c r="BL165" s="262"/>
      <c r="BM165" s="262"/>
      <c r="BN165" s="263"/>
      <c r="BO165" s="261" t="s">
        <v>1054</v>
      </c>
      <c r="BP165" s="262"/>
      <c r="BQ165" s="262"/>
      <c r="BR165" s="262"/>
      <c r="BS165" s="262"/>
      <c r="BT165" s="263"/>
      <c r="BU165" s="241"/>
      <c r="BW165" s="280">
        <v>1</v>
      </c>
      <c r="BX165" s="281"/>
    </row>
    <row r="166" spans="1:76" ht="12" customHeight="1">
      <c r="A166" s="197"/>
      <c r="B166" s="174">
        <f t="shared" si="7"/>
        <v>151</v>
      </c>
      <c r="C166" s="291"/>
      <c r="D166" s="292"/>
      <c r="E166" s="292"/>
      <c r="F166" s="292"/>
      <c r="G166" s="292"/>
      <c r="H166" s="293"/>
      <c r="I166" s="288" t="s">
        <v>713</v>
      </c>
      <c r="J166" s="289"/>
      <c r="K166" s="289"/>
      <c r="L166" s="289"/>
      <c r="M166" s="289"/>
      <c r="N166" s="289"/>
      <c r="O166" s="289"/>
      <c r="P166" s="290"/>
      <c r="Q166" s="261" t="s">
        <v>752</v>
      </c>
      <c r="R166" s="262"/>
      <c r="S166" s="262"/>
      <c r="T166" s="262"/>
      <c r="U166" s="262"/>
      <c r="V166" s="262"/>
      <c r="W166" s="262"/>
      <c r="X166" s="262"/>
      <c r="Y166" s="262"/>
      <c r="Z166" s="262"/>
      <c r="AA166" s="262"/>
      <c r="AB166" s="262"/>
      <c r="AC166" s="262"/>
      <c r="AD166" s="262"/>
      <c r="AE166" s="262"/>
      <c r="AF166" s="262"/>
      <c r="AG166" s="262"/>
      <c r="AH166" s="262"/>
      <c r="AI166" s="262"/>
      <c r="AJ166" s="262"/>
      <c r="AK166" s="262"/>
      <c r="AL166" s="262"/>
      <c r="AM166" s="262"/>
      <c r="AN166" s="263"/>
      <c r="AO166" s="175">
        <f t="shared" si="8"/>
        <v>151</v>
      </c>
      <c r="AP166" s="291"/>
      <c r="AQ166" s="292"/>
      <c r="AR166" s="292"/>
      <c r="AS166" s="292"/>
      <c r="AT166" s="292"/>
      <c r="AU166" s="293"/>
      <c r="AV166" s="288" t="s">
        <v>1055</v>
      </c>
      <c r="AW166" s="289"/>
      <c r="AX166" s="289"/>
      <c r="AY166" s="289"/>
      <c r="AZ166" s="289"/>
      <c r="BA166" s="289"/>
      <c r="BB166" s="289"/>
      <c r="BC166" s="290"/>
      <c r="BD166" s="196"/>
      <c r="BE166" s="180"/>
      <c r="BF166" s="261" t="s">
        <v>1055</v>
      </c>
      <c r="BG166" s="262"/>
      <c r="BH166" s="262"/>
      <c r="BI166" s="262"/>
      <c r="BJ166" s="262"/>
      <c r="BK166" s="262"/>
      <c r="BL166" s="262"/>
      <c r="BM166" s="262"/>
      <c r="BN166" s="263"/>
      <c r="BO166" s="261" t="s">
        <v>1056</v>
      </c>
      <c r="BP166" s="262"/>
      <c r="BQ166" s="262"/>
      <c r="BR166" s="262"/>
      <c r="BS166" s="262"/>
      <c r="BT166" s="263"/>
      <c r="BU166" s="241"/>
      <c r="BW166" s="280">
        <v>1</v>
      </c>
      <c r="BX166" s="281"/>
    </row>
    <row r="167" spans="1:76" ht="12" customHeight="1">
      <c r="A167" s="197"/>
      <c r="B167" s="174">
        <f t="shared" si="7"/>
        <v>152</v>
      </c>
      <c r="C167" s="291"/>
      <c r="D167" s="292"/>
      <c r="E167" s="292"/>
      <c r="F167" s="292"/>
      <c r="G167" s="292"/>
      <c r="H167" s="293"/>
      <c r="I167" s="288" t="s">
        <v>713</v>
      </c>
      <c r="J167" s="289"/>
      <c r="K167" s="289"/>
      <c r="L167" s="289"/>
      <c r="M167" s="289"/>
      <c r="N167" s="289"/>
      <c r="O167" s="289"/>
      <c r="P167" s="290"/>
      <c r="Q167" s="261" t="s">
        <v>752</v>
      </c>
      <c r="R167" s="262"/>
      <c r="S167" s="262"/>
      <c r="T167" s="262"/>
      <c r="U167" s="262"/>
      <c r="V167" s="262"/>
      <c r="W167" s="262"/>
      <c r="X167" s="262"/>
      <c r="Y167" s="262"/>
      <c r="Z167" s="262"/>
      <c r="AA167" s="262"/>
      <c r="AB167" s="262"/>
      <c r="AC167" s="262"/>
      <c r="AD167" s="262"/>
      <c r="AE167" s="262"/>
      <c r="AF167" s="262"/>
      <c r="AG167" s="262"/>
      <c r="AH167" s="262"/>
      <c r="AI167" s="262"/>
      <c r="AJ167" s="262"/>
      <c r="AK167" s="262"/>
      <c r="AL167" s="262"/>
      <c r="AM167" s="262"/>
      <c r="AN167" s="263"/>
      <c r="AO167" s="175">
        <f t="shared" si="8"/>
        <v>152</v>
      </c>
      <c r="AP167" s="291"/>
      <c r="AQ167" s="292"/>
      <c r="AR167" s="292"/>
      <c r="AS167" s="292"/>
      <c r="AT167" s="292"/>
      <c r="AU167" s="293"/>
      <c r="AV167" s="288" t="s">
        <v>1057</v>
      </c>
      <c r="AW167" s="289"/>
      <c r="AX167" s="289"/>
      <c r="AY167" s="289"/>
      <c r="AZ167" s="289"/>
      <c r="BA167" s="289"/>
      <c r="BB167" s="289"/>
      <c r="BC167" s="290"/>
      <c r="BD167" s="196"/>
      <c r="BE167" s="180"/>
      <c r="BF167" s="261" t="s">
        <v>1058</v>
      </c>
      <c r="BG167" s="262"/>
      <c r="BH167" s="262"/>
      <c r="BI167" s="262"/>
      <c r="BJ167" s="262"/>
      <c r="BK167" s="262"/>
      <c r="BL167" s="262"/>
      <c r="BM167" s="262"/>
      <c r="BN167" s="263"/>
      <c r="BO167" s="261" t="s">
        <v>1059</v>
      </c>
      <c r="BP167" s="262"/>
      <c r="BQ167" s="262"/>
      <c r="BR167" s="262"/>
      <c r="BS167" s="262"/>
      <c r="BT167" s="263"/>
      <c r="BU167" s="241"/>
      <c r="BW167" s="280">
        <v>8</v>
      </c>
      <c r="BX167" s="281"/>
    </row>
    <row r="168" spans="1:76" ht="12" customHeight="1">
      <c r="A168" s="197"/>
      <c r="B168" s="174">
        <f>B167+1</f>
        <v>153</v>
      </c>
      <c r="C168" s="291"/>
      <c r="D168" s="292"/>
      <c r="E168" s="292"/>
      <c r="F168" s="292"/>
      <c r="G168" s="292"/>
      <c r="H168" s="293"/>
      <c r="I168" s="288" t="s">
        <v>713</v>
      </c>
      <c r="J168" s="289"/>
      <c r="K168" s="289"/>
      <c r="L168" s="289"/>
      <c r="M168" s="289"/>
      <c r="N168" s="289"/>
      <c r="O168" s="289"/>
      <c r="P168" s="290"/>
      <c r="Q168" s="261" t="s">
        <v>752</v>
      </c>
      <c r="R168" s="262"/>
      <c r="S168" s="262"/>
      <c r="T168" s="262"/>
      <c r="U168" s="262"/>
      <c r="V168" s="262"/>
      <c r="W168" s="262"/>
      <c r="X168" s="262"/>
      <c r="Y168" s="262"/>
      <c r="Z168" s="262"/>
      <c r="AA168" s="262"/>
      <c r="AB168" s="262"/>
      <c r="AC168" s="262"/>
      <c r="AD168" s="262"/>
      <c r="AE168" s="262"/>
      <c r="AF168" s="262"/>
      <c r="AG168" s="262"/>
      <c r="AH168" s="262"/>
      <c r="AI168" s="262"/>
      <c r="AJ168" s="262"/>
      <c r="AK168" s="262"/>
      <c r="AL168" s="262"/>
      <c r="AM168" s="262"/>
      <c r="AN168" s="263"/>
      <c r="AO168" s="175">
        <f>AO167+1</f>
        <v>153</v>
      </c>
      <c r="AP168" s="291"/>
      <c r="AQ168" s="292"/>
      <c r="AR168" s="292"/>
      <c r="AS168" s="292"/>
      <c r="AT168" s="292"/>
      <c r="AU168" s="293"/>
      <c r="AV168" s="288" t="s">
        <v>1060</v>
      </c>
      <c r="AW168" s="289"/>
      <c r="AX168" s="289"/>
      <c r="AY168" s="289"/>
      <c r="AZ168" s="289"/>
      <c r="BA168" s="289"/>
      <c r="BB168" s="289"/>
      <c r="BC168" s="290"/>
      <c r="BD168" s="198"/>
      <c r="BE168" s="180"/>
      <c r="BF168" s="261" t="s">
        <v>1061</v>
      </c>
      <c r="BG168" s="262"/>
      <c r="BH168" s="262"/>
      <c r="BI168" s="262"/>
      <c r="BJ168" s="262"/>
      <c r="BK168" s="262"/>
      <c r="BL168" s="262"/>
      <c r="BM168" s="262"/>
      <c r="BN168" s="263"/>
      <c r="BO168" s="261" t="s">
        <v>1062</v>
      </c>
      <c r="BP168" s="262"/>
      <c r="BQ168" s="262"/>
      <c r="BR168" s="262"/>
      <c r="BS168" s="262"/>
      <c r="BT168" s="263"/>
      <c r="BU168" s="241"/>
      <c r="BW168" s="280">
        <v>2</v>
      </c>
      <c r="BX168" s="281"/>
    </row>
    <row r="169" spans="1:76" ht="12" customHeight="1">
      <c r="A169" s="178"/>
      <c r="B169" s="174">
        <f>B168+1</f>
        <v>154</v>
      </c>
      <c r="C169" s="291"/>
      <c r="D169" s="292"/>
      <c r="E169" s="292"/>
      <c r="F169" s="292"/>
      <c r="G169" s="292"/>
      <c r="H169" s="293"/>
      <c r="I169" s="288" t="s">
        <v>713</v>
      </c>
      <c r="J169" s="289"/>
      <c r="K169" s="289"/>
      <c r="L169" s="289"/>
      <c r="M169" s="289"/>
      <c r="N169" s="289"/>
      <c r="O169" s="289"/>
      <c r="P169" s="290"/>
      <c r="Q169" s="261" t="s">
        <v>752</v>
      </c>
      <c r="R169" s="262"/>
      <c r="S169" s="262"/>
      <c r="T169" s="262"/>
      <c r="U169" s="262"/>
      <c r="V169" s="262"/>
      <c r="W169" s="262"/>
      <c r="X169" s="262"/>
      <c r="Y169" s="262"/>
      <c r="Z169" s="262"/>
      <c r="AA169" s="262"/>
      <c r="AB169" s="262"/>
      <c r="AC169" s="262"/>
      <c r="AD169" s="262"/>
      <c r="AE169" s="262"/>
      <c r="AF169" s="262"/>
      <c r="AG169" s="262"/>
      <c r="AH169" s="262"/>
      <c r="AI169" s="262"/>
      <c r="AJ169" s="262"/>
      <c r="AK169" s="262"/>
      <c r="AL169" s="262"/>
      <c r="AM169" s="262"/>
      <c r="AN169" s="263"/>
      <c r="AO169" s="175">
        <f>AO168+1</f>
        <v>154</v>
      </c>
      <c r="AP169" s="291"/>
      <c r="AQ169" s="292"/>
      <c r="AR169" s="292"/>
      <c r="AS169" s="292"/>
      <c r="AT169" s="292"/>
      <c r="AU169" s="293"/>
      <c r="AV169" s="288" t="s">
        <v>104</v>
      </c>
      <c r="AW169" s="289"/>
      <c r="AX169" s="289"/>
      <c r="AY169" s="289"/>
      <c r="AZ169" s="289"/>
      <c r="BA169" s="289"/>
      <c r="BB169" s="289"/>
      <c r="BC169" s="290"/>
      <c r="BD169" s="196"/>
      <c r="BE169" s="180"/>
      <c r="BF169" s="261" t="s">
        <v>1063</v>
      </c>
      <c r="BG169" s="262"/>
      <c r="BH169" s="262"/>
      <c r="BI169" s="262"/>
      <c r="BJ169" s="262"/>
      <c r="BK169" s="262"/>
      <c r="BL169" s="262"/>
      <c r="BM169" s="262"/>
      <c r="BN169" s="263"/>
      <c r="BO169" s="261" t="s">
        <v>1064</v>
      </c>
      <c r="BP169" s="262"/>
      <c r="BQ169" s="262"/>
      <c r="BR169" s="262"/>
      <c r="BS169" s="262"/>
      <c r="BT169" s="263"/>
      <c r="BU169" s="241"/>
      <c r="BW169" s="280">
        <v>8</v>
      </c>
      <c r="BX169" s="281"/>
    </row>
    <row r="170" spans="1:76" ht="12" customHeight="1">
      <c r="A170" s="178"/>
      <c r="B170" s="174">
        <f>B169+1</f>
        <v>155</v>
      </c>
      <c r="C170" s="291"/>
      <c r="D170" s="292"/>
      <c r="E170" s="292"/>
      <c r="F170" s="292"/>
      <c r="G170" s="292"/>
      <c r="H170" s="293"/>
      <c r="I170" s="288" t="s">
        <v>713</v>
      </c>
      <c r="J170" s="289"/>
      <c r="K170" s="289"/>
      <c r="L170" s="289"/>
      <c r="M170" s="289"/>
      <c r="N170" s="289"/>
      <c r="O170" s="289"/>
      <c r="P170" s="290"/>
      <c r="Q170" s="261" t="s">
        <v>752</v>
      </c>
      <c r="R170" s="262"/>
      <c r="S170" s="262"/>
      <c r="T170" s="262"/>
      <c r="U170" s="262"/>
      <c r="V170" s="262"/>
      <c r="W170" s="262"/>
      <c r="X170" s="262"/>
      <c r="Y170" s="262"/>
      <c r="Z170" s="262"/>
      <c r="AA170" s="262"/>
      <c r="AB170" s="262"/>
      <c r="AC170" s="262"/>
      <c r="AD170" s="262"/>
      <c r="AE170" s="262"/>
      <c r="AF170" s="262"/>
      <c r="AG170" s="262"/>
      <c r="AH170" s="262"/>
      <c r="AI170" s="262"/>
      <c r="AJ170" s="262"/>
      <c r="AK170" s="262"/>
      <c r="AL170" s="262"/>
      <c r="AM170" s="262"/>
      <c r="AN170" s="263"/>
      <c r="AO170" s="175">
        <f>AO169+1</f>
        <v>155</v>
      </c>
      <c r="AP170" s="291"/>
      <c r="AQ170" s="292"/>
      <c r="AR170" s="292"/>
      <c r="AS170" s="292"/>
      <c r="AT170" s="292"/>
      <c r="AU170" s="293"/>
      <c r="AV170" s="288" t="s">
        <v>1065</v>
      </c>
      <c r="AW170" s="289"/>
      <c r="AX170" s="289"/>
      <c r="AY170" s="289"/>
      <c r="AZ170" s="289"/>
      <c r="BA170" s="289"/>
      <c r="BB170" s="289"/>
      <c r="BC170" s="290"/>
      <c r="BD170" s="179"/>
      <c r="BE170" s="180"/>
      <c r="BF170" s="261" t="s">
        <v>1066</v>
      </c>
      <c r="BG170" s="262"/>
      <c r="BH170" s="262"/>
      <c r="BI170" s="262"/>
      <c r="BJ170" s="262"/>
      <c r="BK170" s="262"/>
      <c r="BL170" s="262"/>
      <c r="BM170" s="262"/>
      <c r="BN170" s="263"/>
      <c r="BO170" s="261" t="s">
        <v>1067</v>
      </c>
      <c r="BP170" s="262"/>
      <c r="BQ170" s="262"/>
      <c r="BR170" s="262"/>
      <c r="BS170" s="262"/>
      <c r="BT170" s="263"/>
      <c r="BU170" s="241"/>
      <c r="BW170" s="280">
        <v>8</v>
      </c>
      <c r="BX170" s="281"/>
    </row>
    <row r="171" spans="1:76" ht="12" customHeight="1">
      <c r="A171" s="178"/>
      <c r="B171" s="174">
        <f t="shared" ref="B171:B202" si="9">B170+1</f>
        <v>156</v>
      </c>
      <c r="C171" s="291"/>
      <c r="D171" s="292"/>
      <c r="E171" s="292"/>
      <c r="F171" s="292"/>
      <c r="G171" s="292"/>
      <c r="H171" s="293"/>
      <c r="I171" s="288" t="s">
        <v>713</v>
      </c>
      <c r="J171" s="289"/>
      <c r="K171" s="289"/>
      <c r="L171" s="289"/>
      <c r="M171" s="289"/>
      <c r="N171" s="289"/>
      <c r="O171" s="289"/>
      <c r="P171" s="290"/>
      <c r="Q171" s="261" t="s">
        <v>752</v>
      </c>
      <c r="R171" s="262"/>
      <c r="S171" s="262"/>
      <c r="T171" s="262"/>
      <c r="U171" s="262"/>
      <c r="V171" s="262"/>
      <c r="W171" s="262"/>
      <c r="X171" s="262"/>
      <c r="Y171" s="262"/>
      <c r="Z171" s="262"/>
      <c r="AA171" s="262"/>
      <c r="AB171" s="262"/>
      <c r="AC171" s="262"/>
      <c r="AD171" s="262"/>
      <c r="AE171" s="262"/>
      <c r="AF171" s="262"/>
      <c r="AG171" s="262"/>
      <c r="AH171" s="262"/>
      <c r="AI171" s="262"/>
      <c r="AJ171" s="262"/>
      <c r="AK171" s="262"/>
      <c r="AL171" s="262"/>
      <c r="AM171" s="262"/>
      <c r="AN171" s="263"/>
      <c r="AO171" s="175">
        <f t="shared" ref="AO171:AO201" si="10">AO170+1</f>
        <v>156</v>
      </c>
      <c r="AP171" s="291"/>
      <c r="AQ171" s="292"/>
      <c r="AR171" s="292"/>
      <c r="AS171" s="292"/>
      <c r="AT171" s="292"/>
      <c r="AU171" s="293"/>
      <c r="AV171" s="288" t="s">
        <v>1068</v>
      </c>
      <c r="AW171" s="289"/>
      <c r="AX171" s="289"/>
      <c r="AY171" s="289"/>
      <c r="AZ171" s="289"/>
      <c r="BA171" s="289"/>
      <c r="BB171" s="289"/>
      <c r="BC171" s="290"/>
      <c r="BD171" s="178"/>
      <c r="BE171" s="180"/>
      <c r="BF171" s="261" t="s">
        <v>1069</v>
      </c>
      <c r="BG171" s="262"/>
      <c r="BH171" s="262"/>
      <c r="BI171" s="262"/>
      <c r="BJ171" s="262"/>
      <c r="BK171" s="262"/>
      <c r="BL171" s="262"/>
      <c r="BM171" s="262"/>
      <c r="BN171" s="263"/>
      <c r="BO171" s="261" t="s">
        <v>1070</v>
      </c>
      <c r="BP171" s="262"/>
      <c r="BQ171" s="262"/>
      <c r="BR171" s="262"/>
      <c r="BS171" s="262"/>
      <c r="BT171" s="263"/>
      <c r="BU171" s="241"/>
      <c r="BW171" s="280">
        <v>2</v>
      </c>
      <c r="BX171" s="281"/>
    </row>
    <row r="172" spans="1:76" ht="12" customHeight="1">
      <c r="A172" s="178"/>
      <c r="B172" s="174">
        <f t="shared" si="9"/>
        <v>157</v>
      </c>
      <c r="C172" s="291"/>
      <c r="D172" s="292"/>
      <c r="E172" s="292"/>
      <c r="F172" s="292"/>
      <c r="G172" s="292"/>
      <c r="H172" s="293"/>
      <c r="I172" s="288" t="s">
        <v>713</v>
      </c>
      <c r="J172" s="289"/>
      <c r="K172" s="289"/>
      <c r="L172" s="289"/>
      <c r="M172" s="289"/>
      <c r="N172" s="289"/>
      <c r="O172" s="289"/>
      <c r="P172" s="290"/>
      <c r="Q172" s="261" t="s">
        <v>752</v>
      </c>
      <c r="R172" s="262"/>
      <c r="S172" s="262"/>
      <c r="T172" s="262"/>
      <c r="U172" s="262"/>
      <c r="V172" s="262"/>
      <c r="W172" s="262"/>
      <c r="X172" s="262"/>
      <c r="Y172" s="262"/>
      <c r="Z172" s="262"/>
      <c r="AA172" s="262"/>
      <c r="AB172" s="262"/>
      <c r="AC172" s="262"/>
      <c r="AD172" s="262"/>
      <c r="AE172" s="262"/>
      <c r="AF172" s="262"/>
      <c r="AG172" s="262"/>
      <c r="AH172" s="262"/>
      <c r="AI172" s="262"/>
      <c r="AJ172" s="262"/>
      <c r="AK172" s="262"/>
      <c r="AL172" s="262"/>
      <c r="AM172" s="262"/>
      <c r="AN172" s="263"/>
      <c r="AO172" s="175">
        <f t="shared" si="10"/>
        <v>157</v>
      </c>
      <c r="AP172" s="291"/>
      <c r="AQ172" s="292"/>
      <c r="AR172" s="292"/>
      <c r="AS172" s="292"/>
      <c r="AT172" s="292"/>
      <c r="AU172" s="293"/>
      <c r="AV172" s="288" t="s">
        <v>1071</v>
      </c>
      <c r="AW172" s="289"/>
      <c r="AX172" s="289"/>
      <c r="AY172" s="289"/>
      <c r="AZ172" s="289"/>
      <c r="BA172" s="289"/>
      <c r="BB172" s="289"/>
      <c r="BC172" s="290"/>
      <c r="BD172" s="178"/>
      <c r="BE172" s="180"/>
      <c r="BF172" s="261" t="s">
        <v>1072</v>
      </c>
      <c r="BG172" s="262"/>
      <c r="BH172" s="262"/>
      <c r="BI172" s="262"/>
      <c r="BJ172" s="262"/>
      <c r="BK172" s="262"/>
      <c r="BL172" s="262"/>
      <c r="BM172" s="262"/>
      <c r="BN172" s="263"/>
      <c r="BO172" s="261" t="s">
        <v>1073</v>
      </c>
      <c r="BP172" s="262"/>
      <c r="BQ172" s="262"/>
      <c r="BR172" s="262"/>
      <c r="BS172" s="262"/>
      <c r="BT172" s="263"/>
      <c r="BU172" s="241"/>
      <c r="BW172" s="280">
        <v>9</v>
      </c>
      <c r="BX172" s="281"/>
    </row>
    <row r="173" spans="1:76" ht="12" customHeight="1">
      <c r="A173" s="178"/>
      <c r="B173" s="174">
        <f t="shared" si="9"/>
        <v>158</v>
      </c>
      <c r="C173" s="291"/>
      <c r="D173" s="292"/>
      <c r="E173" s="292"/>
      <c r="F173" s="292"/>
      <c r="G173" s="292"/>
      <c r="H173" s="293"/>
      <c r="I173" s="288" t="s">
        <v>713</v>
      </c>
      <c r="J173" s="289"/>
      <c r="K173" s="289"/>
      <c r="L173" s="289"/>
      <c r="M173" s="289"/>
      <c r="N173" s="289"/>
      <c r="O173" s="289"/>
      <c r="P173" s="290"/>
      <c r="Q173" s="261" t="s">
        <v>752</v>
      </c>
      <c r="R173" s="262"/>
      <c r="S173" s="262"/>
      <c r="T173" s="262"/>
      <c r="U173" s="262"/>
      <c r="V173" s="262"/>
      <c r="W173" s="262"/>
      <c r="X173" s="262"/>
      <c r="Y173" s="262"/>
      <c r="Z173" s="262"/>
      <c r="AA173" s="262"/>
      <c r="AB173" s="262"/>
      <c r="AC173" s="262"/>
      <c r="AD173" s="262"/>
      <c r="AE173" s="262"/>
      <c r="AF173" s="262"/>
      <c r="AG173" s="262"/>
      <c r="AH173" s="262"/>
      <c r="AI173" s="262"/>
      <c r="AJ173" s="262"/>
      <c r="AK173" s="262"/>
      <c r="AL173" s="262"/>
      <c r="AM173" s="262"/>
      <c r="AN173" s="263"/>
      <c r="AO173" s="175">
        <f t="shared" si="10"/>
        <v>158</v>
      </c>
      <c r="AP173" s="291"/>
      <c r="AQ173" s="292"/>
      <c r="AR173" s="292"/>
      <c r="AS173" s="292"/>
      <c r="AT173" s="292"/>
      <c r="AU173" s="293"/>
      <c r="AV173" s="288" t="s">
        <v>1074</v>
      </c>
      <c r="AW173" s="289"/>
      <c r="AX173" s="289"/>
      <c r="AY173" s="289"/>
      <c r="AZ173" s="289"/>
      <c r="BA173" s="289"/>
      <c r="BB173" s="289"/>
      <c r="BC173" s="290"/>
      <c r="BD173" s="178"/>
      <c r="BE173" s="180"/>
      <c r="BF173" s="261" t="s">
        <v>1075</v>
      </c>
      <c r="BG173" s="262"/>
      <c r="BH173" s="262"/>
      <c r="BI173" s="262"/>
      <c r="BJ173" s="262"/>
      <c r="BK173" s="262"/>
      <c r="BL173" s="262"/>
      <c r="BM173" s="262"/>
      <c r="BN173" s="263"/>
      <c r="BO173" s="261" t="s">
        <v>1076</v>
      </c>
      <c r="BP173" s="262"/>
      <c r="BQ173" s="262"/>
      <c r="BR173" s="262"/>
      <c r="BS173" s="262"/>
      <c r="BT173" s="263"/>
      <c r="BU173" s="241"/>
      <c r="BW173" s="280">
        <v>8</v>
      </c>
      <c r="BX173" s="281"/>
    </row>
    <row r="174" spans="1:76" ht="12" customHeight="1">
      <c r="A174" s="178"/>
      <c r="B174" s="174">
        <f t="shared" si="9"/>
        <v>159</v>
      </c>
      <c r="C174" s="291"/>
      <c r="D174" s="292"/>
      <c r="E174" s="292"/>
      <c r="F174" s="292"/>
      <c r="G174" s="292"/>
      <c r="H174" s="293"/>
      <c r="I174" s="288" t="s">
        <v>713</v>
      </c>
      <c r="J174" s="289"/>
      <c r="K174" s="289"/>
      <c r="L174" s="289"/>
      <c r="M174" s="289"/>
      <c r="N174" s="289"/>
      <c r="O174" s="289"/>
      <c r="P174" s="290"/>
      <c r="Q174" s="261" t="s">
        <v>752</v>
      </c>
      <c r="R174" s="262"/>
      <c r="S174" s="262"/>
      <c r="T174" s="262"/>
      <c r="U174" s="262"/>
      <c r="V174" s="262"/>
      <c r="W174" s="262"/>
      <c r="X174" s="262"/>
      <c r="Y174" s="262"/>
      <c r="Z174" s="262"/>
      <c r="AA174" s="262"/>
      <c r="AB174" s="262"/>
      <c r="AC174" s="262"/>
      <c r="AD174" s="262"/>
      <c r="AE174" s="262"/>
      <c r="AF174" s="262"/>
      <c r="AG174" s="262"/>
      <c r="AH174" s="262"/>
      <c r="AI174" s="262"/>
      <c r="AJ174" s="262"/>
      <c r="AK174" s="262"/>
      <c r="AL174" s="262"/>
      <c r="AM174" s="262"/>
      <c r="AN174" s="263"/>
      <c r="AO174" s="175">
        <f t="shared" si="10"/>
        <v>159</v>
      </c>
      <c r="AP174" s="291"/>
      <c r="AQ174" s="292"/>
      <c r="AR174" s="292"/>
      <c r="AS174" s="292"/>
      <c r="AT174" s="292"/>
      <c r="AU174" s="293"/>
      <c r="AV174" s="288" t="s">
        <v>1077</v>
      </c>
      <c r="AW174" s="289"/>
      <c r="AX174" s="289"/>
      <c r="AY174" s="289"/>
      <c r="AZ174" s="289"/>
      <c r="BA174" s="289"/>
      <c r="BB174" s="289"/>
      <c r="BC174" s="290"/>
      <c r="BD174" s="179"/>
      <c r="BE174" s="180"/>
      <c r="BF174" s="261" t="s">
        <v>1078</v>
      </c>
      <c r="BG174" s="262"/>
      <c r="BH174" s="262"/>
      <c r="BI174" s="262"/>
      <c r="BJ174" s="262"/>
      <c r="BK174" s="262"/>
      <c r="BL174" s="262"/>
      <c r="BM174" s="262"/>
      <c r="BN174" s="263"/>
      <c r="BO174" s="261" t="s">
        <v>1079</v>
      </c>
      <c r="BP174" s="262"/>
      <c r="BQ174" s="262"/>
      <c r="BR174" s="262"/>
      <c r="BS174" s="262"/>
      <c r="BT174" s="263"/>
      <c r="BU174" s="241"/>
      <c r="BW174" s="280">
        <v>6</v>
      </c>
      <c r="BX174" s="281"/>
    </row>
    <row r="175" spans="1:76" ht="12" customHeight="1">
      <c r="A175" s="178"/>
      <c r="B175" s="174">
        <f t="shared" si="9"/>
        <v>160</v>
      </c>
      <c r="C175" s="291"/>
      <c r="D175" s="292"/>
      <c r="E175" s="292"/>
      <c r="F175" s="292"/>
      <c r="G175" s="292"/>
      <c r="H175" s="293"/>
      <c r="I175" s="288" t="s">
        <v>713</v>
      </c>
      <c r="J175" s="289"/>
      <c r="K175" s="289"/>
      <c r="L175" s="289"/>
      <c r="M175" s="289"/>
      <c r="N175" s="289"/>
      <c r="O175" s="289"/>
      <c r="P175" s="290"/>
      <c r="Q175" s="261" t="s">
        <v>752</v>
      </c>
      <c r="R175" s="262"/>
      <c r="S175" s="262"/>
      <c r="T175" s="262"/>
      <c r="U175" s="262"/>
      <c r="V175" s="262"/>
      <c r="W175" s="262"/>
      <c r="X175" s="262"/>
      <c r="Y175" s="262"/>
      <c r="Z175" s="262"/>
      <c r="AA175" s="262"/>
      <c r="AB175" s="262"/>
      <c r="AC175" s="262"/>
      <c r="AD175" s="262"/>
      <c r="AE175" s="262"/>
      <c r="AF175" s="262"/>
      <c r="AG175" s="262"/>
      <c r="AH175" s="262"/>
      <c r="AI175" s="262"/>
      <c r="AJ175" s="262"/>
      <c r="AK175" s="262"/>
      <c r="AL175" s="262"/>
      <c r="AM175" s="262"/>
      <c r="AN175" s="263"/>
      <c r="AO175" s="175">
        <f t="shared" si="10"/>
        <v>160</v>
      </c>
      <c r="AP175" s="291"/>
      <c r="AQ175" s="292"/>
      <c r="AR175" s="292"/>
      <c r="AS175" s="292"/>
      <c r="AT175" s="292"/>
      <c r="AU175" s="293"/>
      <c r="AV175" s="288" t="s">
        <v>1080</v>
      </c>
      <c r="AW175" s="289"/>
      <c r="AX175" s="289"/>
      <c r="AY175" s="289"/>
      <c r="AZ175" s="289"/>
      <c r="BA175" s="289"/>
      <c r="BB175" s="289"/>
      <c r="BC175" s="290"/>
      <c r="BD175" s="179"/>
      <c r="BE175" s="180"/>
      <c r="BF175" s="261" t="s">
        <v>1081</v>
      </c>
      <c r="BG175" s="262"/>
      <c r="BH175" s="262"/>
      <c r="BI175" s="262"/>
      <c r="BJ175" s="262"/>
      <c r="BK175" s="262"/>
      <c r="BL175" s="262"/>
      <c r="BM175" s="262"/>
      <c r="BN175" s="263"/>
      <c r="BO175" s="261" t="s">
        <v>1082</v>
      </c>
      <c r="BP175" s="262"/>
      <c r="BQ175" s="262"/>
      <c r="BR175" s="262"/>
      <c r="BS175" s="262"/>
      <c r="BT175" s="263"/>
      <c r="BU175" s="241"/>
      <c r="BW175" s="280">
        <v>2</v>
      </c>
      <c r="BX175" s="281"/>
    </row>
    <row r="176" spans="1:76" ht="12" customHeight="1">
      <c r="A176" s="199"/>
      <c r="B176" s="174">
        <f t="shared" si="9"/>
        <v>161</v>
      </c>
      <c r="C176" s="291"/>
      <c r="D176" s="292"/>
      <c r="E176" s="292"/>
      <c r="F176" s="292"/>
      <c r="G176" s="292"/>
      <c r="H176" s="293"/>
      <c r="I176" s="288" t="s">
        <v>713</v>
      </c>
      <c r="J176" s="289"/>
      <c r="K176" s="289"/>
      <c r="L176" s="289"/>
      <c r="M176" s="289"/>
      <c r="N176" s="289"/>
      <c r="O176" s="289"/>
      <c r="P176" s="290"/>
      <c r="Q176" s="261" t="s">
        <v>752</v>
      </c>
      <c r="R176" s="262"/>
      <c r="S176" s="262"/>
      <c r="T176" s="262"/>
      <c r="U176" s="262"/>
      <c r="V176" s="262"/>
      <c r="W176" s="262"/>
      <c r="X176" s="262"/>
      <c r="Y176" s="262"/>
      <c r="Z176" s="262"/>
      <c r="AA176" s="262"/>
      <c r="AB176" s="262"/>
      <c r="AC176" s="262"/>
      <c r="AD176" s="262"/>
      <c r="AE176" s="262"/>
      <c r="AF176" s="262"/>
      <c r="AG176" s="262"/>
      <c r="AH176" s="262"/>
      <c r="AI176" s="262"/>
      <c r="AJ176" s="262"/>
      <c r="AK176" s="262"/>
      <c r="AL176" s="262"/>
      <c r="AM176" s="262"/>
      <c r="AN176" s="263"/>
      <c r="AO176" s="175">
        <f t="shared" si="10"/>
        <v>161</v>
      </c>
      <c r="AP176" s="291"/>
      <c r="AQ176" s="292"/>
      <c r="AR176" s="292"/>
      <c r="AS176" s="292"/>
      <c r="AT176" s="292"/>
      <c r="AU176" s="293"/>
      <c r="AV176" s="288" t="s">
        <v>1083</v>
      </c>
      <c r="AW176" s="289"/>
      <c r="AX176" s="289"/>
      <c r="AY176" s="289"/>
      <c r="AZ176" s="289"/>
      <c r="BA176" s="289"/>
      <c r="BB176" s="289"/>
      <c r="BC176" s="290"/>
      <c r="BD176" s="179"/>
      <c r="BE176" s="180"/>
      <c r="BF176" s="261" t="s">
        <v>1084</v>
      </c>
      <c r="BG176" s="262"/>
      <c r="BH176" s="262"/>
      <c r="BI176" s="262"/>
      <c r="BJ176" s="262"/>
      <c r="BK176" s="262"/>
      <c r="BL176" s="262"/>
      <c r="BM176" s="262"/>
      <c r="BN176" s="263"/>
      <c r="BO176" s="261" t="s">
        <v>1085</v>
      </c>
      <c r="BP176" s="262"/>
      <c r="BQ176" s="262"/>
      <c r="BR176" s="262"/>
      <c r="BS176" s="262"/>
      <c r="BT176" s="263"/>
      <c r="BU176" s="241"/>
      <c r="BW176" s="280">
        <v>2</v>
      </c>
      <c r="BX176" s="281"/>
    </row>
    <row r="177" spans="1:76" ht="12" customHeight="1">
      <c r="A177" s="199"/>
      <c r="B177" s="174">
        <f t="shared" si="9"/>
        <v>162</v>
      </c>
      <c r="C177" s="291"/>
      <c r="D177" s="292"/>
      <c r="E177" s="292"/>
      <c r="F177" s="292"/>
      <c r="G177" s="292"/>
      <c r="H177" s="293"/>
      <c r="I177" s="288" t="s">
        <v>713</v>
      </c>
      <c r="J177" s="289"/>
      <c r="K177" s="289"/>
      <c r="L177" s="289"/>
      <c r="M177" s="289"/>
      <c r="N177" s="289"/>
      <c r="O177" s="289"/>
      <c r="P177" s="290"/>
      <c r="Q177" s="261" t="s">
        <v>752</v>
      </c>
      <c r="R177" s="262"/>
      <c r="S177" s="262"/>
      <c r="T177" s="262"/>
      <c r="U177" s="262"/>
      <c r="V177" s="262"/>
      <c r="W177" s="262"/>
      <c r="X177" s="262"/>
      <c r="Y177" s="262"/>
      <c r="Z177" s="262"/>
      <c r="AA177" s="262"/>
      <c r="AB177" s="262"/>
      <c r="AC177" s="262"/>
      <c r="AD177" s="262"/>
      <c r="AE177" s="262"/>
      <c r="AF177" s="262"/>
      <c r="AG177" s="262"/>
      <c r="AH177" s="262"/>
      <c r="AI177" s="262"/>
      <c r="AJ177" s="262"/>
      <c r="AK177" s="262"/>
      <c r="AL177" s="262"/>
      <c r="AM177" s="262"/>
      <c r="AN177" s="263"/>
      <c r="AO177" s="175">
        <f t="shared" si="10"/>
        <v>162</v>
      </c>
      <c r="AP177" s="291"/>
      <c r="AQ177" s="292"/>
      <c r="AR177" s="292"/>
      <c r="AS177" s="292"/>
      <c r="AT177" s="292"/>
      <c r="AU177" s="293"/>
      <c r="AV177" s="288" t="s">
        <v>1086</v>
      </c>
      <c r="AW177" s="289"/>
      <c r="AX177" s="289"/>
      <c r="AY177" s="289"/>
      <c r="AZ177" s="289"/>
      <c r="BA177" s="289"/>
      <c r="BB177" s="289"/>
      <c r="BC177" s="290"/>
      <c r="BD177" s="179"/>
      <c r="BE177" s="180"/>
      <c r="BF177" s="261" t="s">
        <v>1087</v>
      </c>
      <c r="BG177" s="262"/>
      <c r="BH177" s="262"/>
      <c r="BI177" s="262"/>
      <c r="BJ177" s="262"/>
      <c r="BK177" s="262"/>
      <c r="BL177" s="262"/>
      <c r="BM177" s="262"/>
      <c r="BN177" s="263"/>
      <c r="BO177" s="261" t="s">
        <v>1088</v>
      </c>
      <c r="BP177" s="262"/>
      <c r="BQ177" s="262"/>
      <c r="BR177" s="262"/>
      <c r="BS177" s="262"/>
      <c r="BT177" s="263"/>
      <c r="BU177" s="241"/>
      <c r="BW177" s="280">
        <v>8</v>
      </c>
      <c r="BX177" s="281"/>
    </row>
    <row r="178" spans="1:76" ht="12" customHeight="1">
      <c r="A178" s="199"/>
      <c r="B178" s="174">
        <f t="shared" si="9"/>
        <v>163</v>
      </c>
      <c r="C178" s="291"/>
      <c r="D178" s="292"/>
      <c r="E178" s="292"/>
      <c r="F178" s="292"/>
      <c r="G178" s="292"/>
      <c r="H178" s="293"/>
      <c r="I178" s="288" t="s">
        <v>713</v>
      </c>
      <c r="J178" s="289"/>
      <c r="K178" s="289"/>
      <c r="L178" s="289"/>
      <c r="M178" s="289"/>
      <c r="N178" s="289"/>
      <c r="O178" s="289"/>
      <c r="P178" s="290"/>
      <c r="Q178" s="261" t="s">
        <v>752</v>
      </c>
      <c r="R178" s="262"/>
      <c r="S178" s="262"/>
      <c r="T178" s="262"/>
      <c r="U178" s="262"/>
      <c r="V178" s="262"/>
      <c r="W178" s="262"/>
      <c r="X178" s="262"/>
      <c r="Y178" s="262"/>
      <c r="Z178" s="262"/>
      <c r="AA178" s="262"/>
      <c r="AB178" s="262"/>
      <c r="AC178" s="262"/>
      <c r="AD178" s="262"/>
      <c r="AE178" s="262"/>
      <c r="AF178" s="262"/>
      <c r="AG178" s="262"/>
      <c r="AH178" s="262"/>
      <c r="AI178" s="262"/>
      <c r="AJ178" s="262"/>
      <c r="AK178" s="262"/>
      <c r="AL178" s="262"/>
      <c r="AM178" s="262"/>
      <c r="AN178" s="263"/>
      <c r="AO178" s="175">
        <f t="shared" si="10"/>
        <v>163</v>
      </c>
      <c r="AP178" s="291"/>
      <c r="AQ178" s="292"/>
      <c r="AR178" s="292"/>
      <c r="AS178" s="292"/>
      <c r="AT178" s="292"/>
      <c r="AU178" s="293"/>
      <c r="AV178" s="288" t="s">
        <v>1089</v>
      </c>
      <c r="AW178" s="289"/>
      <c r="AX178" s="289"/>
      <c r="AY178" s="289"/>
      <c r="AZ178" s="289"/>
      <c r="BA178" s="289"/>
      <c r="BB178" s="289"/>
      <c r="BC178" s="290"/>
      <c r="BD178" s="179"/>
      <c r="BE178" s="180"/>
      <c r="BF178" s="261" t="s">
        <v>1090</v>
      </c>
      <c r="BG178" s="262"/>
      <c r="BH178" s="262"/>
      <c r="BI178" s="262"/>
      <c r="BJ178" s="262"/>
      <c r="BK178" s="262"/>
      <c r="BL178" s="262"/>
      <c r="BM178" s="262"/>
      <c r="BN178" s="263"/>
      <c r="BO178" s="261" t="s">
        <v>1091</v>
      </c>
      <c r="BP178" s="262"/>
      <c r="BQ178" s="262"/>
      <c r="BR178" s="262"/>
      <c r="BS178" s="262"/>
      <c r="BT178" s="263"/>
      <c r="BU178" s="241"/>
      <c r="BW178" s="280">
        <v>7</v>
      </c>
      <c r="BX178" s="281"/>
    </row>
    <row r="179" spans="1:76" ht="12" customHeight="1">
      <c r="A179" s="199"/>
      <c r="B179" s="174">
        <f t="shared" si="9"/>
        <v>164</v>
      </c>
      <c r="C179" s="291"/>
      <c r="D179" s="292"/>
      <c r="E179" s="292"/>
      <c r="F179" s="292"/>
      <c r="G179" s="292"/>
      <c r="H179" s="293"/>
      <c r="I179" s="288" t="s">
        <v>713</v>
      </c>
      <c r="J179" s="289"/>
      <c r="K179" s="289"/>
      <c r="L179" s="289"/>
      <c r="M179" s="289"/>
      <c r="N179" s="289"/>
      <c r="O179" s="289"/>
      <c r="P179" s="290"/>
      <c r="Q179" s="261" t="s">
        <v>752</v>
      </c>
      <c r="R179" s="262"/>
      <c r="S179" s="262"/>
      <c r="T179" s="262"/>
      <c r="U179" s="262"/>
      <c r="V179" s="262"/>
      <c r="W179" s="262"/>
      <c r="X179" s="262"/>
      <c r="Y179" s="262"/>
      <c r="Z179" s="262"/>
      <c r="AA179" s="262"/>
      <c r="AB179" s="262"/>
      <c r="AC179" s="262"/>
      <c r="AD179" s="262"/>
      <c r="AE179" s="262"/>
      <c r="AF179" s="262"/>
      <c r="AG179" s="262"/>
      <c r="AH179" s="262"/>
      <c r="AI179" s="262"/>
      <c r="AJ179" s="262"/>
      <c r="AK179" s="262"/>
      <c r="AL179" s="262"/>
      <c r="AM179" s="262"/>
      <c r="AN179" s="263"/>
      <c r="AO179" s="175">
        <f t="shared" si="10"/>
        <v>164</v>
      </c>
      <c r="AP179" s="291"/>
      <c r="AQ179" s="292"/>
      <c r="AR179" s="292"/>
      <c r="AS179" s="292"/>
      <c r="AT179" s="292"/>
      <c r="AU179" s="293"/>
      <c r="AV179" s="288" t="s">
        <v>1092</v>
      </c>
      <c r="AW179" s="289"/>
      <c r="AX179" s="289"/>
      <c r="AY179" s="289"/>
      <c r="AZ179" s="289"/>
      <c r="BA179" s="289"/>
      <c r="BB179" s="289"/>
      <c r="BC179" s="290"/>
      <c r="BD179" s="179"/>
      <c r="BE179" s="180"/>
      <c r="BF179" s="261" t="s">
        <v>1093</v>
      </c>
      <c r="BG179" s="262"/>
      <c r="BH179" s="262"/>
      <c r="BI179" s="262"/>
      <c r="BJ179" s="262"/>
      <c r="BK179" s="262"/>
      <c r="BL179" s="262"/>
      <c r="BM179" s="262"/>
      <c r="BN179" s="263"/>
      <c r="BO179" s="261" t="s">
        <v>1094</v>
      </c>
      <c r="BP179" s="262"/>
      <c r="BQ179" s="262"/>
      <c r="BR179" s="262"/>
      <c r="BS179" s="262"/>
      <c r="BT179" s="263"/>
      <c r="BU179" s="241"/>
      <c r="BW179" s="280">
        <v>7</v>
      </c>
      <c r="BX179" s="281"/>
    </row>
    <row r="180" spans="1:76" ht="12" customHeight="1">
      <c r="A180" s="199"/>
      <c r="B180" s="174">
        <f t="shared" si="9"/>
        <v>165</v>
      </c>
      <c r="C180" s="291"/>
      <c r="D180" s="292"/>
      <c r="E180" s="292"/>
      <c r="F180" s="292"/>
      <c r="G180" s="292"/>
      <c r="H180" s="293"/>
      <c r="I180" s="288" t="s">
        <v>713</v>
      </c>
      <c r="J180" s="289"/>
      <c r="K180" s="289"/>
      <c r="L180" s="289"/>
      <c r="M180" s="289"/>
      <c r="N180" s="289"/>
      <c r="O180" s="289"/>
      <c r="P180" s="290"/>
      <c r="Q180" s="261" t="s">
        <v>752</v>
      </c>
      <c r="R180" s="262"/>
      <c r="S180" s="262"/>
      <c r="T180" s="262"/>
      <c r="U180" s="262"/>
      <c r="V180" s="262"/>
      <c r="W180" s="262"/>
      <c r="X180" s="262"/>
      <c r="Y180" s="262"/>
      <c r="Z180" s="262"/>
      <c r="AA180" s="262"/>
      <c r="AB180" s="262"/>
      <c r="AC180" s="262"/>
      <c r="AD180" s="262"/>
      <c r="AE180" s="262"/>
      <c r="AF180" s="262"/>
      <c r="AG180" s="262"/>
      <c r="AH180" s="262"/>
      <c r="AI180" s="262"/>
      <c r="AJ180" s="262"/>
      <c r="AK180" s="262"/>
      <c r="AL180" s="262"/>
      <c r="AM180" s="262"/>
      <c r="AN180" s="263"/>
      <c r="AO180" s="175">
        <f t="shared" si="10"/>
        <v>165</v>
      </c>
      <c r="AP180" s="291"/>
      <c r="AQ180" s="292"/>
      <c r="AR180" s="292"/>
      <c r="AS180" s="292"/>
      <c r="AT180" s="292"/>
      <c r="AU180" s="293"/>
      <c r="AV180" s="288" t="s">
        <v>1095</v>
      </c>
      <c r="AW180" s="289"/>
      <c r="AX180" s="289"/>
      <c r="AY180" s="289"/>
      <c r="AZ180" s="289"/>
      <c r="BA180" s="289"/>
      <c r="BB180" s="289"/>
      <c r="BC180" s="290"/>
      <c r="BD180" s="179"/>
      <c r="BE180" s="180"/>
      <c r="BF180" s="261" t="s">
        <v>1096</v>
      </c>
      <c r="BG180" s="262"/>
      <c r="BH180" s="262"/>
      <c r="BI180" s="262"/>
      <c r="BJ180" s="262"/>
      <c r="BK180" s="262"/>
      <c r="BL180" s="262"/>
      <c r="BM180" s="262"/>
      <c r="BN180" s="263"/>
      <c r="BO180" s="261" t="s">
        <v>1097</v>
      </c>
      <c r="BP180" s="262"/>
      <c r="BQ180" s="262"/>
      <c r="BR180" s="262"/>
      <c r="BS180" s="262"/>
      <c r="BT180" s="263"/>
      <c r="BU180" s="241"/>
      <c r="BW180" s="280">
        <v>7</v>
      </c>
      <c r="BX180" s="281"/>
    </row>
    <row r="181" spans="1:76" ht="12" customHeight="1">
      <c r="A181" s="199"/>
      <c r="B181" s="174">
        <f t="shared" si="9"/>
        <v>166</v>
      </c>
      <c r="C181" s="291"/>
      <c r="D181" s="292"/>
      <c r="E181" s="292"/>
      <c r="F181" s="292"/>
      <c r="G181" s="292"/>
      <c r="H181" s="293"/>
      <c r="I181" s="288" t="s">
        <v>713</v>
      </c>
      <c r="J181" s="289"/>
      <c r="K181" s="289"/>
      <c r="L181" s="289"/>
      <c r="M181" s="289"/>
      <c r="N181" s="289"/>
      <c r="O181" s="289"/>
      <c r="P181" s="290"/>
      <c r="Q181" s="261" t="s">
        <v>752</v>
      </c>
      <c r="R181" s="262"/>
      <c r="S181" s="262"/>
      <c r="T181" s="262"/>
      <c r="U181" s="262"/>
      <c r="V181" s="262"/>
      <c r="W181" s="262"/>
      <c r="X181" s="262"/>
      <c r="Y181" s="262"/>
      <c r="Z181" s="262"/>
      <c r="AA181" s="262"/>
      <c r="AB181" s="262"/>
      <c r="AC181" s="262"/>
      <c r="AD181" s="262"/>
      <c r="AE181" s="262"/>
      <c r="AF181" s="262"/>
      <c r="AG181" s="262"/>
      <c r="AH181" s="262"/>
      <c r="AI181" s="262"/>
      <c r="AJ181" s="262"/>
      <c r="AK181" s="262"/>
      <c r="AL181" s="262"/>
      <c r="AM181" s="262"/>
      <c r="AN181" s="263"/>
      <c r="AO181" s="175">
        <f t="shared" si="10"/>
        <v>166</v>
      </c>
      <c r="AP181" s="291"/>
      <c r="AQ181" s="292"/>
      <c r="AR181" s="292"/>
      <c r="AS181" s="292"/>
      <c r="AT181" s="292"/>
      <c r="AU181" s="293"/>
      <c r="AV181" s="288" t="s">
        <v>1098</v>
      </c>
      <c r="AW181" s="289"/>
      <c r="AX181" s="289"/>
      <c r="AY181" s="289"/>
      <c r="AZ181" s="289"/>
      <c r="BA181" s="289"/>
      <c r="BB181" s="289"/>
      <c r="BC181" s="290"/>
      <c r="BD181" s="179"/>
      <c r="BE181" s="180"/>
      <c r="BF181" s="261" t="s">
        <v>1099</v>
      </c>
      <c r="BG181" s="262"/>
      <c r="BH181" s="262"/>
      <c r="BI181" s="262"/>
      <c r="BJ181" s="262"/>
      <c r="BK181" s="262"/>
      <c r="BL181" s="262"/>
      <c r="BM181" s="262"/>
      <c r="BN181" s="263"/>
      <c r="BO181" s="261" t="s">
        <v>1100</v>
      </c>
      <c r="BP181" s="262"/>
      <c r="BQ181" s="262"/>
      <c r="BR181" s="262"/>
      <c r="BS181" s="262"/>
      <c r="BT181" s="263"/>
      <c r="BU181" s="241"/>
      <c r="BW181" s="280">
        <v>8</v>
      </c>
      <c r="BX181" s="281"/>
    </row>
    <row r="182" spans="1:76" ht="12" customHeight="1">
      <c r="A182" s="199"/>
      <c r="B182" s="174">
        <f t="shared" si="9"/>
        <v>167</v>
      </c>
      <c r="C182" s="291"/>
      <c r="D182" s="292"/>
      <c r="E182" s="292"/>
      <c r="F182" s="292"/>
      <c r="G182" s="292"/>
      <c r="H182" s="293"/>
      <c r="I182" s="288" t="s">
        <v>713</v>
      </c>
      <c r="J182" s="289"/>
      <c r="K182" s="289"/>
      <c r="L182" s="289"/>
      <c r="M182" s="289"/>
      <c r="N182" s="289"/>
      <c r="O182" s="289"/>
      <c r="P182" s="290"/>
      <c r="Q182" s="261" t="s">
        <v>752</v>
      </c>
      <c r="R182" s="262"/>
      <c r="S182" s="262"/>
      <c r="T182" s="262"/>
      <c r="U182" s="262"/>
      <c r="V182" s="262"/>
      <c r="W182" s="262"/>
      <c r="X182" s="262"/>
      <c r="Y182" s="262"/>
      <c r="Z182" s="262"/>
      <c r="AA182" s="262"/>
      <c r="AB182" s="262"/>
      <c r="AC182" s="262"/>
      <c r="AD182" s="262"/>
      <c r="AE182" s="262"/>
      <c r="AF182" s="262"/>
      <c r="AG182" s="262"/>
      <c r="AH182" s="262"/>
      <c r="AI182" s="262"/>
      <c r="AJ182" s="262"/>
      <c r="AK182" s="262"/>
      <c r="AL182" s="262"/>
      <c r="AM182" s="262"/>
      <c r="AN182" s="263"/>
      <c r="AO182" s="175">
        <f t="shared" si="10"/>
        <v>167</v>
      </c>
      <c r="AP182" s="291"/>
      <c r="AQ182" s="292"/>
      <c r="AR182" s="292"/>
      <c r="AS182" s="292"/>
      <c r="AT182" s="292"/>
      <c r="AU182" s="293"/>
      <c r="AV182" s="288" t="s">
        <v>1101</v>
      </c>
      <c r="AW182" s="289"/>
      <c r="AX182" s="289"/>
      <c r="AY182" s="289"/>
      <c r="AZ182" s="289"/>
      <c r="BA182" s="289"/>
      <c r="BB182" s="289"/>
      <c r="BC182" s="290"/>
      <c r="BD182" s="179"/>
      <c r="BE182" s="180"/>
      <c r="BF182" s="261" t="s">
        <v>1102</v>
      </c>
      <c r="BG182" s="262"/>
      <c r="BH182" s="262"/>
      <c r="BI182" s="262"/>
      <c r="BJ182" s="262"/>
      <c r="BK182" s="262"/>
      <c r="BL182" s="262"/>
      <c r="BM182" s="262"/>
      <c r="BN182" s="263"/>
      <c r="BO182" s="261" t="s">
        <v>1103</v>
      </c>
      <c r="BP182" s="262"/>
      <c r="BQ182" s="262"/>
      <c r="BR182" s="262"/>
      <c r="BS182" s="262"/>
      <c r="BT182" s="263"/>
      <c r="BU182" s="241"/>
      <c r="BW182" s="280">
        <v>1</v>
      </c>
      <c r="BX182" s="281"/>
    </row>
    <row r="183" spans="1:76" ht="12" customHeight="1">
      <c r="A183" s="199"/>
      <c r="B183" s="174">
        <f t="shared" si="9"/>
        <v>168</v>
      </c>
      <c r="C183" s="291"/>
      <c r="D183" s="292"/>
      <c r="E183" s="292"/>
      <c r="F183" s="292"/>
      <c r="G183" s="292"/>
      <c r="H183" s="293"/>
      <c r="I183" s="288" t="s">
        <v>713</v>
      </c>
      <c r="J183" s="289"/>
      <c r="K183" s="289"/>
      <c r="L183" s="289"/>
      <c r="M183" s="289"/>
      <c r="N183" s="289"/>
      <c r="O183" s="289"/>
      <c r="P183" s="290"/>
      <c r="Q183" s="261" t="s">
        <v>752</v>
      </c>
      <c r="R183" s="262"/>
      <c r="S183" s="262"/>
      <c r="T183" s="262"/>
      <c r="U183" s="262"/>
      <c r="V183" s="262"/>
      <c r="W183" s="262"/>
      <c r="X183" s="262"/>
      <c r="Y183" s="262"/>
      <c r="Z183" s="262"/>
      <c r="AA183" s="262"/>
      <c r="AB183" s="262"/>
      <c r="AC183" s="262"/>
      <c r="AD183" s="262"/>
      <c r="AE183" s="262"/>
      <c r="AF183" s="262"/>
      <c r="AG183" s="262"/>
      <c r="AH183" s="262"/>
      <c r="AI183" s="262"/>
      <c r="AJ183" s="262"/>
      <c r="AK183" s="262"/>
      <c r="AL183" s="262"/>
      <c r="AM183" s="262"/>
      <c r="AN183" s="263"/>
      <c r="AO183" s="175">
        <f t="shared" si="10"/>
        <v>168</v>
      </c>
      <c r="AP183" s="291"/>
      <c r="AQ183" s="292"/>
      <c r="AR183" s="292"/>
      <c r="AS183" s="292"/>
      <c r="AT183" s="292"/>
      <c r="AU183" s="293"/>
      <c r="AV183" s="288" t="s">
        <v>1104</v>
      </c>
      <c r="AW183" s="289"/>
      <c r="AX183" s="289"/>
      <c r="AY183" s="289"/>
      <c r="AZ183" s="289"/>
      <c r="BA183" s="289"/>
      <c r="BB183" s="289"/>
      <c r="BC183" s="290"/>
      <c r="BD183" s="179"/>
      <c r="BE183" s="180"/>
      <c r="BF183" s="261" t="s">
        <v>1105</v>
      </c>
      <c r="BG183" s="262"/>
      <c r="BH183" s="262"/>
      <c r="BI183" s="262"/>
      <c r="BJ183" s="262"/>
      <c r="BK183" s="262"/>
      <c r="BL183" s="262"/>
      <c r="BM183" s="262"/>
      <c r="BN183" s="263"/>
      <c r="BO183" s="261" t="s">
        <v>1106</v>
      </c>
      <c r="BP183" s="262"/>
      <c r="BQ183" s="262"/>
      <c r="BR183" s="262"/>
      <c r="BS183" s="262"/>
      <c r="BT183" s="263"/>
      <c r="BU183" s="241"/>
      <c r="BW183" s="280">
        <v>1</v>
      </c>
      <c r="BX183" s="281"/>
    </row>
    <row r="184" spans="1:76" ht="12" customHeight="1">
      <c r="A184" s="199"/>
      <c r="B184" s="174">
        <f t="shared" si="9"/>
        <v>169</v>
      </c>
      <c r="C184" s="291"/>
      <c r="D184" s="292"/>
      <c r="E184" s="292"/>
      <c r="F184" s="292"/>
      <c r="G184" s="292"/>
      <c r="H184" s="293"/>
      <c r="I184" s="288" t="s">
        <v>713</v>
      </c>
      <c r="J184" s="289"/>
      <c r="K184" s="289"/>
      <c r="L184" s="289"/>
      <c r="M184" s="289"/>
      <c r="N184" s="289"/>
      <c r="O184" s="289"/>
      <c r="P184" s="290"/>
      <c r="Q184" s="261" t="s">
        <v>752</v>
      </c>
      <c r="R184" s="262"/>
      <c r="S184" s="262"/>
      <c r="T184" s="262"/>
      <c r="U184" s="262"/>
      <c r="V184" s="262"/>
      <c r="W184" s="262"/>
      <c r="X184" s="262"/>
      <c r="Y184" s="262"/>
      <c r="Z184" s="262"/>
      <c r="AA184" s="262"/>
      <c r="AB184" s="262"/>
      <c r="AC184" s="262"/>
      <c r="AD184" s="262"/>
      <c r="AE184" s="262"/>
      <c r="AF184" s="262"/>
      <c r="AG184" s="262"/>
      <c r="AH184" s="262"/>
      <c r="AI184" s="262"/>
      <c r="AJ184" s="262"/>
      <c r="AK184" s="262"/>
      <c r="AL184" s="262"/>
      <c r="AM184" s="262"/>
      <c r="AN184" s="263"/>
      <c r="AO184" s="175">
        <f t="shared" si="10"/>
        <v>169</v>
      </c>
      <c r="AP184" s="291"/>
      <c r="AQ184" s="292"/>
      <c r="AR184" s="292"/>
      <c r="AS184" s="292"/>
      <c r="AT184" s="292"/>
      <c r="AU184" s="293"/>
      <c r="AV184" s="288" t="s">
        <v>1107</v>
      </c>
      <c r="AW184" s="289"/>
      <c r="AX184" s="289"/>
      <c r="AY184" s="289"/>
      <c r="AZ184" s="289"/>
      <c r="BA184" s="289"/>
      <c r="BB184" s="289"/>
      <c r="BC184" s="290"/>
      <c r="BD184" s="179"/>
      <c r="BE184" s="180"/>
      <c r="BF184" s="261" t="s">
        <v>1108</v>
      </c>
      <c r="BG184" s="262"/>
      <c r="BH184" s="262"/>
      <c r="BI184" s="262"/>
      <c r="BJ184" s="262"/>
      <c r="BK184" s="262"/>
      <c r="BL184" s="262"/>
      <c r="BM184" s="262"/>
      <c r="BN184" s="263"/>
      <c r="BO184" s="261" t="s">
        <v>1109</v>
      </c>
      <c r="BP184" s="262"/>
      <c r="BQ184" s="262"/>
      <c r="BR184" s="262"/>
      <c r="BS184" s="262"/>
      <c r="BT184" s="263"/>
      <c r="BU184" s="241"/>
      <c r="BW184" s="280">
        <v>8</v>
      </c>
      <c r="BX184" s="281"/>
    </row>
    <row r="185" spans="1:76" ht="12" customHeight="1">
      <c r="A185" s="199"/>
      <c r="B185" s="174">
        <f t="shared" si="9"/>
        <v>170</v>
      </c>
      <c r="C185" s="291"/>
      <c r="D185" s="292"/>
      <c r="E185" s="292"/>
      <c r="F185" s="292"/>
      <c r="G185" s="292"/>
      <c r="H185" s="293"/>
      <c r="I185" s="288" t="s">
        <v>713</v>
      </c>
      <c r="J185" s="289"/>
      <c r="K185" s="289"/>
      <c r="L185" s="289"/>
      <c r="M185" s="289"/>
      <c r="N185" s="289"/>
      <c r="O185" s="289"/>
      <c r="P185" s="290"/>
      <c r="Q185" s="261" t="s">
        <v>752</v>
      </c>
      <c r="R185" s="262"/>
      <c r="S185" s="262"/>
      <c r="T185" s="262"/>
      <c r="U185" s="262"/>
      <c r="V185" s="262"/>
      <c r="W185" s="262"/>
      <c r="X185" s="262"/>
      <c r="Y185" s="262"/>
      <c r="Z185" s="262"/>
      <c r="AA185" s="262"/>
      <c r="AB185" s="262"/>
      <c r="AC185" s="262"/>
      <c r="AD185" s="262"/>
      <c r="AE185" s="262"/>
      <c r="AF185" s="262"/>
      <c r="AG185" s="262"/>
      <c r="AH185" s="262"/>
      <c r="AI185" s="262"/>
      <c r="AJ185" s="262"/>
      <c r="AK185" s="262"/>
      <c r="AL185" s="262"/>
      <c r="AM185" s="262"/>
      <c r="AN185" s="263"/>
      <c r="AO185" s="175">
        <f t="shared" si="10"/>
        <v>170</v>
      </c>
      <c r="AP185" s="291"/>
      <c r="AQ185" s="292"/>
      <c r="AR185" s="292"/>
      <c r="AS185" s="292"/>
      <c r="AT185" s="292"/>
      <c r="AU185" s="293"/>
      <c r="AV185" s="288" t="s">
        <v>1110</v>
      </c>
      <c r="AW185" s="289"/>
      <c r="AX185" s="289"/>
      <c r="AY185" s="289"/>
      <c r="AZ185" s="289"/>
      <c r="BA185" s="289"/>
      <c r="BB185" s="289"/>
      <c r="BC185" s="290"/>
      <c r="BD185" s="179"/>
      <c r="BE185" s="180"/>
      <c r="BF185" s="261" t="s">
        <v>1111</v>
      </c>
      <c r="BG185" s="262"/>
      <c r="BH185" s="262"/>
      <c r="BI185" s="262"/>
      <c r="BJ185" s="262"/>
      <c r="BK185" s="262"/>
      <c r="BL185" s="262"/>
      <c r="BM185" s="262"/>
      <c r="BN185" s="263"/>
      <c r="BO185" s="261" t="s">
        <v>1112</v>
      </c>
      <c r="BP185" s="262"/>
      <c r="BQ185" s="262"/>
      <c r="BR185" s="262"/>
      <c r="BS185" s="262"/>
      <c r="BT185" s="263"/>
      <c r="BU185" s="241"/>
      <c r="BW185" s="280">
        <v>8</v>
      </c>
      <c r="BX185" s="281"/>
    </row>
    <row r="186" spans="1:76" ht="12" customHeight="1">
      <c r="A186" s="199"/>
      <c r="B186" s="174">
        <f t="shared" si="9"/>
        <v>171</v>
      </c>
      <c r="C186" s="291"/>
      <c r="D186" s="292"/>
      <c r="E186" s="292"/>
      <c r="F186" s="292"/>
      <c r="G186" s="292"/>
      <c r="H186" s="293"/>
      <c r="I186" s="288" t="s">
        <v>713</v>
      </c>
      <c r="J186" s="289"/>
      <c r="K186" s="289"/>
      <c r="L186" s="289"/>
      <c r="M186" s="289"/>
      <c r="N186" s="289"/>
      <c r="O186" s="289"/>
      <c r="P186" s="290"/>
      <c r="Q186" s="261" t="s">
        <v>752</v>
      </c>
      <c r="R186" s="262"/>
      <c r="S186" s="262"/>
      <c r="T186" s="262"/>
      <c r="U186" s="262"/>
      <c r="V186" s="262"/>
      <c r="W186" s="262"/>
      <c r="X186" s="262"/>
      <c r="Y186" s="262"/>
      <c r="Z186" s="262"/>
      <c r="AA186" s="262"/>
      <c r="AB186" s="262"/>
      <c r="AC186" s="262"/>
      <c r="AD186" s="262"/>
      <c r="AE186" s="262"/>
      <c r="AF186" s="262"/>
      <c r="AG186" s="262"/>
      <c r="AH186" s="262"/>
      <c r="AI186" s="262"/>
      <c r="AJ186" s="262"/>
      <c r="AK186" s="262"/>
      <c r="AL186" s="262"/>
      <c r="AM186" s="262"/>
      <c r="AN186" s="263"/>
      <c r="AO186" s="175">
        <f t="shared" si="10"/>
        <v>171</v>
      </c>
      <c r="AP186" s="291"/>
      <c r="AQ186" s="292"/>
      <c r="AR186" s="292"/>
      <c r="AS186" s="292"/>
      <c r="AT186" s="292"/>
      <c r="AU186" s="293"/>
      <c r="AV186" s="288" t="s">
        <v>98</v>
      </c>
      <c r="AW186" s="289"/>
      <c r="AX186" s="289"/>
      <c r="AY186" s="289"/>
      <c r="AZ186" s="289"/>
      <c r="BA186" s="289"/>
      <c r="BB186" s="289"/>
      <c r="BC186" s="290"/>
      <c r="BD186" s="179"/>
      <c r="BE186" s="180"/>
      <c r="BF186" s="261" t="s">
        <v>1113</v>
      </c>
      <c r="BG186" s="262"/>
      <c r="BH186" s="262"/>
      <c r="BI186" s="262"/>
      <c r="BJ186" s="262"/>
      <c r="BK186" s="262"/>
      <c r="BL186" s="262"/>
      <c r="BM186" s="262"/>
      <c r="BN186" s="263"/>
      <c r="BO186" s="261" t="s">
        <v>1114</v>
      </c>
      <c r="BP186" s="262"/>
      <c r="BQ186" s="262"/>
      <c r="BR186" s="262"/>
      <c r="BS186" s="262"/>
      <c r="BT186" s="263"/>
      <c r="BU186" s="241"/>
      <c r="BW186" s="280">
        <v>2</v>
      </c>
      <c r="BX186" s="281"/>
    </row>
    <row r="187" spans="1:76" ht="12" customHeight="1">
      <c r="A187" s="199"/>
      <c r="B187" s="174">
        <f t="shared" si="9"/>
        <v>172</v>
      </c>
      <c r="C187" s="291"/>
      <c r="D187" s="292"/>
      <c r="E187" s="292"/>
      <c r="F187" s="292"/>
      <c r="G187" s="292"/>
      <c r="H187" s="293"/>
      <c r="I187" s="288" t="s">
        <v>713</v>
      </c>
      <c r="J187" s="289"/>
      <c r="K187" s="289"/>
      <c r="L187" s="289"/>
      <c r="M187" s="289"/>
      <c r="N187" s="289"/>
      <c r="O187" s="289"/>
      <c r="P187" s="290"/>
      <c r="Q187" s="261" t="s">
        <v>752</v>
      </c>
      <c r="R187" s="262"/>
      <c r="S187" s="262"/>
      <c r="T187" s="262"/>
      <c r="U187" s="262"/>
      <c r="V187" s="262"/>
      <c r="W187" s="262"/>
      <c r="X187" s="262"/>
      <c r="Y187" s="262"/>
      <c r="Z187" s="262"/>
      <c r="AA187" s="262"/>
      <c r="AB187" s="262"/>
      <c r="AC187" s="262"/>
      <c r="AD187" s="262"/>
      <c r="AE187" s="262"/>
      <c r="AF187" s="262"/>
      <c r="AG187" s="262"/>
      <c r="AH187" s="262"/>
      <c r="AI187" s="262"/>
      <c r="AJ187" s="262"/>
      <c r="AK187" s="262"/>
      <c r="AL187" s="262"/>
      <c r="AM187" s="262"/>
      <c r="AN187" s="263"/>
      <c r="AO187" s="175">
        <f t="shared" si="10"/>
        <v>172</v>
      </c>
      <c r="AP187" s="291"/>
      <c r="AQ187" s="292"/>
      <c r="AR187" s="292"/>
      <c r="AS187" s="292"/>
      <c r="AT187" s="292"/>
      <c r="AU187" s="293"/>
      <c r="AV187" s="288" t="s">
        <v>29</v>
      </c>
      <c r="AW187" s="289"/>
      <c r="AX187" s="289"/>
      <c r="AY187" s="289"/>
      <c r="AZ187" s="289"/>
      <c r="BA187" s="289"/>
      <c r="BB187" s="289"/>
      <c r="BC187" s="290"/>
      <c r="BD187" s="179"/>
      <c r="BE187" s="180"/>
      <c r="BF187" s="261" t="s">
        <v>1115</v>
      </c>
      <c r="BG187" s="262"/>
      <c r="BH187" s="262"/>
      <c r="BI187" s="262"/>
      <c r="BJ187" s="262"/>
      <c r="BK187" s="262"/>
      <c r="BL187" s="262"/>
      <c r="BM187" s="262"/>
      <c r="BN187" s="263"/>
      <c r="BO187" s="261" t="s">
        <v>1116</v>
      </c>
      <c r="BP187" s="262"/>
      <c r="BQ187" s="262"/>
      <c r="BR187" s="262"/>
      <c r="BS187" s="262"/>
      <c r="BT187" s="263"/>
      <c r="BU187" s="241"/>
      <c r="BW187" s="280">
        <v>8</v>
      </c>
      <c r="BX187" s="281"/>
    </row>
    <row r="188" spans="1:76" ht="12" customHeight="1">
      <c r="A188" s="199"/>
      <c r="B188" s="174">
        <f t="shared" si="9"/>
        <v>173</v>
      </c>
      <c r="C188" s="291"/>
      <c r="D188" s="292"/>
      <c r="E188" s="292"/>
      <c r="F188" s="292"/>
      <c r="G188" s="292"/>
      <c r="H188" s="293"/>
      <c r="I188" s="288" t="s">
        <v>713</v>
      </c>
      <c r="J188" s="289"/>
      <c r="K188" s="289"/>
      <c r="L188" s="289"/>
      <c r="M188" s="289"/>
      <c r="N188" s="289"/>
      <c r="O188" s="289"/>
      <c r="P188" s="290"/>
      <c r="Q188" s="261" t="s">
        <v>752</v>
      </c>
      <c r="R188" s="262"/>
      <c r="S188" s="262"/>
      <c r="T188" s="262"/>
      <c r="U188" s="262"/>
      <c r="V188" s="262"/>
      <c r="W188" s="262"/>
      <c r="X188" s="262"/>
      <c r="Y188" s="262"/>
      <c r="Z188" s="262"/>
      <c r="AA188" s="262"/>
      <c r="AB188" s="262"/>
      <c r="AC188" s="262"/>
      <c r="AD188" s="262"/>
      <c r="AE188" s="262"/>
      <c r="AF188" s="262"/>
      <c r="AG188" s="262"/>
      <c r="AH188" s="262"/>
      <c r="AI188" s="262"/>
      <c r="AJ188" s="262"/>
      <c r="AK188" s="262"/>
      <c r="AL188" s="262"/>
      <c r="AM188" s="262"/>
      <c r="AN188" s="263"/>
      <c r="AO188" s="175">
        <f t="shared" si="10"/>
        <v>173</v>
      </c>
      <c r="AP188" s="291"/>
      <c r="AQ188" s="292"/>
      <c r="AR188" s="292"/>
      <c r="AS188" s="292"/>
      <c r="AT188" s="292"/>
      <c r="AU188" s="293"/>
      <c r="AV188" s="288" t="s">
        <v>30</v>
      </c>
      <c r="AW188" s="289"/>
      <c r="AX188" s="289"/>
      <c r="AY188" s="289"/>
      <c r="AZ188" s="289"/>
      <c r="BA188" s="289"/>
      <c r="BB188" s="289"/>
      <c r="BC188" s="290"/>
      <c r="BD188" s="179"/>
      <c r="BE188" s="180"/>
      <c r="BF188" s="261" t="s">
        <v>1117</v>
      </c>
      <c r="BG188" s="262"/>
      <c r="BH188" s="262"/>
      <c r="BI188" s="262"/>
      <c r="BJ188" s="262"/>
      <c r="BK188" s="262"/>
      <c r="BL188" s="262"/>
      <c r="BM188" s="262"/>
      <c r="BN188" s="263"/>
      <c r="BO188" s="261" t="s">
        <v>1118</v>
      </c>
      <c r="BP188" s="262"/>
      <c r="BQ188" s="262"/>
      <c r="BR188" s="262"/>
      <c r="BS188" s="262"/>
      <c r="BT188" s="263"/>
      <c r="BU188" s="241"/>
      <c r="BW188" s="280">
        <v>2</v>
      </c>
      <c r="BX188" s="281"/>
    </row>
    <row r="189" spans="1:76" ht="12" customHeight="1">
      <c r="A189" s="199"/>
      <c r="B189" s="174">
        <f t="shared" si="9"/>
        <v>174</v>
      </c>
      <c r="C189" s="291"/>
      <c r="D189" s="292"/>
      <c r="E189" s="292"/>
      <c r="F189" s="292"/>
      <c r="G189" s="292"/>
      <c r="H189" s="293"/>
      <c r="I189" s="288" t="s">
        <v>713</v>
      </c>
      <c r="J189" s="289"/>
      <c r="K189" s="289"/>
      <c r="L189" s="289"/>
      <c r="M189" s="289"/>
      <c r="N189" s="289"/>
      <c r="O189" s="289"/>
      <c r="P189" s="290"/>
      <c r="Q189" s="261" t="s">
        <v>752</v>
      </c>
      <c r="R189" s="262"/>
      <c r="S189" s="262"/>
      <c r="T189" s="262"/>
      <c r="U189" s="262"/>
      <c r="V189" s="262"/>
      <c r="W189" s="262"/>
      <c r="X189" s="262"/>
      <c r="Y189" s="262"/>
      <c r="Z189" s="262"/>
      <c r="AA189" s="262"/>
      <c r="AB189" s="262"/>
      <c r="AC189" s="262"/>
      <c r="AD189" s="262"/>
      <c r="AE189" s="262"/>
      <c r="AF189" s="262"/>
      <c r="AG189" s="262"/>
      <c r="AH189" s="262"/>
      <c r="AI189" s="262"/>
      <c r="AJ189" s="262"/>
      <c r="AK189" s="262"/>
      <c r="AL189" s="262"/>
      <c r="AM189" s="262"/>
      <c r="AN189" s="263"/>
      <c r="AO189" s="175">
        <f t="shared" si="10"/>
        <v>174</v>
      </c>
      <c r="AP189" s="291"/>
      <c r="AQ189" s="292"/>
      <c r="AR189" s="292"/>
      <c r="AS189" s="292"/>
      <c r="AT189" s="292"/>
      <c r="AU189" s="293"/>
      <c r="AV189" s="288" t="s">
        <v>1119</v>
      </c>
      <c r="AW189" s="289"/>
      <c r="AX189" s="289"/>
      <c r="AY189" s="289"/>
      <c r="AZ189" s="289"/>
      <c r="BA189" s="289"/>
      <c r="BB189" s="289"/>
      <c r="BC189" s="290"/>
      <c r="BD189" s="179"/>
      <c r="BE189" s="180"/>
      <c r="BF189" s="261" t="s">
        <v>1120</v>
      </c>
      <c r="BG189" s="262"/>
      <c r="BH189" s="262"/>
      <c r="BI189" s="262"/>
      <c r="BJ189" s="262"/>
      <c r="BK189" s="262"/>
      <c r="BL189" s="262"/>
      <c r="BM189" s="262"/>
      <c r="BN189" s="263"/>
      <c r="BO189" s="261" t="s">
        <v>1121</v>
      </c>
      <c r="BP189" s="262"/>
      <c r="BQ189" s="262"/>
      <c r="BR189" s="262"/>
      <c r="BS189" s="262"/>
      <c r="BT189" s="263"/>
      <c r="BU189" s="241"/>
      <c r="BW189" s="280">
        <v>8</v>
      </c>
      <c r="BX189" s="281"/>
    </row>
    <row r="190" spans="1:76" ht="12" customHeight="1">
      <c r="A190" s="199"/>
      <c r="B190" s="174">
        <f t="shared" si="9"/>
        <v>175</v>
      </c>
      <c r="C190" s="291"/>
      <c r="D190" s="292"/>
      <c r="E190" s="292"/>
      <c r="F190" s="292"/>
      <c r="G190" s="292"/>
      <c r="H190" s="293"/>
      <c r="I190" s="288" t="s">
        <v>713</v>
      </c>
      <c r="J190" s="289"/>
      <c r="K190" s="289"/>
      <c r="L190" s="289"/>
      <c r="M190" s="289"/>
      <c r="N190" s="289"/>
      <c r="O190" s="289"/>
      <c r="P190" s="290"/>
      <c r="Q190" s="261" t="s">
        <v>752</v>
      </c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3"/>
      <c r="AO190" s="175">
        <f t="shared" si="10"/>
        <v>175</v>
      </c>
      <c r="AP190" s="291"/>
      <c r="AQ190" s="292"/>
      <c r="AR190" s="292"/>
      <c r="AS190" s="292"/>
      <c r="AT190" s="292"/>
      <c r="AU190" s="293"/>
      <c r="AV190" s="288" t="s">
        <v>31</v>
      </c>
      <c r="AW190" s="289"/>
      <c r="AX190" s="289"/>
      <c r="AY190" s="289"/>
      <c r="AZ190" s="289"/>
      <c r="BA190" s="289"/>
      <c r="BB190" s="289"/>
      <c r="BC190" s="290"/>
      <c r="BD190" s="179"/>
      <c r="BE190" s="180"/>
      <c r="BF190" s="261" t="s">
        <v>1122</v>
      </c>
      <c r="BG190" s="262"/>
      <c r="BH190" s="262"/>
      <c r="BI190" s="262"/>
      <c r="BJ190" s="262"/>
      <c r="BK190" s="262"/>
      <c r="BL190" s="262"/>
      <c r="BM190" s="262"/>
      <c r="BN190" s="263"/>
      <c r="BO190" s="261" t="s">
        <v>1123</v>
      </c>
      <c r="BP190" s="262"/>
      <c r="BQ190" s="262"/>
      <c r="BR190" s="262"/>
      <c r="BS190" s="262"/>
      <c r="BT190" s="263"/>
      <c r="BU190" s="241"/>
      <c r="BW190" s="280">
        <v>2</v>
      </c>
      <c r="BX190" s="281"/>
    </row>
    <row r="191" spans="1:76" ht="12" customHeight="1">
      <c r="A191" s="199"/>
      <c r="B191" s="174">
        <f t="shared" si="9"/>
        <v>176</v>
      </c>
      <c r="C191" s="286"/>
      <c r="D191" s="285"/>
      <c r="E191" s="285"/>
      <c r="F191" s="285"/>
      <c r="G191" s="285"/>
      <c r="H191" s="287"/>
      <c r="I191" s="288" t="s">
        <v>713</v>
      </c>
      <c r="J191" s="289"/>
      <c r="K191" s="289"/>
      <c r="L191" s="289"/>
      <c r="M191" s="289"/>
      <c r="N191" s="289"/>
      <c r="O191" s="289"/>
      <c r="P191" s="290"/>
      <c r="Q191" s="261" t="s">
        <v>752</v>
      </c>
      <c r="R191" s="262"/>
      <c r="S191" s="262"/>
      <c r="T191" s="262"/>
      <c r="U191" s="262"/>
      <c r="V191" s="262"/>
      <c r="W191" s="262"/>
      <c r="X191" s="262"/>
      <c r="Y191" s="262"/>
      <c r="Z191" s="262"/>
      <c r="AA191" s="262"/>
      <c r="AB191" s="262"/>
      <c r="AC191" s="262"/>
      <c r="AD191" s="262"/>
      <c r="AE191" s="262"/>
      <c r="AF191" s="262"/>
      <c r="AG191" s="262"/>
      <c r="AH191" s="262"/>
      <c r="AI191" s="262"/>
      <c r="AJ191" s="262"/>
      <c r="AK191" s="262"/>
      <c r="AL191" s="262"/>
      <c r="AM191" s="262"/>
      <c r="AN191" s="263"/>
      <c r="AO191" s="181">
        <f t="shared" si="10"/>
        <v>176</v>
      </c>
      <c r="AP191" s="291"/>
      <c r="AQ191" s="292"/>
      <c r="AR191" s="292"/>
      <c r="AS191" s="292"/>
      <c r="AT191" s="292"/>
      <c r="AU191" s="293"/>
      <c r="AV191" s="288" t="s">
        <v>1124</v>
      </c>
      <c r="AW191" s="289"/>
      <c r="AX191" s="289"/>
      <c r="AY191" s="289"/>
      <c r="AZ191" s="289"/>
      <c r="BA191" s="289"/>
      <c r="BB191" s="289"/>
      <c r="BC191" s="290"/>
      <c r="BD191" s="179"/>
      <c r="BE191" s="180"/>
      <c r="BF191" s="261" t="s">
        <v>1125</v>
      </c>
      <c r="BG191" s="262"/>
      <c r="BH191" s="262"/>
      <c r="BI191" s="262"/>
      <c r="BJ191" s="262"/>
      <c r="BK191" s="262"/>
      <c r="BL191" s="262"/>
      <c r="BM191" s="262"/>
      <c r="BN191" s="263"/>
      <c r="BO191" s="261" t="s">
        <v>1126</v>
      </c>
      <c r="BP191" s="262"/>
      <c r="BQ191" s="262"/>
      <c r="BR191" s="262"/>
      <c r="BS191" s="262"/>
      <c r="BT191" s="263"/>
      <c r="BU191" s="241"/>
      <c r="BW191" s="280">
        <v>2</v>
      </c>
      <c r="BX191" s="281"/>
    </row>
    <row r="192" spans="1:76" ht="12" customHeight="1">
      <c r="A192" s="199"/>
      <c r="B192" s="174">
        <f t="shared" si="9"/>
        <v>177</v>
      </c>
      <c r="C192" s="297" t="s">
        <v>676</v>
      </c>
      <c r="D192" s="298"/>
      <c r="E192" s="298"/>
      <c r="F192" s="298"/>
      <c r="G192" s="298"/>
      <c r="H192" s="299"/>
      <c r="I192" s="288" t="s">
        <v>1127</v>
      </c>
      <c r="J192" s="289"/>
      <c r="K192" s="289"/>
      <c r="L192" s="289"/>
      <c r="M192" s="289"/>
      <c r="N192" s="289"/>
      <c r="O192" s="289"/>
      <c r="P192" s="290"/>
      <c r="Q192" s="261" t="s">
        <v>677</v>
      </c>
      <c r="R192" s="262"/>
      <c r="S192" s="262"/>
      <c r="T192" s="262"/>
      <c r="U192" s="262"/>
      <c r="V192" s="262"/>
      <c r="W192" s="262"/>
      <c r="X192" s="262"/>
      <c r="Y192" s="262"/>
      <c r="Z192" s="262"/>
      <c r="AA192" s="262"/>
      <c r="AB192" s="262"/>
      <c r="AC192" s="262"/>
      <c r="AD192" s="262"/>
      <c r="AE192" s="262"/>
      <c r="AF192" s="262"/>
      <c r="AG192" s="262"/>
      <c r="AH192" s="262"/>
      <c r="AI192" s="262"/>
      <c r="AJ192" s="262"/>
      <c r="AK192" s="262"/>
      <c r="AL192" s="262"/>
      <c r="AM192" s="262"/>
      <c r="AN192" s="263"/>
      <c r="AO192" s="181">
        <f t="shared" si="10"/>
        <v>177</v>
      </c>
      <c r="AP192" s="291"/>
      <c r="AQ192" s="292"/>
      <c r="AR192" s="292"/>
      <c r="AS192" s="292"/>
      <c r="AT192" s="292"/>
      <c r="AU192" s="293"/>
      <c r="AV192" s="288" t="s">
        <v>1128</v>
      </c>
      <c r="AW192" s="289"/>
      <c r="AX192" s="289"/>
      <c r="AY192" s="289"/>
      <c r="AZ192" s="289"/>
      <c r="BA192" s="289"/>
      <c r="BB192" s="289"/>
      <c r="BC192" s="290"/>
      <c r="BD192" s="179"/>
      <c r="BE192" s="180"/>
      <c r="BF192" s="261" t="s">
        <v>1128</v>
      </c>
      <c r="BG192" s="262"/>
      <c r="BH192" s="262"/>
      <c r="BI192" s="262"/>
      <c r="BJ192" s="262"/>
      <c r="BK192" s="262"/>
      <c r="BL192" s="262"/>
      <c r="BM192" s="262"/>
      <c r="BN192" s="263"/>
      <c r="BO192" s="261" t="s">
        <v>1129</v>
      </c>
      <c r="BP192" s="262"/>
      <c r="BQ192" s="262"/>
      <c r="BR192" s="262"/>
      <c r="BS192" s="262"/>
      <c r="BT192" s="263"/>
      <c r="BU192" s="241"/>
      <c r="BW192" s="280">
        <v>8</v>
      </c>
      <c r="BX192" s="281"/>
    </row>
    <row r="193" spans="1:76" ht="12" customHeight="1">
      <c r="A193" s="199"/>
      <c r="B193" s="185">
        <f t="shared" si="9"/>
        <v>178</v>
      </c>
      <c r="C193" s="300"/>
      <c r="D193" s="301"/>
      <c r="E193" s="301"/>
      <c r="F193" s="301"/>
      <c r="G193" s="301"/>
      <c r="H193" s="302"/>
      <c r="I193" s="288" t="s">
        <v>636</v>
      </c>
      <c r="J193" s="289"/>
      <c r="K193" s="289"/>
      <c r="L193" s="289"/>
      <c r="M193" s="289"/>
      <c r="N193" s="289"/>
      <c r="O193" s="289"/>
      <c r="P193" s="290"/>
      <c r="Q193" s="261" t="s">
        <v>677</v>
      </c>
      <c r="R193" s="262"/>
      <c r="S193" s="262"/>
      <c r="T193" s="262"/>
      <c r="U193" s="262"/>
      <c r="V193" s="262"/>
      <c r="W193" s="262"/>
      <c r="X193" s="262"/>
      <c r="Y193" s="262"/>
      <c r="Z193" s="262"/>
      <c r="AA193" s="262"/>
      <c r="AB193" s="262"/>
      <c r="AC193" s="262"/>
      <c r="AD193" s="262"/>
      <c r="AE193" s="262"/>
      <c r="AF193" s="262"/>
      <c r="AG193" s="262"/>
      <c r="AH193" s="262"/>
      <c r="AI193" s="262"/>
      <c r="AJ193" s="262"/>
      <c r="AK193" s="262"/>
      <c r="AL193" s="262"/>
      <c r="AM193" s="262"/>
      <c r="AN193" s="263"/>
      <c r="AO193" s="182">
        <f t="shared" si="10"/>
        <v>178</v>
      </c>
      <c r="AP193" s="300"/>
      <c r="AQ193" s="301"/>
      <c r="AR193" s="301"/>
      <c r="AS193" s="301"/>
      <c r="AT193" s="301"/>
      <c r="AU193" s="302"/>
      <c r="AV193" s="288" t="s">
        <v>636</v>
      </c>
      <c r="AW193" s="289"/>
      <c r="AX193" s="289"/>
      <c r="AY193" s="289"/>
      <c r="AZ193" s="289"/>
      <c r="BA193" s="289"/>
      <c r="BB193" s="289"/>
      <c r="BC193" s="290"/>
      <c r="BD193" s="179"/>
      <c r="BE193" s="180"/>
      <c r="BF193" s="261" t="s">
        <v>636</v>
      </c>
      <c r="BG193" s="262"/>
      <c r="BH193" s="262"/>
      <c r="BI193" s="262"/>
      <c r="BJ193" s="262"/>
      <c r="BK193" s="262"/>
      <c r="BL193" s="262"/>
      <c r="BM193" s="262"/>
      <c r="BN193" s="263"/>
      <c r="BO193" s="261" t="s">
        <v>1130</v>
      </c>
      <c r="BP193" s="262"/>
      <c r="BQ193" s="262"/>
      <c r="BR193" s="262"/>
      <c r="BS193" s="262"/>
      <c r="BT193" s="263"/>
      <c r="BU193" s="241"/>
      <c r="BW193" s="280">
        <v>8</v>
      </c>
      <c r="BX193" s="281"/>
    </row>
    <row r="194" spans="1:76" ht="12" customHeight="1">
      <c r="A194" s="201"/>
      <c r="B194" s="131"/>
      <c r="C194" s="282"/>
      <c r="D194" s="282"/>
      <c r="E194" s="282"/>
      <c r="F194" s="282"/>
      <c r="G194" s="282"/>
      <c r="H194" s="282"/>
      <c r="I194" s="187"/>
      <c r="J194" s="187"/>
      <c r="K194" s="187"/>
      <c r="L194" s="187"/>
      <c r="M194" s="187"/>
      <c r="N194" s="187"/>
      <c r="O194" s="187"/>
      <c r="P194" s="187"/>
      <c r="Q194" s="284"/>
      <c r="R194" s="284"/>
      <c r="S194" s="284"/>
      <c r="T194" s="284"/>
      <c r="U194" s="284"/>
      <c r="V194" s="284"/>
      <c r="W194" s="284"/>
      <c r="X194" s="284"/>
      <c r="Y194" s="284"/>
      <c r="Z194" s="284"/>
      <c r="AA194" s="284"/>
      <c r="AB194" s="284"/>
      <c r="AC194" s="284"/>
      <c r="AD194" s="284"/>
      <c r="AE194" s="284"/>
      <c r="AF194" s="284"/>
      <c r="AG194" s="284"/>
      <c r="AH194" s="284"/>
      <c r="AI194" s="284"/>
      <c r="AJ194" s="284"/>
      <c r="AK194" s="284"/>
      <c r="AL194" s="284"/>
      <c r="AM194" s="284"/>
      <c r="AN194" s="284"/>
      <c r="AO194" s="192"/>
      <c r="AP194" s="285"/>
      <c r="AQ194" s="285"/>
      <c r="AR194" s="285"/>
      <c r="AS194" s="285"/>
      <c r="AT194" s="285"/>
      <c r="AU194" s="285"/>
      <c r="AV194" s="187"/>
      <c r="AW194" s="187"/>
      <c r="AX194" s="187"/>
      <c r="AY194" s="187"/>
      <c r="AZ194" s="187"/>
      <c r="BA194" s="187"/>
      <c r="BB194" s="187"/>
      <c r="BC194" s="187"/>
      <c r="BD194" s="202"/>
      <c r="BE194" s="203"/>
      <c r="BF194" s="147"/>
      <c r="BG194" s="148"/>
      <c r="BH194" s="148"/>
      <c r="BI194" s="148"/>
      <c r="BJ194" s="148"/>
      <c r="BK194" s="148"/>
      <c r="BL194" s="148"/>
      <c r="BM194" s="148"/>
      <c r="BN194" s="149"/>
      <c r="BO194" s="147"/>
      <c r="BP194" s="148"/>
      <c r="BQ194" s="148"/>
      <c r="BR194" s="148"/>
      <c r="BS194" s="148"/>
      <c r="BT194" s="149"/>
      <c r="BU194" s="241"/>
      <c r="BW194" s="206"/>
      <c r="BX194" s="207"/>
    </row>
    <row r="195" spans="1:76" ht="12" customHeight="1">
      <c r="A195" s="199"/>
      <c r="B195" s="174">
        <f>B193+1</f>
        <v>179</v>
      </c>
      <c r="C195" s="297" t="s">
        <v>676</v>
      </c>
      <c r="D195" s="298"/>
      <c r="E195" s="298"/>
      <c r="F195" s="298"/>
      <c r="G195" s="298"/>
      <c r="H195" s="299"/>
      <c r="I195" s="288" t="s">
        <v>638</v>
      </c>
      <c r="J195" s="289"/>
      <c r="K195" s="289"/>
      <c r="L195" s="289"/>
      <c r="M195" s="289"/>
      <c r="N195" s="289"/>
      <c r="O195" s="289"/>
      <c r="P195" s="290"/>
      <c r="Q195" s="261" t="s">
        <v>677</v>
      </c>
      <c r="R195" s="262"/>
      <c r="S195" s="262"/>
      <c r="T195" s="262"/>
      <c r="U195" s="262"/>
      <c r="V195" s="262"/>
      <c r="W195" s="262"/>
      <c r="X195" s="262"/>
      <c r="Y195" s="262"/>
      <c r="Z195" s="262"/>
      <c r="AA195" s="262"/>
      <c r="AB195" s="262"/>
      <c r="AC195" s="262"/>
      <c r="AD195" s="262"/>
      <c r="AE195" s="262"/>
      <c r="AF195" s="262"/>
      <c r="AG195" s="262"/>
      <c r="AH195" s="262"/>
      <c r="AI195" s="262"/>
      <c r="AJ195" s="262"/>
      <c r="AK195" s="262"/>
      <c r="AL195" s="262"/>
      <c r="AM195" s="262"/>
      <c r="AN195" s="263"/>
      <c r="AO195" s="184">
        <f>AO193+1</f>
        <v>179</v>
      </c>
      <c r="AP195" s="297" t="s">
        <v>678</v>
      </c>
      <c r="AQ195" s="298"/>
      <c r="AR195" s="298"/>
      <c r="AS195" s="298"/>
      <c r="AT195" s="298"/>
      <c r="AU195" s="299"/>
      <c r="AV195" s="288" t="s">
        <v>638</v>
      </c>
      <c r="AW195" s="289"/>
      <c r="AX195" s="289"/>
      <c r="AY195" s="289"/>
      <c r="AZ195" s="289"/>
      <c r="BA195" s="289"/>
      <c r="BB195" s="289"/>
      <c r="BC195" s="290"/>
      <c r="BD195" s="179"/>
      <c r="BE195" s="180"/>
      <c r="BF195" s="261" t="s">
        <v>638</v>
      </c>
      <c r="BG195" s="262"/>
      <c r="BH195" s="262"/>
      <c r="BI195" s="262"/>
      <c r="BJ195" s="262"/>
      <c r="BK195" s="262"/>
      <c r="BL195" s="262"/>
      <c r="BM195" s="262"/>
      <c r="BN195" s="263"/>
      <c r="BO195" s="261" t="s">
        <v>1131</v>
      </c>
      <c r="BP195" s="262"/>
      <c r="BQ195" s="262"/>
      <c r="BR195" s="262"/>
      <c r="BS195" s="262"/>
      <c r="BT195" s="263"/>
      <c r="BU195" s="241"/>
      <c r="BW195" s="280">
        <v>8</v>
      </c>
      <c r="BX195" s="281"/>
    </row>
    <row r="196" spans="1:76" ht="12" customHeight="1">
      <c r="A196" s="199"/>
      <c r="B196" s="185">
        <f t="shared" si="9"/>
        <v>180</v>
      </c>
      <c r="C196" s="291"/>
      <c r="D196" s="292"/>
      <c r="E196" s="292"/>
      <c r="F196" s="292"/>
      <c r="G196" s="292"/>
      <c r="H196" s="293"/>
      <c r="I196" s="288" t="s">
        <v>640</v>
      </c>
      <c r="J196" s="289"/>
      <c r="K196" s="289"/>
      <c r="L196" s="289"/>
      <c r="M196" s="289"/>
      <c r="N196" s="289"/>
      <c r="O196" s="289"/>
      <c r="P196" s="290"/>
      <c r="Q196" s="261" t="s">
        <v>677</v>
      </c>
      <c r="R196" s="262"/>
      <c r="S196" s="262"/>
      <c r="T196" s="262"/>
      <c r="U196" s="262"/>
      <c r="V196" s="262"/>
      <c r="W196" s="262"/>
      <c r="X196" s="262"/>
      <c r="Y196" s="262"/>
      <c r="Z196" s="262"/>
      <c r="AA196" s="262"/>
      <c r="AB196" s="262"/>
      <c r="AC196" s="262"/>
      <c r="AD196" s="262"/>
      <c r="AE196" s="262"/>
      <c r="AF196" s="262"/>
      <c r="AG196" s="262"/>
      <c r="AH196" s="262"/>
      <c r="AI196" s="262"/>
      <c r="AJ196" s="262"/>
      <c r="AK196" s="262"/>
      <c r="AL196" s="262"/>
      <c r="AM196" s="262"/>
      <c r="AN196" s="263"/>
      <c r="AO196" s="181">
        <f t="shared" si="10"/>
        <v>180</v>
      </c>
      <c r="AP196" s="291"/>
      <c r="AQ196" s="292"/>
      <c r="AR196" s="292"/>
      <c r="AS196" s="292"/>
      <c r="AT196" s="292"/>
      <c r="AU196" s="293"/>
      <c r="AV196" s="288" t="s">
        <v>640</v>
      </c>
      <c r="AW196" s="289"/>
      <c r="AX196" s="289"/>
      <c r="AY196" s="289"/>
      <c r="AZ196" s="289"/>
      <c r="BA196" s="289"/>
      <c r="BB196" s="289"/>
      <c r="BC196" s="290"/>
      <c r="BD196" s="97"/>
      <c r="BE196" s="200"/>
      <c r="BF196" s="261" t="s">
        <v>640</v>
      </c>
      <c r="BG196" s="262"/>
      <c r="BH196" s="262"/>
      <c r="BI196" s="262"/>
      <c r="BJ196" s="262"/>
      <c r="BK196" s="262"/>
      <c r="BL196" s="262"/>
      <c r="BM196" s="262"/>
      <c r="BN196" s="263"/>
      <c r="BO196" s="261" t="s">
        <v>1132</v>
      </c>
      <c r="BP196" s="262"/>
      <c r="BQ196" s="262"/>
      <c r="BR196" s="262"/>
      <c r="BS196" s="262"/>
      <c r="BT196" s="263"/>
      <c r="BU196" s="241"/>
      <c r="BW196" s="280">
        <v>8</v>
      </c>
      <c r="BX196" s="281"/>
    </row>
    <row r="197" spans="1:76" ht="12" customHeight="1">
      <c r="A197" s="199"/>
      <c r="B197" s="174">
        <f>B196+1</f>
        <v>181</v>
      </c>
      <c r="C197" s="291"/>
      <c r="D197" s="292"/>
      <c r="E197" s="292"/>
      <c r="F197" s="292"/>
      <c r="G197" s="292"/>
      <c r="H197" s="293"/>
      <c r="I197" s="288" t="s">
        <v>642</v>
      </c>
      <c r="J197" s="289"/>
      <c r="K197" s="289"/>
      <c r="L197" s="289"/>
      <c r="M197" s="289"/>
      <c r="N197" s="289"/>
      <c r="O197" s="289"/>
      <c r="P197" s="290"/>
      <c r="Q197" s="261" t="s">
        <v>677</v>
      </c>
      <c r="R197" s="262"/>
      <c r="S197" s="262"/>
      <c r="T197" s="262"/>
      <c r="U197" s="262"/>
      <c r="V197" s="262"/>
      <c r="W197" s="262"/>
      <c r="X197" s="262"/>
      <c r="Y197" s="262"/>
      <c r="Z197" s="262"/>
      <c r="AA197" s="262"/>
      <c r="AB197" s="262"/>
      <c r="AC197" s="262"/>
      <c r="AD197" s="262"/>
      <c r="AE197" s="262"/>
      <c r="AF197" s="262"/>
      <c r="AG197" s="262"/>
      <c r="AH197" s="262"/>
      <c r="AI197" s="262"/>
      <c r="AJ197" s="262"/>
      <c r="AK197" s="262"/>
      <c r="AL197" s="262"/>
      <c r="AM197" s="262"/>
      <c r="AN197" s="263"/>
      <c r="AO197" s="175">
        <f>AO196+1</f>
        <v>181</v>
      </c>
      <c r="AP197" s="291"/>
      <c r="AQ197" s="292"/>
      <c r="AR197" s="292"/>
      <c r="AS197" s="292"/>
      <c r="AT197" s="292"/>
      <c r="AU197" s="293"/>
      <c r="AV197" s="288" t="s">
        <v>642</v>
      </c>
      <c r="AW197" s="289"/>
      <c r="AX197" s="289"/>
      <c r="AY197" s="289"/>
      <c r="AZ197" s="289"/>
      <c r="BA197" s="289"/>
      <c r="BB197" s="289"/>
      <c r="BC197" s="290"/>
      <c r="BD197" s="97"/>
      <c r="BE197" s="200"/>
      <c r="BF197" s="261" t="s">
        <v>642</v>
      </c>
      <c r="BG197" s="262"/>
      <c r="BH197" s="262"/>
      <c r="BI197" s="262"/>
      <c r="BJ197" s="262"/>
      <c r="BK197" s="262"/>
      <c r="BL197" s="262"/>
      <c r="BM197" s="262"/>
      <c r="BN197" s="263"/>
      <c r="BO197" s="261" t="s">
        <v>1133</v>
      </c>
      <c r="BP197" s="262"/>
      <c r="BQ197" s="262"/>
      <c r="BR197" s="262"/>
      <c r="BS197" s="262"/>
      <c r="BT197" s="263"/>
      <c r="BU197" s="241"/>
      <c r="BW197" s="280">
        <v>8</v>
      </c>
      <c r="BX197" s="281"/>
    </row>
    <row r="198" spans="1:76" ht="12" customHeight="1">
      <c r="A198" s="199"/>
      <c r="B198" s="174">
        <f t="shared" si="9"/>
        <v>182</v>
      </c>
      <c r="C198" s="291"/>
      <c r="D198" s="292"/>
      <c r="E198" s="292"/>
      <c r="F198" s="292"/>
      <c r="G198" s="292"/>
      <c r="H198" s="293"/>
      <c r="I198" s="288" t="s">
        <v>644</v>
      </c>
      <c r="J198" s="289"/>
      <c r="K198" s="289"/>
      <c r="L198" s="289"/>
      <c r="M198" s="289"/>
      <c r="N198" s="289"/>
      <c r="O198" s="289"/>
      <c r="P198" s="290"/>
      <c r="Q198" s="261" t="s">
        <v>677</v>
      </c>
      <c r="R198" s="262"/>
      <c r="S198" s="262"/>
      <c r="T198" s="262"/>
      <c r="U198" s="262"/>
      <c r="V198" s="262"/>
      <c r="W198" s="262"/>
      <c r="X198" s="262"/>
      <c r="Y198" s="262"/>
      <c r="Z198" s="262"/>
      <c r="AA198" s="262"/>
      <c r="AB198" s="262"/>
      <c r="AC198" s="262"/>
      <c r="AD198" s="262"/>
      <c r="AE198" s="262"/>
      <c r="AF198" s="262"/>
      <c r="AG198" s="262"/>
      <c r="AH198" s="262"/>
      <c r="AI198" s="262"/>
      <c r="AJ198" s="262"/>
      <c r="AK198" s="262"/>
      <c r="AL198" s="262"/>
      <c r="AM198" s="262"/>
      <c r="AN198" s="263"/>
      <c r="AO198" s="175">
        <f t="shared" si="10"/>
        <v>182</v>
      </c>
      <c r="AP198" s="291"/>
      <c r="AQ198" s="292"/>
      <c r="AR198" s="292"/>
      <c r="AS198" s="292"/>
      <c r="AT198" s="292"/>
      <c r="AU198" s="293"/>
      <c r="AV198" s="288" t="s">
        <v>644</v>
      </c>
      <c r="AW198" s="289"/>
      <c r="AX198" s="289"/>
      <c r="AY198" s="289"/>
      <c r="AZ198" s="289"/>
      <c r="BA198" s="289"/>
      <c r="BB198" s="289"/>
      <c r="BC198" s="290"/>
      <c r="BD198" s="97"/>
      <c r="BE198" s="200"/>
      <c r="BF198" s="261" t="s">
        <v>644</v>
      </c>
      <c r="BG198" s="262"/>
      <c r="BH198" s="262"/>
      <c r="BI198" s="262"/>
      <c r="BJ198" s="262"/>
      <c r="BK198" s="262"/>
      <c r="BL198" s="262"/>
      <c r="BM198" s="262"/>
      <c r="BN198" s="263"/>
      <c r="BO198" s="261" t="s">
        <v>1134</v>
      </c>
      <c r="BP198" s="262"/>
      <c r="BQ198" s="262"/>
      <c r="BR198" s="262"/>
      <c r="BS198" s="262"/>
      <c r="BT198" s="263"/>
      <c r="BU198" s="241"/>
      <c r="BW198" s="280">
        <v>8</v>
      </c>
      <c r="BX198" s="281"/>
    </row>
    <row r="199" spans="1:76" ht="12" customHeight="1">
      <c r="A199" s="199"/>
      <c r="B199" s="174">
        <f t="shared" si="9"/>
        <v>183</v>
      </c>
      <c r="C199" s="291"/>
      <c r="D199" s="292"/>
      <c r="E199" s="292"/>
      <c r="F199" s="292"/>
      <c r="G199" s="292"/>
      <c r="H199" s="293"/>
      <c r="I199" s="288" t="s">
        <v>646</v>
      </c>
      <c r="J199" s="289"/>
      <c r="K199" s="289"/>
      <c r="L199" s="289"/>
      <c r="M199" s="289"/>
      <c r="N199" s="289"/>
      <c r="O199" s="289"/>
      <c r="P199" s="290"/>
      <c r="Q199" s="261" t="s">
        <v>677</v>
      </c>
      <c r="R199" s="262"/>
      <c r="S199" s="262"/>
      <c r="T199" s="262"/>
      <c r="U199" s="262"/>
      <c r="V199" s="262"/>
      <c r="W199" s="262"/>
      <c r="X199" s="262"/>
      <c r="Y199" s="262"/>
      <c r="Z199" s="262"/>
      <c r="AA199" s="262"/>
      <c r="AB199" s="262"/>
      <c r="AC199" s="262"/>
      <c r="AD199" s="262"/>
      <c r="AE199" s="262"/>
      <c r="AF199" s="262"/>
      <c r="AG199" s="262"/>
      <c r="AH199" s="262"/>
      <c r="AI199" s="262"/>
      <c r="AJ199" s="262"/>
      <c r="AK199" s="262"/>
      <c r="AL199" s="262"/>
      <c r="AM199" s="262"/>
      <c r="AN199" s="263"/>
      <c r="AO199" s="175">
        <f t="shared" si="10"/>
        <v>183</v>
      </c>
      <c r="AP199" s="291"/>
      <c r="AQ199" s="292"/>
      <c r="AR199" s="292"/>
      <c r="AS199" s="292"/>
      <c r="AT199" s="292"/>
      <c r="AU199" s="293"/>
      <c r="AV199" s="288" t="s">
        <v>646</v>
      </c>
      <c r="AW199" s="289"/>
      <c r="AX199" s="289"/>
      <c r="AY199" s="289"/>
      <c r="AZ199" s="289"/>
      <c r="BA199" s="289"/>
      <c r="BB199" s="289"/>
      <c r="BC199" s="290"/>
      <c r="BD199" s="97"/>
      <c r="BE199" s="200"/>
      <c r="BF199" s="261" t="s">
        <v>646</v>
      </c>
      <c r="BG199" s="262"/>
      <c r="BH199" s="262"/>
      <c r="BI199" s="262"/>
      <c r="BJ199" s="262"/>
      <c r="BK199" s="262"/>
      <c r="BL199" s="262"/>
      <c r="BM199" s="262"/>
      <c r="BN199" s="263"/>
      <c r="BO199" s="261" t="s">
        <v>1135</v>
      </c>
      <c r="BP199" s="262"/>
      <c r="BQ199" s="262"/>
      <c r="BR199" s="262"/>
      <c r="BS199" s="262"/>
      <c r="BT199" s="263"/>
      <c r="BU199" s="241"/>
      <c r="BW199" s="280">
        <v>8</v>
      </c>
      <c r="BX199" s="281"/>
    </row>
    <row r="200" spans="1:76" ht="12" customHeight="1">
      <c r="A200" s="199"/>
      <c r="B200" s="174">
        <f t="shared" si="9"/>
        <v>184</v>
      </c>
      <c r="C200" s="291"/>
      <c r="D200" s="292"/>
      <c r="E200" s="292"/>
      <c r="F200" s="292"/>
      <c r="G200" s="292"/>
      <c r="H200" s="293"/>
      <c r="I200" s="288" t="s">
        <v>648</v>
      </c>
      <c r="J200" s="289"/>
      <c r="K200" s="289"/>
      <c r="L200" s="289"/>
      <c r="M200" s="289"/>
      <c r="N200" s="289"/>
      <c r="O200" s="289"/>
      <c r="P200" s="290"/>
      <c r="Q200" s="261" t="s">
        <v>677</v>
      </c>
      <c r="R200" s="262"/>
      <c r="S200" s="262"/>
      <c r="T200" s="262"/>
      <c r="U200" s="262"/>
      <c r="V200" s="262"/>
      <c r="W200" s="262"/>
      <c r="X200" s="262"/>
      <c r="Y200" s="262"/>
      <c r="Z200" s="262"/>
      <c r="AA200" s="262"/>
      <c r="AB200" s="262"/>
      <c r="AC200" s="262"/>
      <c r="AD200" s="262"/>
      <c r="AE200" s="262"/>
      <c r="AF200" s="262"/>
      <c r="AG200" s="262"/>
      <c r="AH200" s="262"/>
      <c r="AI200" s="262"/>
      <c r="AJ200" s="262"/>
      <c r="AK200" s="262"/>
      <c r="AL200" s="262"/>
      <c r="AM200" s="262"/>
      <c r="AN200" s="263"/>
      <c r="AO200" s="175">
        <f t="shared" si="10"/>
        <v>184</v>
      </c>
      <c r="AP200" s="291"/>
      <c r="AQ200" s="292"/>
      <c r="AR200" s="292"/>
      <c r="AS200" s="292"/>
      <c r="AT200" s="292"/>
      <c r="AU200" s="293"/>
      <c r="AV200" s="288" t="s">
        <v>648</v>
      </c>
      <c r="AW200" s="289"/>
      <c r="AX200" s="289"/>
      <c r="AY200" s="289"/>
      <c r="AZ200" s="289"/>
      <c r="BA200" s="289"/>
      <c r="BB200" s="289"/>
      <c r="BC200" s="290"/>
      <c r="BD200" s="97"/>
      <c r="BE200" s="200"/>
      <c r="BF200" s="261" t="s">
        <v>648</v>
      </c>
      <c r="BG200" s="262"/>
      <c r="BH200" s="262"/>
      <c r="BI200" s="262"/>
      <c r="BJ200" s="262"/>
      <c r="BK200" s="262"/>
      <c r="BL200" s="262"/>
      <c r="BM200" s="262"/>
      <c r="BN200" s="263"/>
      <c r="BO200" s="261" t="s">
        <v>1136</v>
      </c>
      <c r="BP200" s="262"/>
      <c r="BQ200" s="262"/>
      <c r="BR200" s="262"/>
      <c r="BS200" s="262"/>
      <c r="BT200" s="263"/>
      <c r="BU200" s="241"/>
      <c r="BW200" s="280">
        <v>8</v>
      </c>
      <c r="BX200" s="281"/>
    </row>
    <row r="201" spans="1:76" ht="12" customHeight="1">
      <c r="A201" s="199"/>
      <c r="B201" s="174">
        <f t="shared" si="9"/>
        <v>185</v>
      </c>
      <c r="C201" s="291"/>
      <c r="D201" s="292"/>
      <c r="E201" s="292"/>
      <c r="F201" s="292"/>
      <c r="G201" s="292"/>
      <c r="H201" s="293"/>
      <c r="I201" s="288" t="s">
        <v>650</v>
      </c>
      <c r="J201" s="289"/>
      <c r="K201" s="289"/>
      <c r="L201" s="289"/>
      <c r="M201" s="289"/>
      <c r="N201" s="289"/>
      <c r="O201" s="289"/>
      <c r="P201" s="290"/>
      <c r="Q201" s="261" t="s">
        <v>677</v>
      </c>
      <c r="R201" s="262"/>
      <c r="S201" s="262"/>
      <c r="T201" s="262"/>
      <c r="U201" s="262"/>
      <c r="V201" s="262"/>
      <c r="W201" s="262"/>
      <c r="X201" s="262"/>
      <c r="Y201" s="262"/>
      <c r="Z201" s="262"/>
      <c r="AA201" s="262"/>
      <c r="AB201" s="262"/>
      <c r="AC201" s="262"/>
      <c r="AD201" s="262"/>
      <c r="AE201" s="262"/>
      <c r="AF201" s="262"/>
      <c r="AG201" s="262"/>
      <c r="AH201" s="262"/>
      <c r="AI201" s="262"/>
      <c r="AJ201" s="262"/>
      <c r="AK201" s="262"/>
      <c r="AL201" s="262"/>
      <c r="AM201" s="262"/>
      <c r="AN201" s="263"/>
      <c r="AO201" s="175">
        <f t="shared" si="10"/>
        <v>185</v>
      </c>
      <c r="AP201" s="291"/>
      <c r="AQ201" s="292"/>
      <c r="AR201" s="292"/>
      <c r="AS201" s="292"/>
      <c r="AT201" s="292"/>
      <c r="AU201" s="293"/>
      <c r="AV201" s="288" t="s">
        <v>650</v>
      </c>
      <c r="AW201" s="289"/>
      <c r="AX201" s="289"/>
      <c r="AY201" s="289"/>
      <c r="AZ201" s="289"/>
      <c r="BA201" s="289"/>
      <c r="BB201" s="289"/>
      <c r="BC201" s="290"/>
      <c r="BD201" s="97"/>
      <c r="BE201" s="200"/>
      <c r="BF201" s="261" t="s">
        <v>650</v>
      </c>
      <c r="BG201" s="262"/>
      <c r="BH201" s="262"/>
      <c r="BI201" s="262"/>
      <c r="BJ201" s="262"/>
      <c r="BK201" s="262"/>
      <c r="BL201" s="262"/>
      <c r="BM201" s="262"/>
      <c r="BN201" s="263"/>
      <c r="BO201" s="261" t="s">
        <v>1137</v>
      </c>
      <c r="BP201" s="262"/>
      <c r="BQ201" s="262"/>
      <c r="BR201" s="262"/>
      <c r="BS201" s="262"/>
      <c r="BT201" s="263"/>
      <c r="BU201" s="241"/>
      <c r="BW201" s="280">
        <v>8</v>
      </c>
      <c r="BX201" s="281"/>
    </row>
    <row r="202" spans="1:76" ht="12" customHeight="1">
      <c r="A202" s="199"/>
      <c r="B202" s="174">
        <f t="shared" si="9"/>
        <v>186</v>
      </c>
      <c r="C202" s="291"/>
      <c r="D202" s="292"/>
      <c r="E202" s="292"/>
      <c r="F202" s="292"/>
      <c r="G202" s="292"/>
      <c r="H202" s="293"/>
      <c r="I202" s="288" t="s">
        <v>652</v>
      </c>
      <c r="J202" s="289"/>
      <c r="K202" s="289"/>
      <c r="L202" s="289"/>
      <c r="M202" s="289"/>
      <c r="N202" s="289"/>
      <c r="O202" s="289"/>
      <c r="P202" s="290"/>
      <c r="Q202" s="261" t="s">
        <v>677</v>
      </c>
      <c r="R202" s="262"/>
      <c r="S202" s="262"/>
      <c r="T202" s="262"/>
      <c r="U202" s="262"/>
      <c r="V202" s="262"/>
      <c r="W202" s="262"/>
      <c r="X202" s="262"/>
      <c r="Y202" s="262"/>
      <c r="Z202" s="262"/>
      <c r="AA202" s="262"/>
      <c r="AB202" s="262"/>
      <c r="AC202" s="262"/>
      <c r="AD202" s="262"/>
      <c r="AE202" s="262"/>
      <c r="AF202" s="262"/>
      <c r="AG202" s="262"/>
      <c r="AH202" s="262"/>
      <c r="AI202" s="262"/>
      <c r="AJ202" s="262"/>
      <c r="AK202" s="262"/>
      <c r="AL202" s="262"/>
      <c r="AM202" s="262"/>
      <c r="AN202" s="263"/>
      <c r="AO202" s="175">
        <f>AO201+1</f>
        <v>186</v>
      </c>
      <c r="AP202" s="291"/>
      <c r="AQ202" s="292"/>
      <c r="AR202" s="292"/>
      <c r="AS202" s="292"/>
      <c r="AT202" s="292"/>
      <c r="AU202" s="293"/>
      <c r="AV202" s="288" t="s">
        <v>652</v>
      </c>
      <c r="AW202" s="289"/>
      <c r="AX202" s="289"/>
      <c r="AY202" s="289"/>
      <c r="AZ202" s="289"/>
      <c r="BA202" s="289"/>
      <c r="BB202" s="289"/>
      <c r="BC202" s="290"/>
      <c r="BD202" s="97"/>
      <c r="BE202" s="200"/>
      <c r="BF202" s="261" t="s">
        <v>652</v>
      </c>
      <c r="BG202" s="262"/>
      <c r="BH202" s="262"/>
      <c r="BI202" s="262"/>
      <c r="BJ202" s="262"/>
      <c r="BK202" s="262"/>
      <c r="BL202" s="262"/>
      <c r="BM202" s="262"/>
      <c r="BN202" s="263"/>
      <c r="BO202" s="261" t="s">
        <v>1138</v>
      </c>
      <c r="BP202" s="262"/>
      <c r="BQ202" s="262"/>
      <c r="BR202" s="262"/>
      <c r="BS202" s="262"/>
      <c r="BT202" s="263"/>
      <c r="BU202" s="241"/>
      <c r="BW202" s="280">
        <v>8</v>
      </c>
      <c r="BX202" s="281"/>
    </row>
    <row r="203" spans="1:76" ht="12" customHeight="1">
      <c r="A203" s="199"/>
      <c r="B203" s="174">
        <f>B202+1</f>
        <v>187</v>
      </c>
      <c r="C203" s="291"/>
      <c r="D203" s="292"/>
      <c r="E203" s="292"/>
      <c r="F203" s="292"/>
      <c r="G203" s="292"/>
      <c r="H203" s="293"/>
      <c r="I203" s="288" t="s">
        <v>654</v>
      </c>
      <c r="J203" s="289"/>
      <c r="K203" s="289"/>
      <c r="L203" s="289"/>
      <c r="M203" s="289"/>
      <c r="N203" s="289"/>
      <c r="O203" s="289"/>
      <c r="P203" s="290"/>
      <c r="Q203" s="261" t="s">
        <v>677</v>
      </c>
      <c r="R203" s="262"/>
      <c r="S203" s="262"/>
      <c r="T203" s="262"/>
      <c r="U203" s="262"/>
      <c r="V203" s="262"/>
      <c r="W203" s="262"/>
      <c r="X203" s="262"/>
      <c r="Y203" s="262"/>
      <c r="Z203" s="262"/>
      <c r="AA203" s="262"/>
      <c r="AB203" s="262"/>
      <c r="AC203" s="262"/>
      <c r="AD203" s="262"/>
      <c r="AE203" s="262"/>
      <c r="AF203" s="262"/>
      <c r="AG203" s="262"/>
      <c r="AH203" s="262"/>
      <c r="AI203" s="262"/>
      <c r="AJ203" s="262"/>
      <c r="AK203" s="262"/>
      <c r="AL203" s="262"/>
      <c r="AM203" s="262"/>
      <c r="AN203" s="263"/>
      <c r="AO203" s="175">
        <f>AO202+1</f>
        <v>187</v>
      </c>
      <c r="AP203" s="291"/>
      <c r="AQ203" s="292"/>
      <c r="AR203" s="292"/>
      <c r="AS203" s="292"/>
      <c r="AT203" s="292"/>
      <c r="AU203" s="293"/>
      <c r="AV203" s="288" t="s">
        <v>654</v>
      </c>
      <c r="AW203" s="289"/>
      <c r="AX203" s="289"/>
      <c r="AY203" s="289"/>
      <c r="AZ203" s="289"/>
      <c r="BA203" s="289"/>
      <c r="BB203" s="289"/>
      <c r="BC203" s="290"/>
      <c r="BD203" s="97"/>
      <c r="BE203" s="200"/>
      <c r="BF203" s="261" t="s">
        <v>654</v>
      </c>
      <c r="BG203" s="262"/>
      <c r="BH203" s="262"/>
      <c r="BI203" s="262"/>
      <c r="BJ203" s="262"/>
      <c r="BK203" s="262"/>
      <c r="BL203" s="262"/>
      <c r="BM203" s="262"/>
      <c r="BN203" s="263"/>
      <c r="BO203" s="261" t="s">
        <v>1139</v>
      </c>
      <c r="BP203" s="262"/>
      <c r="BQ203" s="262"/>
      <c r="BR203" s="262"/>
      <c r="BS203" s="262"/>
      <c r="BT203" s="263"/>
      <c r="BU203" s="241"/>
      <c r="BW203" s="280">
        <v>8</v>
      </c>
      <c r="BX203" s="281"/>
    </row>
    <row r="204" spans="1:76" ht="12" customHeight="1">
      <c r="A204" s="199"/>
      <c r="B204" s="185">
        <f>B203+1</f>
        <v>188</v>
      </c>
      <c r="C204" s="291"/>
      <c r="D204" s="292"/>
      <c r="E204" s="292"/>
      <c r="F204" s="292"/>
      <c r="G204" s="292"/>
      <c r="H204" s="293"/>
      <c r="I204" s="288" t="s">
        <v>656</v>
      </c>
      <c r="J204" s="289"/>
      <c r="K204" s="289"/>
      <c r="L204" s="289"/>
      <c r="M204" s="289"/>
      <c r="N204" s="289"/>
      <c r="O204" s="289"/>
      <c r="P204" s="290"/>
      <c r="Q204" s="261" t="s">
        <v>677</v>
      </c>
      <c r="R204" s="262"/>
      <c r="S204" s="262"/>
      <c r="T204" s="262"/>
      <c r="U204" s="262"/>
      <c r="V204" s="262"/>
      <c r="W204" s="262"/>
      <c r="X204" s="262"/>
      <c r="Y204" s="262"/>
      <c r="Z204" s="262"/>
      <c r="AA204" s="262"/>
      <c r="AB204" s="262"/>
      <c r="AC204" s="262"/>
      <c r="AD204" s="262"/>
      <c r="AE204" s="262"/>
      <c r="AF204" s="262"/>
      <c r="AG204" s="262"/>
      <c r="AH204" s="262"/>
      <c r="AI204" s="262"/>
      <c r="AJ204" s="262"/>
      <c r="AK204" s="262"/>
      <c r="AL204" s="262"/>
      <c r="AM204" s="262"/>
      <c r="AN204" s="263"/>
      <c r="AO204" s="181">
        <f>AO203+1</f>
        <v>188</v>
      </c>
      <c r="AP204" s="291"/>
      <c r="AQ204" s="292"/>
      <c r="AR204" s="292"/>
      <c r="AS204" s="292"/>
      <c r="AT204" s="292"/>
      <c r="AU204" s="293"/>
      <c r="AV204" s="288" t="s">
        <v>656</v>
      </c>
      <c r="AW204" s="289"/>
      <c r="AX204" s="289"/>
      <c r="AY204" s="289"/>
      <c r="AZ204" s="289"/>
      <c r="BA204" s="289"/>
      <c r="BB204" s="289"/>
      <c r="BC204" s="290"/>
      <c r="BD204" s="97"/>
      <c r="BE204" s="200"/>
      <c r="BF204" s="261" t="s">
        <v>656</v>
      </c>
      <c r="BG204" s="262"/>
      <c r="BH204" s="262"/>
      <c r="BI204" s="262"/>
      <c r="BJ204" s="262"/>
      <c r="BK204" s="262"/>
      <c r="BL204" s="262"/>
      <c r="BM204" s="262"/>
      <c r="BN204" s="263"/>
      <c r="BO204" s="261" t="s">
        <v>1140</v>
      </c>
      <c r="BP204" s="262"/>
      <c r="BQ204" s="262"/>
      <c r="BR204" s="262"/>
      <c r="BS204" s="262"/>
      <c r="BT204" s="263"/>
      <c r="BU204" s="241"/>
      <c r="BW204" s="280">
        <v>8</v>
      </c>
      <c r="BX204" s="281"/>
    </row>
    <row r="205" spans="1:76" ht="12" customHeight="1">
      <c r="A205" s="178"/>
      <c r="B205" s="174">
        <f>B204+1</f>
        <v>189</v>
      </c>
      <c r="C205" s="291"/>
      <c r="D205" s="292"/>
      <c r="E205" s="292"/>
      <c r="F205" s="292"/>
      <c r="G205" s="292"/>
      <c r="H205" s="293"/>
      <c r="I205" s="288" t="s">
        <v>658</v>
      </c>
      <c r="J205" s="289"/>
      <c r="K205" s="289"/>
      <c r="L205" s="289"/>
      <c r="M205" s="289"/>
      <c r="N205" s="289"/>
      <c r="O205" s="289"/>
      <c r="P205" s="290"/>
      <c r="Q205" s="261" t="s">
        <v>677</v>
      </c>
      <c r="R205" s="262"/>
      <c r="S205" s="262"/>
      <c r="T205" s="262"/>
      <c r="U205" s="262"/>
      <c r="V205" s="262"/>
      <c r="W205" s="262"/>
      <c r="X205" s="262"/>
      <c r="Y205" s="262"/>
      <c r="Z205" s="262"/>
      <c r="AA205" s="262"/>
      <c r="AB205" s="262"/>
      <c r="AC205" s="262"/>
      <c r="AD205" s="262"/>
      <c r="AE205" s="262"/>
      <c r="AF205" s="262"/>
      <c r="AG205" s="262"/>
      <c r="AH205" s="262"/>
      <c r="AI205" s="262"/>
      <c r="AJ205" s="262"/>
      <c r="AK205" s="262"/>
      <c r="AL205" s="262"/>
      <c r="AM205" s="262"/>
      <c r="AN205" s="263"/>
      <c r="AO205" s="175">
        <f>AO204+1</f>
        <v>189</v>
      </c>
      <c r="AP205" s="291"/>
      <c r="AQ205" s="292"/>
      <c r="AR205" s="292"/>
      <c r="AS205" s="292"/>
      <c r="AT205" s="292"/>
      <c r="AU205" s="293"/>
      <c r="AV205" s="288" t="s">
        <v>658</v>
      </c>
      <c r="AW205" s="289"/>
      <c r="AX205" s="289"/>
      <c r="AY205" s="289"/>
      <c r="AZ205" s="289"/>
      <c r="BA205" s="289"/>
      <c r="BB205" s="289"/>
      <c r="BC205" s="290"/>
      <c r="BD205" s="179"/>
      <c r="BE205" s="180"/>
      <c r="BF205" s="261" t="s">
        <v>658</v>
      </c>
      <c r="BG205" s="262"/>
      <c r="BH205" s="262"/>
      <c r="BI205" s="262"/>
      <c r="BJ205" s="262"/>
      <c r="BK205" s="262"/>
      <c r="BL205" s="262"/>
      <c r="BM205" s="262"/>
      <c r="BN205" s="263"/>
      <c r="BO205" s="261" t="s">
        <v>1141</v>
      </c>
      <c r="BP205" s="262"/>
      <c r="BQ205" s="262"/>
      <c r="BR205" s="262"/>
      <c r="BS205" s="262"/>
      <c r="BT205" s="263"/>
      <c r="BU205" s="241"/>
      <c r="BW205" s="280">
        <v>8</v>
      </c>
      <c r="BX205" s="281"/>
    </row>
    <row r="206" spans="1:76" ht="12" customHeight="1">
      <c r="A206" s="178"/>
      <c r="B206" s="174">
        <f t="shared" ref="B206:B215" si="11">B205+1</f>
        <v>190</v>
      </c>
      <c r="C206" s="297" t="s">
        <v>713</v>
      </c>
      <c r="D206" s="298"/>
      <c r="E206" s="298"/>
      <c r="F206" s="298"/>
      <c r="G206" s="298"/>
      <c r="H206" s="299"/>
      <c r="I206" s="288" t="s">
        <v>713</v>
      </c>
      <c r="J206" s="289"/>
      <c r="K206" s="289"/>
      <c r="L206" s="289"/>
      <c r="M206" s="289"/>
      <c r="N206" s="289"/>
      <c r="O206" s="289"/>
      <c r="P206" s="290"/>
      <c r="Q206" s="261" t="s">
        <v>752</v>
      </c>
      <c r="R206" s="262"/>
      <c r="S206" s="262"/>
      <c r="T206" s="262"/>
      <c r="U206" s="262"/>
      <c r="V206" s="262"/>
      <c r="W206" s="262"/>
      <c r="X206" s="262"/>
      <c r="Y206" s="262"/>
      <c r="Z206" s="262"/>
      <c r="AA206" s="262"/>
      <c r="AB206" s="262"/>
      <c r="AC206" s="262"/>
      <c r="AD206" s="262"/>
      <c r="AE206" s="262"/>
      <c r="AF206" s="262"/>
      <c r="AG206" s="262"/>
      <c r="AH206" s="262"/>
      <c r="AI206" s="262"/>
      <c r="AJ206" s="262"/>
      <c r="AK206" s="262"/>
      <c r="AL206" s="262"/>
      <c r="AM206" s="262"/>
      <c r="AN206" s="263"/>
      <c r="AO206" s="175">
        <f t="shared" ref="AO206:AO215" si="12">AO205+1</f>
        <v>190</v>
      </c>
      <c r="AP206" s="291"/>
      <c r="AQ206" s="292"/>
      <c r="AR206" s="292"/>
      <c r="AS206" s="292"/>
      <c r="AT206" s="292"/>
      <c r="AU206" s="293"/>
      <c r="AV206" s="288" t="s">
        <v>1142</v>
      </c>
      <c r="AW206" s="289"/>
      <c r="AX206" s="289"/>
      <c r="AY206" s="289"/>
      <c r="AZ206" s="289"/>
      <c r="BA206" s="289"/>
      <c r="BB206" s="289"/>
      <c r="BC206" s="290"/>
      <c r="BD206" s="179"/>
      <c r="BE206" s="180"/>
      <c r="BF206" s="261" t="s">
        <v>1142</v>
      </c>
      <c r="BG206" s="262"/>
      <c r="BH206" s="262"/>
      <c r="BI206" s="262"/>
      <c r="BJ206" s="262"/>
      <c r="BK206" s="262"/>
      <c r="BL206" s="262"/>
      <c r="BM206" s="262"/>
      <c r="BN206" s="263"/>
      <c r="BO206" s="261" t="s">
        <v>1143</v>
      </c>
      <c r="BP206" s="262"/>
      <c r="BQ206" s="262"/>
      <c r="BR206" s="262"/>
      <c r="BS206" s="262"/>
      <c r="BT206" s="263"/>
      <c r="BU206" s="241"/>
      <c r="BW206" s="280">
        <v>8</v>
      </c>
      <c r="BX206" s="281"/>
    </row>
    <row r="207" spans="1:76" ht="12" customHeight="1">
      <c r="A207" s="178"/>
      <c r="B207" s="174">
        <f t="shared" si="11"/>
        <v>191</v>
      </c>
      <c r="C207" s="291"/>
      <c r="D207" s="292"/>
      <c r="E207" s="292"/>
      <c r="F207" s="292"/>
      <c r="G207" s="292"/>
      <c r="H207" s="293"/>
      <c r="I207" s="288" t="s">
        <v>713</v>
      </c>
      <c r="J207" s="289"/>
      <c r="K207" s="289"/>
      <c r="L207" s="289"/>
      <c r="M207" s="289"/>
      <c r="N207" s="289"/>
      <c r="O207" s="289"/>
      <c r="P207" s="290"/>
      <c r="Q207" s="261" t="s">
        <v>752</v>
      </c>
      <c r="R207" s="262"/>
      <c r="S207" s="262"/>
      <c r="T207" s="262"/>
      <c r="U207" s="262"/>
      <c r="V207" s="262"/>
      <c r="W207" s="262"/>
      <c r="X207" s="262"/>
      <c r="Y207" s="262"/>
      <c r="Z207" s="262"/>
      <c r="AA207" s="262"/>
      <c r="AB207" s="262"/>
      <c r="AC207" s="262"/>
      <c r="AD207" s="262"/>
      <c r="AE207" s="262"/>
      <c r="AF207" s="262"/>
      <c r="AG207" s="262"/>
      <c r="AH207" s="262"/>
      <c r="AI207" s="262"/>
      <c r="AJ207" s="262"/>
      <c r="AK207" s="262"/>
      <c r="AL207" s="262"/>
      <c r="AM207" s="262"/>
      <c r="AN207" s="263"/>
      <c r="AO207" s="175">
        <f t="shared" si="12"/>
        <v>191</v>
      </c>
      <c r="AP207" s="291"/>
      <c r="AQ207" s="292"/>
      <c r="AR207" s="292"/>
      <c r="AS207" s="292"/>
      <c r="AT207" s="292"/>
      <c r="AU207" s="293"/>
      <c r="AV207" s="288" t="s">
        <v>1144</v>
      </c>
      <c r="AW207" s="289"/>
      <c r="AX207" s="289"/>
      <c r="AY207" s="289"/>
      <c r="AZ207" s="289"/>
      <c r="BA207" s="289"/>
      <c r="BB207" s="289"/>
      <c r="BC207" s="290"/>
      <c r="BD207" s="179"/>
      <c r="BE207" s="180"/>
      <c r="BF207" s="261" t="s">
        <v>1144</v>
      </c>
      <c r="BG207" s="262"/>
      <c r="BH207" s="262"/>
      <c r="BI207" s="262"/>
      <c r="BJ207" s="262"/>
      <c r="BK207" s="262"/>
      <c r="BL207" s="262"/>
      <c r="BM207" s="262"/>
      <c r="BN207" s="263"/>
      <c r="BO207" s="261" t="s">
        <v>1145</v>
      </c>
      <c r="BP207" s="262"/>
      <c r="BQ207" s="262"/>
      <c r="BR207" s="262"/>
      <c r="BS207" s="262"/>
      <c r="BT207" s="263"/>
      <c r="BU207" s="241"/>
      <c r="BW207" s="280">
        <v>8</v>
      </c>
      <c r="BX207" s="281"/>
    </row>
    <row r="208" spans="1:76" ht="12" customHeight="1">
      <c r="A208" s="178"/>
      <c r="B208" s="174">
        <f t="shared" si="11"/>
        <v>192</v>
      </c>
      <c r="C208" s="291"/>
      <c r="D208" s="292"/>
      <c r="E208" s="292"/>
      <c r="F208" s="292"/>
      <c r="G208" s="292"/>
      <c r="H208" s="293"/>
      <c r="I208" s="288" t="s">
        <v>713</v>
      </c>
      <c r="J208" s="289"/>
      <c r="K208" s="289"/>
      <c r="L208" s="289"/>
      <c r="M208" s="289"/>
      <c r="N208" s="289"/>
      <c r="O208" s="289"/>
      <c r="P208" s="290"/>
      <c r="Q208" s="261" t="s">
        <v>752</v>
      </c>
      <c r="R208" s="262"/>
      <c r="S208" s="262"/>
      <c r="T208" s="262"/>
      <c r="U208" s="262"/>
      <c r="V208" s="262"/>
      <c r="W208" s="262"/>
      <c r="X208" s="262"/>
      <c r="Y208" s="262"/>
      <c r="Z208" s="262"/>
      <c r="AA208" s="262"/>
      <c r="AB208" s="262"/>
      <c r="AC208" s="262"/>
      <c r="AD208" s="262"/>
      <c r="AE208" s="262"/>
      <c r="AF208" s="262"/>
      <c r="AG208" s="262"/>
      <c r="AH208" s="262"/>
      <c r="AI208" s="262"/>
      <c r="AJ208" s="262"/>
      <c r="AK208" s="262"/>
      <c r="AL208" s="262"/>
      <c r="AM208" s="262"/>
      <c r="AN208" s="263"/>
      <c r="AO208" s="175">
        <f t="shared" si="12"/>
        <v>192</v>
      </c>
      <c r="AP208" s="291"/>
      <c r="AQ208" s="292"/>
      <c r="AR208" s="292"/>
      <c r="AS208" s="292"/>
      <c r="AT208" s="292"/>
      <c r="AU208" s="293"/>
      <c r="AV208" s="288" t="s">
        <v>1146</v>
      </c>
      <c r="AW208" s="289"/>
      <c r="AX208" s="289"/>
      <c r="AY208" s="289"/>
      <c r="AZ208" s="289"/>
      <c r="BA208" s="289"/>
      <c r="BB208" s="289"/>
      <c r="BC208" s="290"/>
      <c r="BD208" s="196"/>
      <c r="BE208" s="180"/>
      <c r="BF208" s="261" t="s">
        <v>1146</v>
      </c>
      <c r="BG208" s="262"/>
      <c r="BH208" s="262"/>
      <c r="BI208" s="262"/>
      <c r="BJ208" s="262"/>
      <c r="BK208" s="262"/>
      <c r="BL208" s="262"/>
      <c r="BM208" s="262"/>
      <c r="BN208" s="263"/>
      <c r="BO208" s="261" t="s">
        <v>1147</v>
      </c>
      <c r="BP208" s="262"/>
      <c r="BQ208" s="262"/>
      <c r="BR208" s="262"/>
      <c r="BS208" s="262"/>
      <c r="BT208" s="263"/>
      <c r="BU208" s="241"/>
      <c r="BW208" s="280">
        <v>8</v>
      </c>
      <c r="BX208" s="281"/>
    </row>
    <row r="209" spans="1:76" ht="12" customHeight="1">
      <c r="A209" s="178"/>
      <c r="B209" s="174">
        <f t="shared" si="11"/>
        <v>193</v>
      </c>
      <c r="C209" s="286"/>
      <c r="D209" s="285"/>
      <c r="E209" s="285"/>
      <c r="F209" s="285"/>
      <c r="G209" s="285"/>
      <c r="H209" s="287"/>
      <c r="I209" s="288" t="s">
        <v>713</v>
      </c>
      <c r="J209" s="289"/>
      <c r="K209" s="289"/>
      <c r="L209" s="289"/>
      <c r="M209" s="289"/>
      <c r="N209" s="289"/>
      <c r="O209" s="289"/>
      <c r="P209" s="290"/>
      <c r="Q209" s="261" t="s">
        <v>752</v>
      </c>
      <c r="R209" s="262"/>
      <c r="S209" s="262"/>
      <c r="T209" s="262"/>
      <c r="U209" s="262"/>
      <c r="V209" s="262"/>
      <c r="W209" s="262"/>
      <c r="X209" s="262"/>
      <c r="Y209" s="262"/>
      <c r="Z209" s="262"/>
      <c r="AA209" s="262"/>
      <c r="AB209" s="262"/>
      <c r="AC209" s="262"/>
      <c r="AD209" s="262"/>
      <c r="AE209" s="262"/>
      <c r="AF209" s="262"/>
      <c r="AG209" s="262"/>
      <c r="AH209" s="262"/>
      <c r="AI209" s="262"/>
      <c r="AJ209" s="262"/>
      <c r="AK209" s="262"/>
      <c r="AL209" s="262"/>
      <c r="AM209" s="262"/>
      <c r="AN209" s="263"/>
      <c r="AO209" s="175">
        <f t="shared" si="12"/>
        <v>193</v>
      </c>
      <c r="AP209" s="291"/>
      <c r="AQ209" s="292"/>
      <c r="AR209" s="292"/>
      <c r="AS209" s="292"/>
      <c r="AT209" s="292"/>
      <c r="AU209" s="293"/>
      <c r="AV209" s="288" t="s">
        <v>1148</v>
      </c>
      <c r="AW209" s="289"/>
      <c r="AX209" s="289"/>
      <c r="AY209" s="289"/>
      <c r="AZ209" s="289"/>
      <c r="BA209" s="289"/>
      <c r="BB209" s="289"/>
      <c r="BC209" s="290"/>
      <c r="BD209" s="196"/>
      <c r="BE209" s="180"/>
      <c r="BF209" s="261" t="s">
        <v>1149</v>
      </c>
      <c r="BG209" s="262"/>
      <c r="BH209" s="262"/>
      <c r="BI209" s="262"/>
      <c r="BJ209" s="262"/>
      <c r="BK209" s="262"/>
      <c r="BL209" s="262"/>
      <c r="BM209" s="262"/>
      <c r="BN209" s="263"/>
      <c r="BO209" s="261" t="s">
        <v>1150</v>
      </c>
      <c r="BP209" s="262"/>
      <c r="BQ209" s="262"/>
      <c r="BR209" s="262"/>
      <c r="BS209" s="262"/>
      <c r="BT209" s="263"/>
      <c r="BU209" s="241"/>
      <c r="BW209" s="280">
        <v>8</v>
      </c>
      <c r="BX209" s="281"/>
    </row>
    <row r="210" spans="1:76" ht="12" customHeight="1">
      <c r="A210" s="178"/>
      <c r="B210" s="174">
        <f t="shared" si="11"/>
        <v>194</v>
      </c>
      <c r="C210" s="297" t="s">
        <v>676</v>
      </c>
      <c r="D210" s="298"/>
      <c r="E210" s="298"/>
      <c r="F210" s="298"/>
      <c r="G210" s="298"/>
      <c r="H210" s="299"/>
      <c r="I210" s="288" t="s">
        <v>1151</v>
      </c>
      <c r="J210" s="289"/>
      <c r="K210" s="289"/>
      <c r="L210" s="289"/>
      <c r="M210" s="289"/>
      <c r="N210" s="289"/>
      <c r="O210" s="289"/>
      <c r="P210" s="290"/>
      <c r="Q210" s="261" t="s">
        <v>677</v>
      </c>
      <c r="R210" s="262"/>
      <c r="S210" s="262"/>
      <c r="T210" s="262"/>
      <c r="U210" s="262"/>
      <c r="V210" s="262"/>
      <c r="W210" s="262"/>
      <c r="X210" s="262"/>
      <c r="Y210" s="262"/>
      <c r="Z210" s="262"/>
      <c r="AA210" s="262"/>
      <c r="AB210" s="262"/>
      <c r="AC210" s="262"/>
      <c r="AD210" s="262"/>
      <c r="AE210" s="262"/>
      <c r="AF210" s="262"/>
      <c r="AG210" s="262"/>
      <c r="AH210" s="262"/>
      <c r="AI210" s="262"/>
      <c r="AJ210" s="262"/>
      <c r="AK210" s="262"/>
      <c r="AL210" s="262"/>
      <c r="AM210" s="262"/>
      <c r="AN210" s="263"/>
      <c r="AO210" s="175">
        <f t="shared" si="12"/>
        <v>194</v>
      </c>
      <c r="AP210" s="291"/>
      <c r="AQ210" s="292"/>
      <c r="AR210" s="292"/>
      <c r="AS210" s="292"/>
      <c r="AT210" s="292"/>
      <c r="AU210" s="293"/>
      <c r="AV210" s="288" t="s">
        <v>1152</v>
      </c>
      <c r="AW210" s="289"/>
      <c r="AX210" s="289"/>
      <c r="AY210" s="289"/>
      <c r="AZ210" s="289"/>
      <c r="BA210" s="289"/>
      <c r="BB210" s="289"/>
      <c r="BC210" s="290"/>
      <c r="BD210" s="196"/>
      <c r="BE210" s="180"/>
      <c r="BF210" s="261" t="s">
        <v>1153</v>
      </c>
      <c r="BG210" s="262"/>
      <c r="BH210" s="262"/>
      <c r="BI210" s="262"/>
      <c r="BJ210" s="262"/>
      <c r="BK210" s="262"/>
      <c r="BL210" s="262"/>
      <c r="BM210" s="262"/>
      <c r="BN210" s="263"/>
      <c r="BO210" s="261" t="s">
        <v>1154</v>
      </c>
      <c r="BP210" s="262"/>
      <c r="BQ210" s="262"/>
      <c r="BR210" s="262"/>
      <c r="BS210" s="262"/>
      <c r="BT210" s="263"/>
      <c r="BU210" s="241"/>
      <c r="BW210" s="280">
        <v>1</v>
      </c>
      <c r="BX210" s="281"/>
    </row>
    <row r="211" spans="1:76" ht="12" customHeight="1">
      <c r="A211" s="178"/>
      <c r="B211" s="174">
        <f>B210+1</f>
        <v>195</v>
      </c>
      <c r="C211" s="291"/>
      <c r="D211" s="292"/>
      <c r="E211" s="292"/>
      <c r="F211" s="292"/>
      <c r="G211" s="292"/>
      <c r="H211" s="293"/>
      <c r="I211" s="288" t="s">
        <v>1155</v>
      </c>
      <c r="J211" s="289"/>
      <c r="K211" s="289"/>
      <c r="L211" s="289"/>
      <c r="M211" s="289"/>
      <c r="N211" s="289"/>
      <c r="O211" s="289"/>
      <c r="P211" s="290"/>
      <c r="Q211" s="261" t="s">
        <v>677</v>
      </c>
      <c r="R211" s="262"/>
      <c r="S211" s="262"/>
      <c r="T211" s="262"/>
      <c r="U211" s="262"/>
      <c r="V211" s="262"/>
      <c r="W211" s="262"/>
      <c r="X211" s="262"/>
      <c r="Y211" s="262"/>
      <c r="Z211" s="262"/>
      <c r="AA211" s="262"/>
      <c r="AB211" s="262"/>
      <c r="AC211" s="262"/>
      <c r="AD211" s="262"/>
      <c r="AE211" s="262"/>
      <c r="AF211" s="262"/>
      <c r="AG211" s="262"/>
      <c r="AH211" s="262"/>
      <c r="AI211" s="262"/>
      <c r="AJ211" s="262"/>
      <c r="AK211" s="262"/>
      <c r="AL211" s="262"/>
      <c r="AM211" s="262"/>
      <c r="AN211" s="263"/>
      <c r="AO211" s="175">
        <f>AO210+1</f>
        <v>195</v>
      </c>
      <c r="AP211" s="291"/>
      <c r="AQ211" s="292"/>
      <c r="AR211" s="292"/>
      <c r="AS211" s="292"/>
      <c r="AT211" s="292"/>
      <c r="AU211" s="293"/>
      <c r="AV211" s="288" t="s">
        <v>1156</v>
      </c>
      <c r="AW211" s="289"/>
      <c r="AX211" s="289"/>
      <c r="AY211" s="289"/>
      <c r="AZ211" s="289"/>
      <c r="BA211" s="289"/>
      <c r="BB211" s="289"/>
      <c r="BC211" s="290"/>
      <c r="BD211" s="196"/>
      <c r="BE211" s="180"/>
      <c r="BF211" s="261" t="s">
        <v>1157</v>
      </c>
      <c r="BG211" s="262"/>
      <c r="BH211" s="262"/>
      <c r="BI211" s="262"/>
      <c r="BJ211" s="262"/>
      <c r="BK211" s="262"/>
      <c r="BL211" s="262"/>
      <c r="BM211" s="262"/>
      <c r="BN211" s="263"/>
      <c r="BO211" s="261" t="s">
        <v>1158</v>
      </c>
      <c r="BP211" s="262"/>
      <c r="BQ211" s="262"/>
      <c r="BR211" s="262"/>
      <c r="BS211" s="262"/>
      <c r="BT211" s="263"/>
      <c r="BU211" s="241"/>
      <c r="BW211" s="280">
        <v>8</v>
      </c>
      <c r="BX211" s="281"/>
    </row>
    <row r="212" spans="1:76" ht="12" customHeight="1">
      <c r="A212" s="178"/>
      <c r="B212" s="174">
        <f t="shared" si="11"/>
        <v>196</v>
      </c>
      <c r="C212" s="286"/>
      <c r="D212" s="285"/>
      <c r="E212" s="285"/>
      <c r="F212" s="285"/>
      <c r="G212" s="285"/>
      <c r="H212" s="287"/>
      <c r="I212" s="288" t="s">
        <v>632</v>
      </c>
      <c r="J212" s="289"/>
      <c r="K212" s="289"/>
      <c r="L212" s="289"/>
      <c r="M212" s="289"/>
      <c r="N212" s="289"/>
      <c r="O212" s="289"/>
      <c r="P212" s="290"/>
      <c r="Q212" s="261" t="s">
        <v>677</v>
      </c>
      <c r="R212" s="262"/>
      <c r="S212" s="262"/>
      <c r="T212" s="262"/>
      <c r="U212" s="262"/>
      <c r="V212" s="262"/>
      <c r="W212" s="262"/>
      <c r="X212" s="262"/>
      <c r="Y212" s="262"/>
      <c r="Z212" s="262"/>
      <c r="AA212" s="262"/>
      <c r="AB212" s="262"/>
      <c r="AC212" s="262"/>
      <c r="AD212" s="262"/>
      <c r="AE212" s="262"/>
      <c r="AF212" s="262"/>
      <c r="AG212" s="262"/>
      <c r="AH212" s="262"/>
      <c r="AI212" s="262"/>
      <c r="AJ212" s="262"/>
      <c r="AK212" s="262"/>
      <c r="AL212" s="262"/>
      <c r="AM212" s="262"/>
      <c r="AN212" s="263"/>
      <c r="AO212" s="175">
        <f t="shared" si="12"/>
        <v>196</v>
      </c>
      <c r="AP212" s="291"/>
      <c r="AQ212" s="292"/>
      <c r="AR212" s="292"/>
      <c r="AS212" s="292"/>
      <c r="AT212" s="292"/>
      <c r="AU212" s="293"/>
      <c r="AV212" s="288" t="s">
        <v>632</v>
      </c>
      <c r="AW212" s="289"/>
      <c r="AX212" s="289"/>
      <c r="AY212" s="289"/>
      <c r="AZ212" s="289"/>
      <c r="BA212" s="289"/>
      <c r="BB212" s="289"/>
      <c r="BC212" s="290"/>
      <c r="BD212" s="179"/>
      <c r="BE212" s="180"/>
      <c r="BF212" s="261" t="s">
        <v>1159</v>
      </c>
      <c r="BG212" s="262"/>
      <c r="BH212" s="262"/>
      <c r="BI212" s="262"/>
      <c r="BJ212" s="262"/>
      <c r="BK212" s="262"/>
      <c r="BL212" s="262"/>
      <c r="BM212" s="262"/>
      <c r="BN212" s="263"/>
      <c r="BO212" s="261" t="s">
        <v>1160</v>
      </c>
      <c r="BP212" s="262"/>
      <c r="BQ212" s="262"/>
      <c r="BR212" s="262"/>
      <c r="BS212" s="262"/>
      <c r="BT212" s="263"/>
      <c r="BU212" s="241"/>
      <c r="BW212" s="280">
        <v>8</v>
      </c>
      <c r="BX212" s="281"/>
    </row>
    <row r="213" spans="1:76" ht="12" customHeight="1">
      <c r="A213" s="178"/>
      <c r="B213" s="174">
        <f t="shared" si="11"/>
        <v>197</v>
      </c>
      <c r="C213" s="291" t="s">
        <v>713</v>
      </c>
      <c r="D213" s="292"/>
      <c r="E213" s="292"/>
      <c r="F213" s="292"/>
      <c r="G213" s="292"/>
      <c r="H213" s="293"/>
      <c r="I213" s="288" t="s">
        <v>713</v>
      </c>
      <c r="J213" s="289"/>
      <c r="K213" s="289"/>
      <c r="L213" s="289"/>
      <c r="M213" s="289"/>
      <c r="N213" s="289"/>
      <c r="O213" s="289"/>
      <c r="P213" s="290"/>
      <c r="Q213" s="261" t="s">
        <v>752</v>
      </c>
      <c r="R213" s="262"/>
      <c r="S213" s="262"/>
      <c r="T213" s="262"/>
      <c r="U213" s="262"/>
      <c r="V213" s="262"/>
      <c r="W213" s="262"/>
      <c r="X213" s="262"/>
      <c r="Y213" s="262"/>
      <c r="Z213" s="262"/>
      <c r="AA213" s="262"/>
      <c r="AB213" s="262"/>
      <c r="AC213" s="262"/>
      <c r="AD213" s="262"/>
      <c r="AE213" s="262"/>
      <c r="AF213" s="262"/>
      <c r="AG213" s="262"/>
      <c r="AH213" s="262"/>
      <c r="AI213" s="262"/>
      <c r="AJ213" s="262"/>
      <c r="AK213" s="262"/>
      <c r="AL213" s="262"/>
      <c r="AM213" s="262"/>
      <c r="AN213" s="263"/>
      <c r="AO213" s="175">
        <f t="shared" si="12"/>
        <v>197</v>
      </c>
      <c r="AP213" s="291"/>
      <c r="AQ213" s="292"/>
      <c r="AR213" s="292"/>
      <c r="AS213" s="292"/>
      <c r="AT213" s="292"/>
      <c r="AU213" s="293"/>
      <c r="AV213" s="288" t="s">
        <v>1161</v>
      </c>
      <c r="AW213" s="289"/>
      <c r="AX213" s="289"/>
      <c r="AY213" s="289"/>
      <c r="AZ213" s="289"/>
      <c r="BA213" s="289"/>
      <c r="BB213" s="289"/>
      <c r="BC213" s="290"/>
      <c r="BD213" s="178"/>
      <c r="BE213" s="180"/>
      <c r="BF213" s="261" t="s">
        <v>1162</v>
      </c>
      <c r="BG213" s="262"/>
      <c r="BH213" s="262"/>
      <c r="BI213" s="262"/>
      <c r="BJ213" s="262"/>
      <c r="BK213" s="262"/>
      <c r="BL213" s="262"/>
      <c r="BM213" s="262"/>
      <c r="BN213" s="263"/>
      <c r="BO213" s="261" t="s">
        <v>1163</v>
      </c>
      <c r="BP213" s="262"/>
      <c r="BQ213" s="262"/>
      <c r="BR213" s="262"/>
      <c r="BS213" s="262"/>
      <c r="BT213" s="263"/>
      <c r="BU213" s="241"/>
      <c r="BW213" s="280">
        <v>238</v>
      </c>
      <c r="BX213" s="281"/>
    </row>
    <row r="214" spans="1:76" ht="12" customHeight="1">
      <c r="A214" s="197"/>
      <c r="B214" s="174">
        <f t="shared" si="11"/>
        <v>198</v>
      </c>
      <c r="C214" s="291"/>
      <c r="D214" s="292"/>
      <c r="E214" s="292"/>
      <c r="F214" s="292"/>
      <c r="G214" s="292"/>
      <c r="H214" s="293"/>
      <c r="I214" s="288" t="s">
        <v>1164</v>
      </c>
      <c r="J214" s="289"/>
      <c r="K214" s="289"/>
      <c r="L214" s="289"/>
      <c r="M214" s="289"/>
      <c r="N214" s="289"/>
      <c r="O214" s="289"/>
      <c r="P214" s="290"/>
      <c r="Q214" s="261" t="s">
        <v>718</v>
      </c>
      <c r="R214" s="262"/>
      <c r="S214" s="262"/>
      <c r="T214" s="262"/>
      <c r="U214" s="262"/>
      <c r="V214" s="262"/>
      <c r="W214" s="262"/>
      <c r="X214" s="262"/>
      <c r="Y214" s="262"/>
      <c r="Z214" s="262"/>
      <c r="AA214" s="262"/>
      <c r="AB214" s="262"/>
      <c r="AC214" s="262"/>
      <c r="AD214" s="262"/>
      <c r="AE214" s="262"/>
      <c r="AF214" s="262"/>
      <c r="AG214" s="262"/>
      <c r="AH214" s="262"/>
      <c r="AI214" s="262"/>
      <c r="AJ214" s="262"/>
      <c r="AK214" s="262"/>
      <c r="AL214" s="262"/>
      <c r="AM214" s="262"/>
      <c r="AN214" s="263"/>
      <c r="AO214" s="175">
        <f t="shared" si="12"/>
        <v>198</v>
      </c>
      <c r="AP214" s="291"/>
      <c r="AQ214" s="292"/>
      <c r="AR214" s="292"/>
      <c r="AS214" s="292"/>
      <c r="AT214" s="292"/>
      <c r="AU214" s="293"/>
      <c r="AV214" s="288" t="s">
        <v>1165</v>
      </c>
      <c r="AW214" s="289"/>
      <c r="AX214" s="289"/>
      <c r="AY214" s="289"/>
      <c r="AZ214" s="289"/>
      <c r="BA214" s="289"/>
      <c r="BB214" s="289"/>
      <c r="BC214" s="290"/>
      <c r="BD214" s="196"/>
      <c r="BE214" s="180"/>
      <c r="BF214" s="261" t="s">
        <v>1165</v>
      </c>
      <c r="BG214" s="262"/>
      <c r="BH214" s="262"/>
      <c r="BI214" s="262"/>
      <c r="BJ214" s="262"/>
      <c r="BK214" s="262"/>
      <c r="BL214" s="262"/>
      <c r="BM214" s="262"/>
      <c r="BN214" s="263"/>
      <c r="BO214" s="261" t="s">
        <v>1166</v>
      </c>
      <c r="BP214" s="262"/>
      <c r="BQ214" s="262"/>
      <c r="BR214" s="262"/>
      <c r="BS214" s="262"/>
      <c r="BT214" s="263"/>
      <c r="BU214" s="241"/>
      <c r="BW214" s="280">
        <v>1</v>
      </c>
      <c r="BX214" s="281"/>
    </row>
    <row r="215" spans="1:76" ht="12" customHeight="1">
      <c r="A215" s="197"/>
      <c r="B215" s="174">
        <f t="shared" si="11"/>
        <v>199</v>
      </c>
      <c r="C215" s="291"/>
      <c r="D215" s="292"/>
      <c r="E215" s="292"/>
      <c r="F215" s="292"/>
      <c r="G215" s="292"/>
      <c r="H215" s="293"/>
      <c r="I215" s="288" t="s">
        <v>1167</v>
      </c>
      <c r="J215" s="289"/>
      <c r="K215" s="289"/>
      <c r="L215" s="289"/>
      <c r="M215" s="289"/>
      <c r="N215" s="289"/>
      <c r="O215" s="289"/>
      <c r="P215" s="290"/>
      <c r="Q215" s="261" t="s">
        <v>677</v>
      </c>
      <c r="R215" s="262"/>
      <c r="S215" s="262"/>
      <c r="T215" s="262"/>
      <c r="U215" s="262"/>
      <c r="V215" s="262"/>
      <c r="W215" s="262"/>
      <c r="X215" s="262"/>
      <c r="Y215" s="262"/>
      <c r="Z215" s="262"/>
      <c r="AA215" s="262"/>
      <c r="AB215" s="262"/>
      <c r="AC215" s="262"/>
      <c r="AD215" s="262"/>
      <c r="AE215" s="262"/>
      <c r="AF215" s="262"/>
      <c r="AG215" s="262"/>
      <c r="AH215" s="262"/>
      <c r="AI215" s="262"/>
      <c r="AJ215" s="262"/>
      <c r="AK215" s="262"/>
      <c r="AL215" s="262"/>
      <c r="AM215" s="262"/>
      <c r="AN215" s="263"/>
      <c r="AO215" s="175">
        <f t="shared" si="12"/>
        <v>199</v>
      </c>
      <c r="AP215" s="291"/>
      <c r="AQ215" s="292"/>
      <c r="AR215" s="292"/>
      <c r="AS215" s="292"/>
      <c r="AT215" s="292"/>
      <c r="AU215" s="293"/>
      <c r="AV215" s="288" t="s">
        <v>131</v>
      </c>
      <c r="AW215" s="289"/>
      <c r="AX215" s="289"/>
      <c r="AY215" s="289"/>
      <c r="AZ215" s="289"/>
      <c r="BA215" s="289"/>
      <c r="BB215" s="289"/>
      <c r="BC215" s="290"/>
      <c r="BD215" s="196"/>
      <c r="BE215" s="180"/>
      <c r="BF215" s="261" t="s">
        <v>1168</v>
      </c>
      <c r="BG215" s="262"/>
      <c r="BH215" s="262"/>
      <c r="BI215" s="262"/>
      <c r="BJ215" s="262"/>
      <c r="BK215" s="262"/>
      <c r="BL215" s="262"/>
      <c r="BM215" s="262"/>
      <c r="BN215" s="263"/>
      <c r="BO215" s="261" t="s">
        <v>1169</v>
      </c>
      <c r="BP215" s="262"/>
      <c r="BQ215" s="262"/>
      <c r="BR215" s="262"/>
      <c r="BS215" s="262"/>
      <c r="BT215" s="263"/>
      <c r="BU215" s="241"/>
      <c r="BW215" s="280">
        <v>26</v>
      </c>
      <c r="BX215" s="281"/>
    </row>
    <row r="216" spans="1:76" ht="12" customHeight="1">
      <c r="A216" s="197"/>
      <c r="B216" s="174">
        <f>B215+1</f>
        <v>200</v>
      </c>
      <c r="C216" s="291"/>
      <c r="D216" s="292"/>
      <c r="E216" s="292"/>
      <c r="F216" s="292"/>
      <c r="G216" s="292"/>
      <c r="H216" s="293"/>
      <c r="I216" s="288" t="s">
        <v>1167</v>
      </c>
      <c r="J216" s="289"/>
      <c r="K216" s="289"/>
      <c r="L216" s="289"/>
      <c r="M216" s="289"/>
      <c r="N216" s="289"/>
      <c r="O216" s="289"/>
      <c r="P216" s="290"/>
      <c r="Q216" s="261" t="s">
        <v>677</v>
      </c>
      <c r="R216" s="262"/>
      <c r="S216" s="262"/>
      <c r="T216" s="262"/>
      <c r="U216" s="262"/>
      <c r="V216" s="262"/>
      <c r="W216" s="262"/>
      <c r="X216" s="262"/>
      <c r="Y216" s="262"/>
      <c r="Z216" s="262"/>
      <c r="AA216" s="262"/>
      <c r="AB216" s="262"/>
      <c r="AC216" s="262"/>
      <c r="AD216" s="262"/>
      <c r="AE216" s="262"/>
      <c r="AF216" s="262"/>
      <c r="AG216" s="262"/>
      <c r="AH216" s="262"/>
      <c r="AI216" s="262"/>
      <c r="AJ216" s="262"/>
      <c r="AK216" s="262"/>
      <c r="AL216" s="262"/>
      <c r="AM216" s="262"/>
      <c r="AN216" s="263"/>
      <c r="AO216" s="175">
        <f>AO215+1</f>
        <v>200</v>
      </c>
      <c r="AP216" s="291"/>
      <c r="AQ216" s="292"/>
      <c r="AR216" s="292"/>
      <c r="AS216" s="292"/>
      <c r="AT216" s="292"/>
      <c r="AU216" s="293"/>
      <c r="AV216" s="288" t="s">
        <v>133</v>
      </c>
      <c r="AW216" s="289"/>
      <c r="AX216" s="289"/>
      <c r="AY216" s="289"/>
      <c r="AZ216" s="289"/>
      <c r="BA216" s="289"/>
      <c r="BB216" s="289"/>
      <c r="BC216" s="290"/>
      <c r="BD216" s="198"/>
      <c r="BE216" s="180"/>
      <c r="BF216" s="261" t="s">
        <v>1170</v>
      </c>
      <c r="BG216" s="262"/>
      <c r="BH216" s="262"/>
      <c r="BI216" s="262"/>
      <c r="BJ216" s="262"/>
      <c r="BK216" s="262"/>
      <c r="BL216" s="262"/>
      <c r="BM216" s="262"/>
      <c r="BN216" s="263"/>
      <c r="BO216" s="261" t="s">
        <v>1171</v>
      </c>
      <c r="BP216" s="262"/>
      <c r="BQ216" s="262"/>
      <c r="BR216" s="262"/>
      <c r="BS216" s="262"/>
      <c r="BT216" s="263"/>
      <c r="BU216" s="241"/>
      <c r="BW216" s="280">
        <v>26</v>
      </c>
      <c r="BX216" s="281"/>
    </row>
    <row r="217" spans="1:76" ht="12" customHeight="1">
      <c r="A217" s="178"/>
      <c r="B217" s="174">
        <f>B216+1</f>
        <v>201</v>
      </c>
      <c r="C217" s="291"/>
      <c r="D217" s="292"/>
      <c r="E217" s="292"/>
      <c r="F217" s="292"/>
      <c r="G217" s="292"/>
      <c r="H217" s="293"/>
      <c r="I217" s="288" t="s">
        <v>1172</v>
      </c>
      <c r="J217" s="289"/>
      <c r="K217" s="289"/>
      <c r="L217" s="289"/>
      <c r="M217" s="289"/>
      <c r="N217" s="289"/>
      <c r="O217" s="289"/>
      <c r="P217" s="290"/>
      <c r="Q217" s="294" t="s">
        <v>1173</v>
      </c>
      <c r="R217" s="295"/>
      <c r="S217" s="295"/>
      <c r="T217" s="295"/>
      <c r="U217" s="295"/>
      <c r="V217" s="295"/>
      <c r="W217" s="295"/>
      <c r="X217" s="295"/>
      <c r="Y217" s="295"/>
      <c r="Z217" s="295"/>
      <c r="AA217" s="295"/>
      <c r="AB217" s="295"/>
      <c r="AC217" s="295"/>
      <c r="AD217" s="295"/>
      <c r="AE217" s="295"/>
      <c r="AF217" s="295"/>
      <c r="AG217" s="295"/>
      <c r="AH217" s="295"/>
      <c r="AI217" s="295"/>
      <c r="AJ217" s="295"/>
      <c r="AK217" s="295"/>
      <c r="AL217" s="295"/>
      <c r="AM217" s="295"/>
      <c r="AN217" s="296"/>
      <c r="AO217" s="175">
        <f>AO216+1</f>
        <v>201</v>
      </c>
      <c r="AP217" s="291"/>
      <c r="AQ217" s="292"/>
      <c r="AR217" s="292"/>
      <c r="AS217" s="292"/>
      <c r="AT217" s="292"/>
      <c r="AU217" s="293"/>
      <c r="AV217" s="288" t="s">
        <v>135</v>
      </c>
      <c r="AW217" s="289"/>
      <c r="AX217" s="289"/>
      <c r="AY217" s="289"/>
      <c r="AZ217" s="289"/>
      <c r="BA217" s="289"/>
      <c r="BB217" s="289"/>
      <c r="BC217" s="290"/>
      <c r="BD217" s="196"/>
      <c r="BE217" s="180"/>
      <c r="BF217" s="261" t="s">
        <v>135</v>
      </c>
      <c r="BG217" s="262"/>
      <c r="BH217" s="262"/>
      <c r="BI217" s="262"/>
      <c r="BJ217" s="262"/>
      <c r="BK217" s="262"/>
      <c r="BL217" s="262"/>
      <c r="BM217" s="262"/>
      <c r="BN217" s="263"/>
      <c r="BO217" s="261" t="s">
        <v>1174</v>
      </c>
      <c r="BP217" s="262"/>
      <c r="BQ217" s="262"/>
      <c r="BR217" s="262"/>
      <c r="BS217" s="262"/>
      <c r="BT217" s="263"/>
      <c r="BU217" s="241"/>
      <c r="BW217" s="280">
        <v>12</v>
      </c>
      <c r="BX217" s="281"/>
    </row>
    <row r="218" spans="1:76" ht="12" customHeight="1">
      <c r="A218" s="178"/>
      <c r="B218" s="174">
        <f>B217+1</f>
        <v>202</v>
      </c>
      <c r="C218" s="291"/>
      <c r="D218" s="292"/>
      <c r="E218" s="292"/>
      <c r="F218" s="292"/>
      <c r="G218" s="292"/>
      <c r="H218" s="293"/>
      <c r="I218" s="288" t="s">
        <v>1172</v>
      </c>
      <c r="J218" s="289"/>
      <c r="K218" s="289"/>
      <c r="L218" s="289"/>
      <c r="M218" s="289"/>
      <c r="N218" s="289"/>
      <c r="O218" s="289"/>
      <c r="P218" s="290"/>
      <c r="Q218" s="261" t="s">
        <v>1175</v>
      </c>
      <c r="R218" s="262"/>
      <c r="S218" s="262"/>
      <c r="T218" s="262"/>
      <c r="U218" s="262"/>
      <c r="V218" s="262"/>
      <c r="W218" s="262"/>
      <c r="X218" s="262"/>
      <c r="Y218" s="262"/>
      <c r="Z218" s="262"/>
      <c r="AA218" s="262"/>
      <c r="AB218" s="262"/>
      <c r="AC218" s="262"/>
      <c r="AD218" s="262"/>
      <c r="AE218" s="262"/>
      <c r="AF218" s="262"/>
      <c r="AG218" s="262"/>
      <c r="AH218" s="262"/>
      <c r="AI218" s="262"/>
      <c r="AJ218" s="262"/>
      <c r="AK218" s="262"/>
      <c r="AL218" s="262"/>
      <c r="AM218" s="262"/>
      <c r="AN218" s="263"/>
      <c r="AO218" s="175">
        <f>AO217+1</f>
        <v>202</v>
      </c>
      <c r="AP218" s="291"/>
      <c r="AQ218" s="292"/>
      <c r="AR218" s="292"/>
      <c r="AS218" s="292"/>
      <c r="AT218" s="292"/>
      <c r="AU218" s="293"/>
      <c r="AV218" s="288" t="s">
        <v>137</v>
      </c>
      <c r="AW218" s="289"/>
      <c r="AX218" s="289"/>
      <c r="AY218" s="289"/>
      <c r="AZ218" s="289"/>
      <c r="BA218" s="289"/>
      <c r="BB218" s="289"/>
      <c r="BC218" s="290"/>
      <c r="BD218" s="179"/>
      <c r="BE218" s="180"/>
      <c r="BF218" s="261" t="s">
        <v>137</v>
      </c>
      <c r="BG218" s="262"/>
      <c r="BH218" s="262"/>
      <c r="BI218" s="262"/>
      <c r="BJ218" s="262"/>
      <c r="BK218" s="262"/>
      <c r="BL218" s="262"/>
      <c r="BM218" s="262"/>
      <c r="BN218" s="263"/>
      <c r="BO218" s="261" t="s">
        <v>1176</v>
      </c>
      <c r="BP218" s="262"/>
      <c r="BQ218" s="262"/>
      <c r="BR218" s="262"/>
      <c r="BS218" s="262"/>
      <c r="BT218" s="263"/>
      <c r="BU218" s="241"/>
      <c r="BW218" s="280">
        <v>10</v>
      </c>
      <c r="BX218" s="281"/>
    </row>
    <row r="219" spans="1:76" ht="12" customHeight="1">
      <c r="A219" s="178"/>
      <c r="B219" s="185">
        <f t="shared" ref="B219" si="13">B218+1</f>
        <v>203</v>
      </c>
      <c r="C219" s="286"/>
      <c r="D219" s="285"/>
      <c r="E219" s="285"/>
      <c r="F219" s="285"/>
      <c r="G219" s="285"/>
      <c r="H219" s="287"/>
      <c r="I219" s="288" t="s">
        <v>1177</v>
      </c>
      <c r="J219" s="289"/>
      <c r="K219" s="289"/>
      <c r="L219" s="289"/>
      <c r="M219" s="289"/>
      <c r="N219" s="289"/>
      <c r="O219" s="289"/>
      <c r="P219" s="290"/>
      <c r="Q219" s="261" t="s">
        <v>1178</v>
      </c>
      <c r="R219" s="262"/>
      <c r="S219" s="262"/>
      <c r="T219" s="262"/>
      <c r="U219" s="262"/>
      <c r="V219" s="262"/>
      <c r="W219" s="262"/>
      <c r="X219" s="262"/>
      <c r="Y219" s="262"/>
      <c r="Z219" s="262"/>
      <c r="AA219" s="262"/>
      <c r="AB219" s="262"/>
      <c r="AC219" s="262"/>
      <c r="AD219" s="262"/>
      <c r="AE219" s="262"/>
      <c r="AF219" s="262"/>
      <c r="AG219" s="262"/>
      <c r="AH219" s="262"/>
      <c r="AI219" s="262"/>
      <c r="AJ219" s="262"/>
      <c r="AK219" s="262"/>
      <c r="AL219" s="262"/>
      <c r="AM219" s="262"/>
      <c r="AN219" s="263"/>
      <c r="AO219" s="181">
        <f t="shared" ref="AO219" si="14">AO218+1</f>
        <v>203</v>
      </c>
      <c r="AP219" s="286"/>
      <c r="AQ219" s="285"/>
      <c r="AR219" s="285"/>
      <c r="AS219" s="285"/>
      <c r="AT219" s="285"/>
      <c r="AU219" s="287"/>
      <c r="AV219" s="288" t="s">
        <v>139</v>
      </c>
      <c r="AW219" s="289"/>
      <c r="AX219" s="289"/>
      <c r="AY219" s="289"/>
      <c r="AZ219" s="289"/>
      <c r="BA219" s="289"/>
      <c r="BB219" s="289"/>
      <c r="BC219" s="290"/>
      <c r="BD219" s="178"/>
      <c r="BE219" s="180"/>
      <c r="BF219" s="261" t="s">
        <v>139</v>
      </c>
      <c r="BG219" s="262"/>
      <c r="BH219" s="262"/>
      <c r="BI219" s="262"/>
      <c r="BJ219" s="262"/>
      <c r="BK219" s="262"/>
      <c r="BL219" s="262"/>
      <c r="BM219" s="262"/>
      <c r="BN219" s="263"/>
      <c r="BO219" s="261" t="s">
        <v>1179</v>
      </c>
      <c r="BP219" s="262"/>
      <c r="BQ219" s="262"/>
      <c r="BR219" s="262"/>
      <c r="BS219" s="262"/>
      <c r="BT219" s="263"/>
      <c r="BU219" s="241"/>
      <c r="BW219" s="280">
        <v>1</v>
      </c>
      <c r="BX219" s="281"/>
    </row>
    <row r="220" spans="1:76" ht="12" customHeight="1">
      <c r="A220" s="178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  <c r="R220" s="204"/>
      <c r="S220" s="204"/>
      <c r="T220" s="204"/>
      <c r="U220" s="204"/>
      <c r="V220" s="204"/>
      <c r="W220" s="204"/>
      <c r="X220" s="204"/>
      <c r="Y220" s="204"/>
      <c r="Z220" s="204"/>
      <c r="AA220" s="204"/>
      <c r="AB220" s="204"/>
      <c r="AC220" s="204"/>
      <c r="AD220" s="204"/>
      <c r="AE220" s="204"/>
      <c r="AF220" s="204"/>
      <c r="AG220" s="204"/>
      <c r="AH220" s="204"/>
      <c r="AI220" s="204"/>
      <c r="AJ220" s="204"/>
      <c r="AK220" s="204"/>
      <c r="AL220" s="204"/>
      <c r="AM220" s="204"/>
      <c r="AN220" s="204"/>
      <c r="AO220" s="204"/>
      <c r="AP220" s="204"/>
      <c r="AQ220" s="204"/>
      <c r="AR220" s="204"/>
      <c r="AS220" s="204"/>
      <c r="AT220" s="204"/>
      <c r="AU220" s="204"/>
      <c r="AV220" s="204"/>
      <c r="AW220" s="204"/>
      <c r="AX220" s="204"/>
      <c r="AY220" s="204"/>
      <c r="AZ220" s="204"/>
      <c r="BA220" s="204"/>
      <c r="BB220" s="204"/>
      <c r="BC220" s="204"/>
      <c r="BD220" s="204"/>
      <c r="BE220" s="180"/>
    </row>
    <row r="221" spans="1:76" ht="12" customHeight="1">
      <c r="A221" s="178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  <c r="R221" s="204"/>
      <c r="S221" s="204"/>
      <c r="T221" s="204"/>
      <c r="U221" s="204"/>
      <c r="V221" s="204"/>
      <c r="W221" s="204"/>
      <c r="X221" s="204"/>
      <c r="Y221" s="204"/>
      <c r="Z221" s="204"/>
      <c r="AA221" s="204"/>
      <c r="AB221" s="204"/>
      <c r="AC221" s="204"/>
      <c r="AD221" s="204"/>
      <c r="AE221" s="204"/>
      <c r="AF221" s="204"/>
      <c r="AG221" s="204"/>
      <c r="AH221" s="204"/>
      <c r="AI221" s="204"/>
      <c r="AJ221" s="204"/>
      <c r="AK221" s="204"/>
      <c r="AL221" s="204"/>
      <c r="AM221" s="204"/>
      <c r="AN221" s="204"/>
      <c r="AO221" s="204"/>
      <c r="AP221" s="204"/>
      <c r="AQ221" s="204"/>
      <c r="AR221" s="204"/>
      <c r="AS221" s="204"/>
      <c r="AT221" s="204"/>
      <c r="AU221" s="204"/>
      <c r="AV221" s="204"/>
      <c r="AW221" s="204"/>
      <c r="AX221" s="204"/>
      <c r="AY221" s="204"/>
      <c r="AZ221" s="204"/>
      <c r="BA221" s="204"/>
      <c r="BB221" s="204"/>
      <c r="BC221" s="204"/>
      <c r="BD221" s="204"/>
      <c r="BE221" s="180"/>
    </row>
    <row r="222" spans="1:76" ht="12" customHeight="1">
      <c r="A222" s="178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4"/>
      <c r="AH222" s="204"/>
      <c r="AI222" s="204"/>
      <c r="AJ222" s="204"/>
      <c r="AK222" s="204"/>
      <c r="AL222" s="204"/>
      <c r="AM222" s="204"/>
      <c r="AN222" s="204"/>
      <c r="AO222" s="204"/>
      <c r="AP222" s="204"/>
      <c r="AQ222" s="204"/>
      <c r="AR222" s="204"/>
      <c r="AS222" s="204"/>
      <c r="AT222" s="204"/>
      <c r="AU222" s="204"/>
      <c r="AV222" s="204"/>
      <c r="AW222" s="204"/>
      <c r="AX222" s="204"/>
      <c r="AY222" s="204"/>
      <c r="AZ222" s="204"/>
      <c r="BA222" s="204"/>
      <c r="BB222" s="204"/>
      <c r="BC222" s="204"/>
      <c r="BD222" s="204"/>
      <c r="BE222" s="180"/>
    </row>
    <row r="223" spans="1:76" ht="12" customHeight="1">
      <c r="A223" s="178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  <c r="R223" s="204"/>
      <c r="S223" s="204"/>
      <c r="T223" s="204"/>
      <c r="U223" s="204"/>
      <c r="V223" s="204"/>
      <c r="W223" s="204"/>
      <c r="X223" s="204"/>
      <c r="Y223" s="204"/>
      <c r="Z223" s="204"/>
      <c r="AA223" s="204"/>
      <c r="AB223" s="204"/>
      <c r="AC223" s="204"/>
      <c r="AD223" s="204"/>
      <c r="AE223" s="204"/>
      <c r="AF223" s="204"/>
      <c r="AG223" s="204"/>
      <c r="AH223" s="204"/>
      <c r="AI223" s="204"/>
      <c r="AJ223" s="204"/>
      <c r="AK223" s="204"/>
      <c r="AL223" s="204"/>
      <c r="AM223" s="204"/>
      <c r="AN223" s="204"/>
      <c r="AO223" s="204"/>
      <c r="AP223" s="204"/>
      <c r="AQ223" s="204"/>
      <c r="AR223" s="204"/>
      <c r="AS223" s="204"/>
      <c r="AT223" s="204"/>
      <c r="AU223" s="204"/>
      <c r="AV223" s="204"/>
      <c r="AW223" s="204"/>
      <c r="AX223" s="204"/>
      <c r="AY223" s="204"/>
      <c r="AZ223" s="204"/>
      <c r="BA223" s="204"/>
      <c r="BB223" s="204"/>
      <c r="BC223" s="204"/>
      <c r="BD223" s="204"/>
      <c r="BE223" s="180"/>
    </row>
    <row r="224" spans="1:76" ht="12" customHeight="1">
      <c r="A224" s="199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  <c r="R224" s="204"/>
      <c r="S224" s="204"/>
      <c r="T224" s="204"/>
      <c r="U224" s="204"/>
      <c r="V224" s="204"/>
      <c r="W224" s="204"/>
      <c r="X224" s="204"/>
      <c r="Y224" s="204"/>
      <c r="Z224" s="204"/>
      <c r="AA224" s="204"/>
      <c r="AB224" s="204"/>
      <c r="AC224" s="204"/>
      <c r="AD224" s="204"/>
      <c r="AE224" s="204"/>
      <c r="AF224" s="204"/>
      <c r="AG224" s="204"/>
      <c r="AH224" s="204"/>
      <c r="AI224" s="204"/>
      <c r="AJ224" s="204"/>
      <c r="AK224" s="204"/>
      <c r="AL224" s="204"/>
      <c r="AM224" s="204"/>
      <c r="AN224" s="204"/>
      <c r="AO224" s="204"/>
      <c r="AP224" s="204"/>
      <c r="AQ224" s="204"/>
      <c r="AR224" s="204"/>
      <c r="AS224" s="204"/>
      <c r="AT224" s="204"/>
      <c r="AU224" s="204"/>
      <c r="AV224" s="204"/>
      <c r="AW224" s="204"/>
      <c r="AX224" s="204"/>
      <c r="AY224" s="204"/>
      <c r="AZ224" s="204"/>
      <c r="BA224" s="204"/>
      <c r="BB224" s="204"/>
      <c r="BC224" s="204"/>
      <c r="BD224" s="204"/>
      <c r="BE224" s="180"/>
    </row>
    <row r="225" spans="1:57" ht="12" customHeight="1">
      <c r="A225" s="199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  <c r="R225" s="204"/>
      <c r="S225" s="204"/>
      <c r="T225" s="204"/>
      <c r="U225" s="204"/>
      <c r="V225" s="204"/>
      <c r="W225" s="204"/>
      <c r="X225" s="204"/>
      <c r="Y225" s="204"/>
      <c r="Z225" s="204"/>
      <c r="AA225" s="204"/>
      <c r="AB225" s="204"/>
      <c r="AC225" s="204"/>
      <c r="AD225" s="204"/>
      <c r="AE225" s="204"/>
      <c r="AF225" s="204"/>
      <c r="AG225" s="204"/>
      <c r="AH225" s="204"/>
      <c r="AI225" s="204"/>
      <c r="AJ225" s="204"/>
      <c r="AK225" s="204"/>
      <c r="AL225" s="204"/>
      <c r="AM225" s="204"/>
      <c r="AN225" s="204"/>
      <c r="AO225" s="204"/>
      <c r="AP225" s="204"/>
      <c r="AQ225" s="204"/>
      <c r="AR225" s="204"/>
      <c r="AS225" s="204"/>
      <c r="AT225" s="204"/>
      <c r="AU225" s="204"/>
      <c r="AV225" s="204"/>
      <c r="AW225" s="204"/>
      <c r="AX225" s="204"/>
      <c r="AY225" s="204"/>
      <c r="AZ225" s="204"/>
      <c r="BA225" s="204"/>
      <c r="BB225" s="204"/>
      <c r="BC225" s="204"/>
      <c r="BD225" s="204"/>
      <c r="BE225" s="180"/>
    </row>
    <row r="226" spans="1:57" ht="12" customHeight="1">
      <c r="A226" s="199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  <c r="R226" s="204"/>
      <c r="S226" s="204"/>
      <c r="T226" s="204"/>
      <c r="U226" s="204"/>
      <c r="V226" s="204"/>
      <c r="W226" s="204"/>
      <c r="X226" s="204"/>
      <c r="Y226" s="204"/>
      <c r="Z226" s="204"/>
      <c r="AA226" s="204"/>
      <c r="AB226" s="204"/>
      <c r="AC226" s="204"/>
      <c r="AD226" s="204"/>
      <c r="AE226" s="204"/>
      <c r="AF226" s="204"/>
      <c r="AG226" s="204"/>
      <c r="AH226" s="204"/>
      <c r="AI226" s="204"/>
      <c r="AJ226" s="204"/>
      <c r="AK226" s="204"/>
      <c r="AL226" s="204"/>
      <c r="AM226" s="204"/>
      <c r="AN226" s="204"/>
      <c r="AO226" s="204"/>
      <c r="AP226" s="204"/>
      <c r="AQ226" s="204"/>
      <c r="AR226" s="204"/>
      <c r="AS226" s="204"/>
      <c r="AT226" s="204"/>
      <c r="AU226" s="204"/>
      <c r="AV226" s="204"/>
      <c r="AW226" s="204"/>
      <c r="AX226" s="204"/>
      <c r="AY226" s="204"/>
      <c r="AZ226" s="204"/>
      <c r="BA226" s="204"/>
      <c r="BB226" s="204"/>
      <c r="BC226" s="204"/>
      <c r="BD226" s="204"/>
      <c r="BE226" s="180"/>
    </row>
    <row r="227" spans="1:57" ht="12" customHeight="1">
      <c r="A227" s="199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  <c r="R227" s="204"/>
      <c r="S227" s="204"/>
      <c r="T227" s="204"/>
      <c r="U227" s="204"/>
      <c r="V227" s="204"/>
      <c r="W227" s="204"/>
      <c r="X227" s="204"/>
      <c r="Y227" s="204"/>
      <c r="Z227" s="204"/>
      <c r="AA227" s="204"/>
      <c r="AB227" s="204"/>
      <c r="AC227" s="204"/>
      <c r="AD227" s="204"/>
      <c r="AE227" s="204"/>
      <c r="AF227" s="204"/>
      <c r="AG227" s="204"/>
      <c r="AH227" s="204"/>
      <c r="AI227" s="204"/>
      <c r="AJ227" s="204"/>
      <c r="AK227" s="204"/>
      <c r="AL227" s="204"/>
      <c r="AM227" s="204"/>
      <c r="AN227" s="204"/>
      <c r="AO227" s="204"/>
      <c r="AP227" s="204"/>
      <c r="AQ227" s="204"/>
      <c r="AR227" s="204"/>
      <c r="AS227" s="204"/>
      <c r="AT227" s="204"/>
      <c r="AU227" s="204"/>
      <c r="AV227" s="204"/>
      <c r="AW227" s="204"/>
      <c r="AX227" s="204"/>
      <c r="AY227" s="204"/>
      <c r="AZ227" s="204"/>
      <c r="BA227" s="204"/>
      <c r="BB227" s="204"/>
      <c r="BC227" s="204"/>
      <c r="BD227" s="204"/>
      <c r="BE227" s="180"/>
    </row>
    <row r="228" spans="1:57" ht="12" customHeight="1">
      <c r="A228" s="199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  <c r="R228" s="204"/>
      <c r="S228" s="204"/>
      <c r="T228" s="204"/>
      <c r="U228" s="204"/>
      <c r="V228" s="204"/>
      <c r="W228" s="204"/>
      <c r="X228" s="204"/>
      <c r="Y228" s="204"/>
      <c r="Z228" s="204"/>
      <c r="AA228" s="204"/>
      <c r="AB228" s="204"/>
      <c r="AC228" s="204"/>
      <c r="AD228" s="204"/>
      <c r="AE228" s="204"/>
      <c r="AF228" s="204"/>
      <c r="AG228" s="204"/>
      <c r="AH228" s="204"/>
      <c r="AI228" s="204"/>
      <c r="AJ228" s="204"/>
      <c r="AK228" s="204"/>
      <c r="AL228" s="204"/>
      <c r="AM228" s="204"/>
      <c r="AN228" s="204"/>
      <c r="AO228" s="204"/>
      <c r="AP228" s="204"/>
      <c r="AQ228" s="204"/>
      <c r="AR228" s="204"/>
      <c r="AS228" s="204"/>
      <c r="AT228" s="204"/>
      <c r="AU228" s="204"/>
      <c r="AV228" s="204"/>
      <c r="AW228" s="204"/>
      <c r="AX228" s="204"/>
      <c r="AY228" s="204"/>
      <c r="AZ228" s="204"/>
      <c r="BA228" s="204"/>
      <c r="BB228" s="204"/>
      <c r="BC228" s="204"/>
      <c r="BD228" s="204"/>
      <c r="BE228" s="180"/>
    </row>
    <row r="229" spans="1:57" ht="12" customHeight="1">
      <c r="A229" s="199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  <c r="R229" s="204"/>
      <c r="S229" s="204"/>
      <c r="T229" s="204"/>
      <c r="U229" s="204"/>
      <c r="V229" s="204"/>
      <c r="W229" s="204"/>
      <c r="X229" s="204"/>
      <c r="Y229" s="204"/>
      <c r="Z229" s="204"/>
      <c r="AA229" s="204"/>
      <c r="AB229" s="204"/>
      <c r="AC229" s="204"/>
      <c r="AD229" s="204"/>
      <c r="AE229" s="204"/>
      <c r="AF229" s="204"/>
      <c r="AG229" s="204"/>
      <c r="AH229" s="204"/>
      <c r="AI229" s="204"/>
      <c r="AJ229" s="204"/>
      <c r="AK229" s="204"/>
      <c r="AL229" s="204"/>
      <c r="AM229" s="204"/>
      <c r="AN229" s="204"/>
      <c r="AO229" s="204"/>
      <c r="AP229" s="204"/>
      <c r="AQ229" s="204"/>
      <c r="AR229" s="204"/>
      <c r="AS229" s="204"/>
      <c r="AT229" s="204"/>
      <c r="AU229" s="204"/>
      <c r="AV229" s="204"/>
      <c r="AW229" s="204"/>
      <c r="AX229" s="204"/>
      <c r="AY229" s="204"/>
      <c r="AZ229" s="204"/>
      <c r="BA229" s="204"/>
      <c r="BB229" s="204"/>
      <c r="BC229" s="204"/>
      <c r="BD229" s="204"/>
      <c r="BE229" s="180"/>
    </row>
    <row r="230" spans="1:57" ht="12" customHeight="1">
      <c r="A230" s="199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  <c r="R230" s="204"/>
      <c r="S230" s="204"/>
      <c r="T230" s="204"/>
      <c r="U230" s="204"/>
      <c r="V230" s="204"/>
      <c r="W230" s="204"/>
      <c r="X230" s="204"/>
      <c r="Y230" s="204"/>
      <c r="Z230" s="204"/>
      <c r="AA230" s="204"/>
      <c r="AB230" s="204"/>
      <c r="AC230" s="204"/>
      <c r="AD230" s="204"/>
      <c r="AE230" s="204"/>
      <c r="AF230" s="204"/>
      <c r="AG230" s="204"/>
      <c r="AH230" s="204"/>
      <c r="AI230" s="204"/>
      <c r="AJ230" s="204"/>
      <c r="AK230" s="204"/>
      <c r="AL230" s="204"/>
      <c r="AM230" s="204"/>
      <c r="AN230" s="204"/>
      <c r="AO230" s="204"/>
      <c r="AP230" s="204"/>
      <c r="AQ230" s="204"/>
      <c r="AR230" s="204"/>
      <c r="AS230" s="204"/>
      <c r="AT230" s="204"/>
      <c r="AU230" s="204"/>
      <c r="AV230" s="204"/>
      <c r="AW230" s="204"/>
      <c r="AX230" s="204"/>
      <c r="AY230" s="204"/>
      <c r="AZ230" s="204"/>
      <c r="BA230" s="204"/>
      <c r="BB230" s="204"/>
      <c r="BC230" s="204"/>
      <c r="BD230" s="204"/>
      <c r="BE230" s="180"/>
    </row>
    <row r="231" spans="1:57" ht="12" customHeight="1">
      <c r="A231" s="199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  <c r="R231" s="204"/>
      <c r="S231" s="204"/>
      <c r="T231" s="204"/>
      <c r="U231" s="204"/>
      <c r="V231" s="204"/>
      <c r="W231" s="204"/>
      <c r="X231" s="204"/>
      <c r="Y231" s="204"/>
      <c r="Z231" s="204"/>
      <c r="AA231" s="204"/>
      <c r="AB231" s="204"/>
      <c r="AC231" s="204"/>
      <c r="AD231" s="204"/>
      <c r="AE231" s="204"/>
      <c r="AF231" s="204"/>
      <c r="AG231" s="204"/>
      <c r="AH231" s="204"/>
      <c r="AI231" s="204"/>
      <c r="AJ231" s="204"/>
      <c r="AK231" s="204"/>
      <c r="AL231" s="204"/>
      <c r="AM231" s="204"/>
      <c r="AN231" s="204"/>
      <c r="AO231" s="204"/>
      <c r="AP231" s="204"/>
      <c r="AQ231" s="204"/>
      <c r="AR231" s="204"/>
      <c r="AS231" s="204"/>
      <c r="AT231" s="204"/>
      <c r="AU231" s="204"/>
      <c r="AV231" s="204"/>
      <c r="AW231" s="204"/>
      <c r="AX231" s="204"/>
      <c r="AY231" s="204"/>
      <c r="AZ231" s="204"/>
      <c r="BA231" s="204"/>
      <c r="BB231" s="204"/>
      <c r="BC231" s="204"/>
      <c r="BD231" s="204"/>
      <c r="BE231" s="180"/>
    </row>
    <row r="232" spans="1:57" ht="12" customHeight="1">
      <c r="A232" s="199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  <c r="R232" s="204"/>
      <c r="S232" s="204"/>
      <c r="T232" s="204"/>
      <c r="U232" s="204"/>
      <c r="V232" s="204"/>
      <c r="W232" s="204"/>
      <c r="X232" s="204"/>
      <c r="Y232" s="204"/>
      <c r="Z232" s="204"/>
      <c r="AA232" s="204"/>
      <c r="AB232" s="204"/>
      <c r="AC232" s="204"/>
      <c r="AD232" s="204"/>
      <c r="AE232" s="204"/>
      <c r="AF232" s="204"/>
      <c r="AG232" s="204"/>
      <c r="AH232" s="204"/>
      <c r="AI232" s="204"/>
      <c r="AJ232" s="204"/>
      <c r="AK232" s="204"/>
      <c r="AL232" s="204"/>
      <c r="AM232" s="204"/>
      <c r="AN232" s="204"/>
      <c r="AO232" s="204"/>
      <c r="AP232" s="204"/>
      <c r="AQ232" s="204"/>
      <c r="AR232" s="204"/>
      <c r="AS232" s="204"/>
      <c r="AT232" s="204"/>
      <c r="AU232" s="204"/>
      <c r="AV232" s="204"/>
      <c r="AW232" s="204"/>
      <c r="AX232" s="204"/>
      <c r="AY232" s="204"/>
      <c r="AZ232" s="204"/>
      <c r="BA232" s="204"/>
      <c r="BB232" s="204"/>
      <c r="BC232" s="204"/>
      <c r="BD232" s="204"/>
      <c r="BE232" s="180"/>
    </row>
    <row r="233" spans="1:57" ht="12" customHeight="1">
      <c r="A233" s="199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  <c r="R233" s="204"/>
      <c r="S233" s="204"/>
      <c r="T233" s="204"/>
      <c r="U233" s="204"/>
      <c r="V233" s="204"/>
      <c r="W233" s="204"/>
      <c r="X233" s="204"/>
      <c r="Y233" s="204"/>
      <c r="Z233" s="204"/>
      <c r="AA233" s="204"/>
      <c r="AB233" s="204"/>
      <c r="AC233" s="204"/>
      <c r="AD233" s="204"/>
      <c r="AE233" s="204"/>
      <c r="AF233" s="204"/>
      <c r="AG233" s="204"/>
      <c r="AH233" s="204"/>
      <c r="AI233" s="204"/>
      <c r="AJ233" s="204"/>
      <c r="AK233" s="204"/>
      <c r="AL233" s="204"/>
      <c r="AM233" s="204"/>
      <c r="AN233" s="204"/>
      <c r="AO233" s="204"/>
      <c r="AP233" s="204"/>
      <c r="AQ233" s="204"/>
      <c r="AR233" s="204"/>
      <c r="AS233" s="204"/>
      <c r="AT233" s="204"/>
      <c r="AU233" s="204"/>
      <c r="AV233" s="204"/>
      <c r="AW233" s="204"/>
      <c r="AX233" s="204"/>
      <c r="AY233" s="204"/>
      <c r="AZ233" s="204"/>
      <c r="BA233" s="204"/>
      <c r="BB233" s="204"/>
      <c r="BC233" s="204"/>
      <c r="BD233" s="204"/>
      <c r="BE233" s="180"/>
    </row>
    <row r="234" spans="1:57" ht="12" customHeight="1">
      <c r="A234" s="199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  <c r="R234" s="204"/>
      <c r="S234" s="204"/>
      <c r="T234" s="204"/>
      <c r="U234" s="204"/>
      <c r="V234" s="204"/>
      <c r="W234" s="204"/>
      <c r="X234" s="204"/>
      <c r="Y234" s="204"/>
      <c r="Z234" s="204"/>
      <c r="AA234" s="204"/>
      <c r="AB234" s="204"/>
      <c r="AC234" s="204"/>
      <c r="AD234" s="204"/>
      <c r="AE234" s="204"/>
      <c r="AF234" s="204"/>
      <c r="AG234" s="204"/>
      <c r="AH234" s="204"/>
      <c r="AI234" s="204"/>
      <c r="AJ234" s="204"/>
      <c r="AK234" s="204"/>
      <c r="AL234" s="204"/>
      <c r="AM234" s="204"/>
      <c r="AN234" s="204"/>
      <c r="AO234" s="204"/>
      <c r="AP234" s="204"/>
      <c r="AQ234" s="204"/>
      <c r="AR234" s="204"/>
      <c r="AS234" s="204"/>
      <c r="AT234" s="204"/>
      <c r="AU234" s="204"/>
      <c r="AV234" s="204"/>
      <c r="AW234" s="204"/>
      <c r="AX234" s="204"/>
      <c r="AY234" s="204"/>
      <c r="AZ234" s="204"/>
      <c r="BA234" s="204"/>
      <c r="BB234" s="204"/>
      <c r="BC234" s="204"/>
      <c r="BD234" s="204"/>
      <c r="BE234" s="200"/>
    </row>
    <row r="235" spans="1:57" ht="12" customHeight="1">
      <c r="A235" s="199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  <c r="R235" s="204"/>
      <c r="S235" s="204"/>
      <c r="T235" s="204"/>
      <c r="U235" s="204"/>
      <c r="V235" s="204"/>
      <c r="W235" s="204"/>
      <c r="X235" s="204"/>
      <c r="Y235" s="204"/>
      <c r="Z235" s="204"/>
      <c r="AA235" s="204"/>
      <c r="AB235" s="204"/>
      <c r="AC235" s="204"/>
      <c r="AD235" s="204"/>
      <c r="AE235" s="204"/>
      <c r="AF235" s="204"/>
      <c r="AG235" s="204"/>
      <c r="AH235" s="204"/>
      <c r="AI235" s="204"/>
      <c r="AJ235" s="204"/>
      <c r="AK235" s="204"/>
      <c r="AL235" s="204"/>
      <c r="AM235" s="204"/>
      <c r="AN235" s="204"/>
      <c r="AO235" s="204"/>
      <c r="AP235" s="204"/>
      <c r="AQ235" s="204"/>
      <c r="AR235" s="204"/>
      <c r="AS235" s="204"/>
      <c r="AT235" s="204"/>
      <c r="AU235" s="204"/>
      <c r="AV235" s="204"/>
      <c r="AW235" s="204"/>
      <c r="AX235" s="204"/>
      <c r="AY235" s="204"/>
      <c r="AZ235" s="204"/>
      <c r="BA235" s="204"/>
      <c r="BB235" s="204"/>
      <c r="BC235" s="204"/>
      <c r="BD235" s="204"/>
      <c r="BE235" s="200"/>
    </row>
    <row r="236" spans="1:57" ht="12" customHeight="1">
      <c r="A236" s="199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  <c r="R236" s="204"/>
      <c r="S236" s="204"/>
      <c r="T236" s="204"/>
      <c r="U236" s="204"/>
      <c r="V236" s="204"/>
      <c r="W236" s="204"/>
      <c r="X236" s="204"/>
      <c r="Y236" s="204"/>
      <c r="Z236" s="204"/>
      <c r="AA236" s="204"/>
      <c r="AB236" s="204"/>
      <c r="AC236" s="204"/>
      <c r="AD236" s="204"/>
      <c r="AE236" s="204"/>
      <c r="AF236" s="204"/>
      <c r="AG236" s="204"/>
      <c r="AH236" s="204"/>
      <c r="AI236" s="204"/>
      <c r="AJ236" s="204"/>
      <c r="AK236" s="204"/>
      <c r="AL236" s="204"/>
      <c r="AM236" s="204"/>
      <c r="AN236" s="204"/>
      <c r="AO236" s="204"/>
      <c r="AP236" s="204"/>
      <c r="AQ236" s="204"/>
      <c r="AR236" s="204"/>
      <c r="AS236" s="204"/>
      <c r="AT236" s="204"/>
      <c r="AU236" s="204"/>
      <c r="AV236" s="204"/>
      <c r="AW236" s="204"/>
      <c r="AX236" s="204"/>
      <c r="AY236" s="204"/>
      <c r="AZ236" s="204"/>
      <c r="BA236" s="204"/>
      <c r="BB236" s="204"/>
      <c r="BC236" s="204"/>
      <c r="BD236" s="204"/>
      <c r="BE236" s="200"/>
    </row>
    <row r="237" spans="1:57" ht="12" customHeight="1">
      <c r="A237" s="199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  <c r="R237" s="204"/>
      <c r="S237" s="204"/>
      <c r="T237" s="204"/>
      <c r="U237" s="204"/>
      <c r="V237" s="204"/>
      <c r="W237" s="204"/>
      <c r="X237" s="204"/>
      <c r="Y237" s="204"/>
      <c r="Z237" s="204"/>
      <c r="AA237" s="204"/>
      <c r="AB237" s="204"/>
      <c r="AC237" s="204"/>
      <c r="AD237" s="204"/>
      <c r="AE237" s="204"/>
      <c r="AF237" s="204"/>
      <c r="AG237" s="204"/>
      <c r="AH237" s="204"/>
      <c r="AI237" s="204"/>
      <c r="AJ237" s="204"/>
      <c r="AK237" s="204"/>
      <c r="AL237" s="204"/>
      <c r="AM237" s="204"/>
      <c r="AN237" s="204"/>
      <c r="AO237" s="204"/>
      <c r="AP237" s="204"/>
      <c r="AQ237" s="204"/>
      <c r="AR237" s="204"/>
      <c r="AS237" s="204"/>
      <c r="AT237" s="204"/>
      <c r="AU237" s="204"/>
      <c r="AV237" s="204"/>
      <c r="AW237" s="204"/>
      <c r="AX237" s="204"/>
      <c r="AY237" s="204"/>
      <c r="AZ237" s="204"/>
      <c r="BA237" s="204"/>
      <c r="BB237" s="204"/>
      <c r="BC237" s="204"/>
      <c r="BD237" s="204"/>
      <c r="BE237" s="200"/>
    </row>
    <row r="238" spans="1:57" ht="12" customHeight="1">
      <c r="A238" s="199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  <c r="R238" s="204"/>
      <c r="S238" s="204"/>
      <c r="T238" s="204"/>
      <c r="U238" s="204"/>
      <c r="V238" s="204"/>
      <c r="W238" s="204"/>
      <c r="X238" s="204"/>
      <c r="Y238" s="204"/>
      <c r="Z238" s="204"/>
      <c r="AA238" s="204"/>
      <c r="AB238" s="204"/>
      <c r="AC238" s="204"/>
      <c r="AD238" s="204"/>
      <c r="AE238" s="204"/>
      <c r="AF238" s="204"/>
      <c r="AG238" s="204"/>
      <c r="AH238" s="204"/>
      <c r="AI238" s="204"/>
      <c r="AJ238" s="204"/>
      <c r="AK238" s="204"/>
      <c r="AL238" s="204"/>
      <c r="AM238" s="204"/>
      <c r="AN238" s="204"/>
      <c r="AO238" s="204"/>
      <c r="AP238" s="204"/>
      <c r="AQ238" s="204"/>
      <c r="AR238" s="204"/>
      <c r="AS238" s="204"/>
      <c r="AT238" s="204"/>
      <c r="AU238" s="204"/>
      <c r="AV238" s="204"/>
      <c r="AW238" s="204"/>
      <c r="AX238" s="204"/>
      <c r="AY238" s="204"/>
      <c r="AZ238" s="204"/>
      <c r="BA238" s="204"/>
      <c r="BB238" s="204"/>
      <c r="BC238" s="204"/>
      <c r="BD238" s="204"/>
      <c r="BE238" s="200"/>
    </row>
    <row r="239" spans="1:57" ht="12" customHeight="1">
      <c r="A239" s="199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4"/>
      <c r="AH239" s="204"/>
      <c r="AI239" s="204"/>
      <c r="AJ239" s="204"/>
      <c r="AK239" s="204"/>
      <c r="AL239" s="204"/>
      <c r="AM239" s="204"/>
      <c r="AN239" s="204"/>
      <c r="AO239" s="204"/>
      <c r="AP239" s="204"/>
      <c r="AQ239" s="204"/>
      <c r="AR239" s="204"/>
      <c r="AS239" s="204"/>
      <c r="AT239" s="204"/>
      <c r="AU239" s="204"/>
      <c r="AV239" s="204"/>
      <c r="AW239" s="204"/>
      <c r="AX239" s="204"/>
      <c r="AY239" s="204"/>
      <c r="AZ239" s="204"/>
      <c r="BA239" s="204"/>
      <c r="BB239" s="204"/>
      <c r="BC239" s="204"/>
      <c r="BD239" s="204"/>
      <c r="BE239" s="200"/>
    </row>
    <row r="240" spans="1:57" ht="12" customHeight="1">
      <c r="A240" s="201"/>
      <c r="B240" s="131"/>
      <c r="C240" s="282"/>
      <c r="D240" s="282"/>
      <c r="E240" s="282"/>
      <c r="F240" s="282"/>
      <c r="G240" s="282"/>
      <c r="H240" s="282"/>
      <c r="I240" s="283"/>
      <c r="J240" s="283"/>
      <c r="K240" s="283"/>
      <c r="L240" s="283"/>
      <c r="M240" s="283"/>
      <c r="N240" s="283"/>
      <c r="O240" s="283"/>
      <c r="P240" s="283"/>
      <c r="Q240" s="284"/>
      <c r="R240" s="284"/>
      <c r="S240" s="284"/>
      <c r="T240" s="284"/>
      <c r="U240" s="284"/>
      <c r="V240" s="284"/>
      <c r="W240" s="284"/>
      <c r="X240" s="284"/>
      <c r="Y240" s="284"/>
      <c r="Z240" s="284"/>
      <c r="AA240" s="284"/>
      <c r="AB240" s="284"/>
      <c r="AC240" s="284"/>
      <c r="AD240" s="284"/>
      <c r="AE240" s="284"/>
      <c r="AF240" s="284"/>
      <c r="AG240" s="284"/>
      <c r="AH240" s="284"/>
      <c r="AI240" s="284"/>
      <c r="AJ240" s="284"/>
      <c r="AK240" s="284"/>
      <c r="AL240" s="284"/>
      <c r="AM240" s="284"/>
      <c r="AN240" s="284"/>
      <c r="AO240" s="192"/>
      <c r="AP240" s="285"/>
      <c r="AQ240" s="285"/>
      <c r="AR240" s="285"/>
      <c r="AS240" s="285"/>
      <c r="AT240" s="285"/>
      <c r="AU240" s="285"/>
      <c r="AV240" s="283"/>
      <c r="AW240" s="283"/>
      <c r="AX240" s="283"/>
      <c r="AY240" s="283"/>
      <c r="AZ240" s="283"/>
      <c r="BA240" s="283"/>
      <c r="BB240" s="283"/>
      <c r="BC240" s="283"/>
      <c r="BD240" s="202"/>
      <c r="BE240" s="203"/>
    </row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</sheetData>
  <mergeCells count="1658">
    <mergeCell ref="B11:P11"/>
    <mergeCell ref="Q11:AN12"/>
    <mergeCell ref="AO11:BC11"/>
    <mergeCell ref="C13:H13"/>
    <mergeCell ref="I13:P13"/>
    <mergeCell ref="Q13:AN13"/>
    <mergeCell ref="AP13:AU13"/>
    <mergeCell ref="AV13:BC13"/>
    <mergeCell ref="AY3:BE4"/>
    <mergeCell ref="B7:G9"/>
    <mergeCell ref="H7:P9"/>
    <mergeCell ref="Q7:V9"/>
    <mergeCell ref="W7:AQ9"/>
    <mergeCell ref="AR7:AT9"/>
    <mergeCell ref="AU7:AZ9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BO15:BT15"/>
    <mergeCell ref="C16:H16"/>
    <mergeCell ref="I16:P16"/>
    <mergeCell ref="Q16:AN16"/>
    <mergeCell ref="AP16:AU16"/>
    <mergeCell ref="AV16:BC16"/>
    <mergeCell ref="BF16:BN16"/>
    <mergeCell ref="BO16:BT16"/>
    <mergeCell ref="C15:H15"/>
    <mergeCell ref="I15:P15"/>
    <mergeCell ref="Q15:AN15"/>
    <mergeCell ref="AP15:AU15"/>
    <mergeCell ref="AV15:BC15"/>
    <mergeCell ref="BF15:BN15"/>
    <mergeCell ref="BF13:BN13"/>
    <mergeCell ref="BO13:BT13"/>
    <mergeCell ref="C14:H14"/>
    <mergeCell ref="I14:P14"/>
    <mergeCell ref="Q14:AN14"/>
    <mergeCell ref="AP14:AU14"/>
    <mergeCell ref="AV14:BC14"/>
    <mergeCell ref="BF14:BN14"/>
    <mergeCell ref="BO14:BT14"/>
    <mergeCell ref="BO19:BT19"/>
    <mergeCell ref="C20:H20"/>
    <mergeCell ref="I20:P20"/>
    <mergeCell ref="Q20:AN20"/>
    <mergeCell ref="AP20:AU20"/>
    <mergeCell ref="AV20:BC20"/>
    <mergeCell ref="BF20:BN20"/>
    <mergeCell ref="BO20:BT20"/>
    <mergeCell ref="C19:H19"/>
    <mergeCell ref="I19:P19"/>
    <mergeCell ref="Q19:AN19"/>
    <mergeCell ref="AP19:AU19"/>
    <mergeCell ref="AV19:BC19"/>
    <mergeCell ref="BF19:BN19"/>
    <mergeCell ref="BO17:BT17"/>
    <mergeCell ref="C18:H18"/>
    <mergeCell ref="I18:P18"/>
    <mergeCell ref="Q18:AN18"/>
    <mergeCell ref="AP18:AU18"/>
    <mergeCell ref="AV18:BC18"/>
    <mergeCell ref="BF18:BN18"/>
    <mergeCell ref="BO18:BT18"/>
    <mergeCell ref="C17:H17"/>
    <mergeCell ref="I17:P17"/>
    <mergeCell ref="Q17:AN17"/>
    <mergeCell ref="AP17:AU17"/>
    <mergeCell ref="AV17:BC17"/>
    <mergeCell ref="BF17:BN17"/>
    <mergeCell ref="BO23:BT23"/>
    <mergeCell ref="C24:H24"/>
    <mergeCell ref="I24:P24"/>
    <mergeCell ref="Q24:AN24"/>
    <mergeCell ref="AP24:AU24"/>
    <mergeCell ref="AV24:BC24"/>
    <mergeCell ref="BF24:BN24"/>
    <mergeCell ref="BO24:BT24"/>
    <mergeCell ref="C23:H23"/>
    <mergeCell ref="I23:P23"/>
    <mergeCell ref="Q23:AN23"/>
    <mergeCell ref="AP23:AU23"/>
    <mergeCell ref="AV23:BC23"/>
    <mergeCell ref="BF23:BN23"/>
    <mergeCell ref="BO21:BT21"/>
    <mergeCell ref="C22:H22"/>
    <mergeCell ref="I22:P22"/>
    <mergeCell ref="Q22:AN22"/>
    <mergeCell ref="AP22:AU22"/>
    <mergeCell ref="AV22:BC22"/>
    <mergeCell ref="BF22:BN22"/>
    <mergeCell ref="BO22:BT22"/>
    <mergeCell ref="C21:H21"/>
    <mergeCell ref="I21:P21"/>
    <mergeCell ref="Q21:AN21"/>
    <mergeCell ref="AP21:AU21"/>
    <mergeCell ref="AV21:BC21"/>
    <mergeCell ref="BF21:BN21"/>
    <mergeCell ref="BO27:BT27"/>
    <mergeCell ref="C28:H28"/>
    <mergeCell ref="I28:P28"/>
    <mergeCell ref="Q28:AN28"/>
    <mergeCell ref="AP28:AU28"/>
    <mergeCell ref="AV28:BC28"/>
    <mergeCell ref="BF28:BN28"/>
    <mergeCell ref="BO28:BT28"/>
    <mergeCell ref="C27:H27"/>
    <mergeCell ref="I27:P27"/>
    <mergeCell ref="Q27:AN27"/>
    <mergeCell ref="AP27:AU27"/>
    <mergeCell ref="AV27:BC27"/>
    <mergeCell ref="BF27:BN27"/>
    <mergeCell ref="BO25:BT25"/>
    <mergeCell ref="C26:H26"/>
    <mergeCell ref="I26:P26"/>
    <mergeCell ref="Q26:AN26"/>
    <mergeCell ref="AP26:AU26"/>
    <mergeCell ref="AV26:BC26"/>
    <mergeCell ref="BF26:BN26"/>
    <mergeCell ref="BO26:BT26"/>
    <mergeCell ref="C25:H25"/>
    <mergeCell ref="I25:P25"/>
    <mergeCell ref="Q25:AN25"/>
    <mergeCell ref="AP25:AU25"/>
    <mergeCell ref="AV25:BC25"/>
    <mergeCell ref="BF25:BN25"/>
    <mergeCell ref="BO31:BT31"/>
    <mergeCell ref="C32:H32"/>
    <mergeCell ref="I32:P32"/>
    <mergeCell ref="Q32:AN32"/>
    <mergeCell ref="AP32:AU32"/>
    <mergeCell ref="AV32:BC32"/>
    <mergeCell ref="BF32:BN32"/>
    <mergeCell ref="BO32:BT32"/>
    <mergeCell ref="C31:H31"/>
    <mergeCell ref="I31:P31"/>
    <mergeCell ref="Q31:AN31"/>
    <mergeCell ref="AP31:AU31"/>
    <mergeCell ref="AV31:BC31"/>
    <mergeCell ref="BF31:BN31"/>
    <mergeCell ref="BO29:BT29"/>
    <mergeCell ref="C30:H30"/>
    <mergeCell ref="I30:P30"/>
    <mergeCell ref="Q30:AN30"/>
    <mergeCell ref="AP30:AU30"/>
    <mergeCell ref="AV30:BC30"/>
    <mergeCell ref="BF30:BN30"/>
    <mergeCell ref="BO30:BT30"/>
    <mergeCell ref="C29:H29"/>
    <mergeCell ref="I29:P29"/>
    <mergeCell ref="Q29:AN29"/>
    <mergeCell ref="AP29:AU29"/>
    <mergeCell ref="AV29:BC29"/>
    <mergeCell ref="BF29:BN29"/>
    <mergeCell ref="BO35:BT35"/>
    <mergeCell ref="C36:H36"/>
    <mergeCell ref="I36:P36"/>
    <mergeCell ref="Q36:AN36"/>
    <mergeCell ref="AP36:AU36"/>
    <mergeCell ref="AV36:BC36"/>
    <mergeCell ref="BF36:BN36"/>
    <mergeCell ref="BO36:BT36"/>
    <mergeCell ref="C35:H35"/>
    <mergeCell ref="I35:P35"/>
    <mergeCell ref="Q35:AN35"/>
    <mergeCell ref="AP35:AU35"/>
    <mergeCell ref="AV35:BC35"/>
    <mergeCell ref="BF35:BN35"/>
    <mergeCell ref="BO33:BT33"/>
    <mergeCell ref="C34:H34"/>
    <mergeCell ref="I34:P34"/>
    <mergeCell ref="Q34:AN34"/>
    <mergeCell ref="AP34:AU34"/>
    <mergeCell ref="AV34:BC34"/>
    <mergeCell ref="BF34:BN34"/>
    <mergeCell ref="BO34:BT34"/>
    <mergeCell ref="C33:H33"/>
    <mergeCell ref="I33:P33"/>
    <mergeCell ref="Q33:AN33"/>
    <mergeCell ref="AP33:AU33"/>
    <mergeCell ref="AV33:BC33"/>
    <mergeCell ref="BF33:BN33"/>
    <mergeCell ref="BO39:BT39"/>
    <mergeCell ref="C40:H40"/>
    <mergeCell ref="I40:P40"/>
    <mergeCell ref="Q40:AN40"/>
    <mergeCell ref="AP40:AU40"/>
    <mergeCell ref="AV40:BC40"/>
    <mergeCell ref="BF40:BN40"/>
    <mergeCell ref="BO40:BT40"/>
    <mergeCell ref="C39:H39"/>
    <mergeCell ref="I39:P39"/>
    <mergeCell ref="Q39:AN39"/>
    <mergeCell ref="AP39:AU39"/>
    <mergeCell ref="AV39:BC39"/>
    <mergeCell ref="BF39:BN39"/>
    <mergeCell ref="BO37:BT37"/>
    <mergeCell ref="C38:H38"/>
    <mergeCell ref="I38:P38"/>
    <mergeCell ref="Q38:AN38"/>
    <mergeCell ref="AP38:AU38"/>
    <mergeCell ref="AV38:BC38"/>
    <mergeCell ref="BF38:BN38"/>
    <mergeCell ref="BO38:BT38"/>
    <mergeCell ref="C37:H37"/>
    <mergeCell ref="I37:P37"/>
    <mergeCell ref="Q37:AN37"/>
    <mergeCell ref="AP37:AU37"/>
    <mergeCell ref="AV37:BC37"/>
    <mergeCell ref="BF37:BN37"/>
    <mergeCell ref="BO43:BT43"/>
    <mergeCell ref="C44:H44"/>
    <mergeCell ref="I44:P44"/>
    <mergeCell ref="Q44:AN44"/>
    <mergeCell ref="AP44:AU44"/>
    <mergeCell ref="AV44:BC44"/>
    <mergeCell ref="BF44:BN44"/>
    <mergeCell ref="BO44:BT44"/>
    <mergeCell ref="C43:H43"/>
    <mergeCell ref="I43:P43"/>
    <mergeCell ref="Q43:AN43"/>
    <mergeCell ref="AP43:AU43"/>
    <mergeCell ref="AV43:BC43"/>
    <mergeCell ref="BF43:BN43"/>
    <mergeCell ref="BO41:BT41"/>
    <mergeCell ref="C42:H42"/>
    <mergeCell ref="I42:P42"/>
    <mergeCell ref="Q42:AN42"/>
    <mergeCell ref="AP42:AU42"/>
    <mergeCell ref="AV42:BC42"/>
    <mergeCell ref="BF42:BN42"/>
    <mergeCell ref="BO42:BT42"/>
    <mergeCell ref="C41:H41"/>
    <mergeCell ref="I41:P41"/>
    <mergeCell ref="Q41:AN41"/>
    <mergeCell ref="AP41:AU41"/>
    <mergeCell ref="AV41:BC41"/>
    <mergeCell ref="BF41:BN41"/>
    <mergeCell ref="BO47:BT47"/>
    <mergeCell ref="C48:H48"/>
    <mergeCell ref="I48:P48"/>
    <mergeCell ref="Q48:AN48"/>
    <mergeCell ref="AP48:AU48"/>
    <mergeCell ref="AV48:BC48"/>
    <mergeCell ref="BF48:BN48"/>
    <mergeCell ref="BO48:BT48"/>
    <mergeCell ref="C47:H47"/>
    <mergeCell ref="I47:P47"/>
    <mergeCell ref="Q47:AN47"/>
    <mergeCell ref="AP47:AU47"/>
    <mergeCell ref="AV47:BC47"/>
    <mergeCell ref="BF47:BN47"/>
    <mergeCell ref="BO45:BT45"/>
    <mergeCell ref="C46:H46"/>
    <mergeCell ref="I46:P46"/>
    <mergeCell ref="Q46:AN46"/>
    <mergeCell ref="AP46:AU46"/>
    <mergeCell ref="AV46:BC46"/>
    <mergeCell ref="BF46:BN46"/>
    <mergeCell ref="BO46:BT46"/>
    <mergeCell ref="C45:H45"/>
    <mergeCell ref="I45:P45"/>
    <mergeCell ref="Q45:AN45"/>
    <mergeCell ref="AP45:AU45"/>
    <mergeCell ref="AV45:BC45"/>
    <mergeCell ref="BF45:BN45"/>
    <mergeCell ref="BO51:BT51"/>
    <mergeCell ref="C52:H52"/>
    <mergeCell ref="I52:P52"/>
    <mergeCell ref="Q52:AN52"/>
    <mergeCell ref="AP52:AU52"/>
    <mergeCell ref="AV52:BC52"/>
    <mergeCell ref="BF52:BN52"/>
    <mergeCell ref="BO52:BT52"/>
    <mergeCell ref="C51:H51"/>
    <mergeCell ref="I51:P51"/>
    <mergeCell ref="Q51:AN51"/>
    <mergeCell ref="AP51:AU51"/>
    <mergeCell ref="AV51:BC51"/>
    <mergeCell ref="BF51:BN51"/>
    <mergeCell ref="BO49:BT49"/>
    <mergeCell ref="C50:H50"/>
    <mergeCell ref="I50:P50"/>
    <mergeCell ref="Q50:AN50"/>
    <mergeCell ref="AP50:AU50"/>
    <mergeCell ref="AV50:BC50"/>
    <mergeCell ref="BF50:BN50"/>
    <mergeCell ref="BO50:BT50"/>
    <mergeCell ref="C49:H49"/>
    <mergeCell ref="I49:P49"/>
    <mergeCell ref="Q49:AN49"/>
    <mergeCell ref="AP49:AU49"/>
    <mergeCell ref="AV49:BC49"/>
    <mergeCell ref="BF49:BN49"/>
    <mergeCell ref="BO55:BT55"/>
    <mergeCell ref="C56:H56"/>
    <mergeCell ref="I56:P56"/>
    <mergeCell ref="Q56:AN56"/>
    <mergeCell ref="AP56:AU56"/>
    <mergeCell ref="AV56:BC56"/>
    <mergeCell ref="BF56:BN56"/>
    <mergeCell ref="BO56:BT56"/>
    <mergeCell ref="C55:H55"/>
    <mergeCell ref="I55:P55"/>
    <mergeCell ref="Q55:AN55"/>
    <mergeCell ref="AP55:AU55"/>
    <mergeCell ref="AV55:BC55"/>
    <mergeCell ref="BF55:BN55"/>
    <mergeCell ref="BO53:BT53"/>
    <mergeCell ref="C54:H54"/>
    <mergeCell ref="I54:P54"/>
    <mergeCell ref="Q54:AN54"/>
    <mergeCell ref="AP54:AU54"/>
    <mergeCell ref="AV54:BC54"/>
    <mergeCell ref="BF54:BN54"/>
    <mergeCell ref="BO54:BT54"/>
    <mergeCell ref="C53:H53"/>
    <mergeCell ref="I53:P53"/>
    <mergeCell ref="Q53:AN53"/>
    <mergeCell ref="AP53:AU53"/>
    <mergeCell ref="AV53:BC53"/>
    <mergeCell ref="BF53:BN53"/>
    <mergeCell ref="BO59:BT59"/>
    <mergeCell ref="C60:H60"/>
    <mergeCell ref="I60:P60"/>
    <mergeCell ref="Q60:AN60"/>
    <mergeCell ref="AP60:AU60"/>
    <mergeCell ref="AV60:BC60"/>
    <mergeCell ref="BF60:BN60"/>
    <mergeCell ref="BO60:BT60"/>
    <mergeCell ref="BO57:BT57"/>
    <mergeCell ref="C58:H58"/>
    <mergeCell ref="Q58:AN58"/>
    <mergeCell ref="AP58:AU58"/>
    <mergeCell ref="C59:H59"/>
    <mergeCell ref="I59:P59"/>
    <mergeCell ref="Q59:AN59"/>
    <mergeCell ref="AP59:AU59"/>
    <mergeCell ref="AV59:BC59"/>
    <mergeCell ref="BF59:BN59"/>
    <mergeCell ref="C57:H57"/>
    <mergeCell ref="I57:P57"/>
    <mergeCell ref="Q57:AN57"/>
    <mergeCell ref="AP57:AU57"/>
    <mergeCell ref="AV57:BC57"/>
    <mergeCell ref="BF57:BN57"/>
    <mergeCell ref="BO63:BT63"/>
    <mergeCell ref="C64:H64"/>
    <mergeCell ref="I64:P64"/>
    <mergeCell ref="Q64:AN64"/>
    <mergeCell ref="AP64:AU64"/>
    <mergeCell ref="AV64:BC64"/>
    <mergeCell ref="BF64:BN64"/>
    <mergeCell ref="BO64:BT64"/>
    <mergeCell ref="C63:H63"/>
    <mergeCell ref="I63:P63"/>
    <mergeCell ref="Q63:AN63"/>
    <mergeCell ref="AP63:AU63"/>
    <mergeCell ref="AV63:BC63"/>
    <mergeCell ref="BF63:BN63"/>
    <mergeCell ref="BO61:BT61"/>
    <mergeCell ref="C62:H62"/>
    <mergeCell ref="I62:P62"/>
    <mergeCell ref="Q62:AN62"/>
    <mergeCell ref="AP62:AU62"/>
    <mergeCell ref="AV62:BC62"/>
    <mergeCell ref="BF62:BN62"/>
    <mergeCell ref="BO62:BT62"/>
    <mergeCell ref="C61:H61"/>
    <mergeCell ref="I61:P61"/>
    <mergeCell ref="Q61:AN61"/>
    <mergeCell ref="AP61:AU61"/>
    <mergeCell ref="AV61:BC61"/>
    <mergeCell ref="BF61:BN61"/>
    <mergeCell ref="BO67:BT67"/>
    <mergeCell ref="C68:H68"/>
    <mergeCell ref="I68:P68"/>
    <mergeCell ref="Q68:AN68"/>
    <mergeCell ref="AP68:AU68"/>
    <mergeCell ref="AV68:BC68"/>
    <mergeCell ref="BF68:BN68"/>
    <mergeCell ref="BO68:BT68"/>
    <mergeCell ref="C67:H67"/>
    <mergeCell ref="I67:P67"/>
    <mergeCell ref="Q67:AN67"/>
    <mergeCell ref="AP67:AU67"/>
    <mergeCell ref="AV67:BC67"/>
    <mergeCell ref="BF67:BN67"/>
    <mergeCell ref="BO65:BT65"/>
    <mergeCell ref="C66:H66"/>
    <mergeCell ref="I66:P66"/>
    <mergeCell ref="Q66:AN66"/>
    <mergeCell ref="AP66:AU66"/>
    <mergeCell ref="AV66:BC66"/>
    <mergeCell ref="BF66:BN66"/>
    <mergeCell ref="BO66:BT66"/>
    <mergeCell ref="C65:H65"/>
    <mergeCell ref="I65:P65"/>
    <mergeCell ref="Q65:AN65"/>
    <mergeCell ref="AP65:AU65"/>
    <mergeCell ref="AV65:BC65"/>
    <mergeCell ref="BF65:BN65"/>
    <mergeCell ref="BO71:BT71"/>
    <mergeCell ref="C72:H72"/>
    <mergeCell ref="I72:P72"/>
    <mergeCell ref="Q72:AN72"/>
    <mergeCell ref="AP72:AU72"/>
    <mergeCell ref="AV72:BC72"/>
    <mergeCell ref="BF72:BN72"/>
    <mergeCell ref="BO72:BT72"/>
    <mergeCell ref="C71:H71"/>
    <mergeCell ref="I71:P71"/>
    <mergeCell ref="Q71:AN71"/>
    <mergeCell ref="AP71:AU71"/>
    <mergeCell ref="AV71:BC71"/>
    <mergeCell ref="BF71:BN71"/>
    <mergeCell ref="BO69:BT69"/>
    <mergeCell ref="C70:H70"/>
    <mergeCell ref="I70:P70"/>
    <mergeCell ref="Q70:AN70"/>
    <mergeCell ref="AP70:AU70"/>
    <mergeCell ref="AV70:BC70"/>
    <mergeCell ref="BF70:BN70"/>
    <mergeCell ref="BO70:BT70"/>
    <mergeCell ref="C69:H69"/>
    <mergeCell ref="I69:P69"/>
    <mergeCell ref="Q69:AN69"/>
    <mergeCell ref="AP69:AU69"/>
    <mergeCell ref="AV69:BC69"/>
    <mergeCell ref="BF69:BN69"/>
    <mergeCell ref="BO75:BT75"/>
    <mergeCell ref="C76:H76"/>
    <mergeCell ref="I76:P76"/>
    <mergeCell ref="Q76:AN76"/>
    <mergeCell ref="AP76:AU76"/>
    <mergeCell ref="AV76:BC76"/>
    <mergeCell ref="BF76:BN76"/>
    <mergeCell ref="BO76:BT76"/>
    <mergeCell ref="C75:H75"/>
    <mergeCell ref="I75:P75"/>
    <mergeCell ref="Q75:AN75"/>
    <mergeCell ref="AP75:AU75"/>
    <mergeCell ref="AV75:BC75"/>
    <mergeCell ref="BF75:BN75"/>
    <mergeCell ref="BO73:BT73"/>
    <mergeCell ref="C74:H74"/>
    <mergeCell ref="I74:P74"/>
    <mergeCell ref="Q74:AN74"/>
    <mergeCell ref="AP74:AU74"/>
    <mergeCell ref="AV74:BC74"/>
    <mergeCell ref="BF74:BN74"/>
    <mergeCell ref="BO74:BT74"/>
    <mergeCell ref="C73:H73"/>
    <mergeCell ref="I73:P73"/>
    <mergeCell ref="Q73:AN73"/>
    <mergeCell ref="AP73:AU73"/>
    <mergeCell ref="AV73:BC73"/>
    <mergeCell ref="BF73:BN73"/>
    <mergeCell ref="BO79:BT79"/>
    <mergeCell ref="C80:H80"/>
    <mergeCell ref="I80:P80"/>
    <mergeCell ref="Q80:AN80"/>
    <mergeCell ref="AP80:AU80"/>
    <mergeCell ref="AV80:BC80"/>
    <mergeCell ref="BF80:BN80"/>
    <mergeCell ref="BO80:BT80"/>
    <mergeCell ref="C79:H79"/>
    <mergeCell ref="I79:P79"/>
    <mergeCell ref="Q79:AN79"/>
    <mergeCell ref="AP79:AU79"/>
    <mergeCell ref="AV79:BC79"/>
    <mergeCell ref="BF79:BN79"/>
    <mergeCell ref="BO77:BT77"/>
    <mergeCell ref="C78:H78"/>
    <mergeCell ref="I78:P78"/>
    <mergeCell ref="Q78:AN78"/>
    <mergeCell ref="AP78:AU78"/>
    <mergeCell ref="AV78:BC78"/>
    <mergeCell ref="BF78:BN78"/>
    <mergeCell ref="BO78:BT78"/>
    <mergeCell ref="C77:H77"/>
    <mergeCell ref="I77:P77"/>
    <mergeCell ref="Q77:AN77"/>
    <mergeCell ref="AP77:AU77"/>
    <mergeCell ref="AV77:BC77"/>
    <mergeCell ref="BF77:BN77"/>
    <mergeCell ref="BO83:BT83"/>
    <mergeCell ref="C84:H84"/>
    <mergeCell ref="I84:P84"/>
    <mergeCell ref="Q84:AN84"/>
    <mergeCell ref="AP84:AU84"/>
    <mergeCell ref="AV84:BC84"/>
    <mergeCell ref="BF84:BN84"/>
    <mergeCell ref="BO84:BT84"/>
    <mergeCell ref="C83:H83"/>
    <mergeCell ref="I83:P83"/>
    <mergeCell ref="Q83:AN83"/>
    <mergeCell ref="AP83:AU83"/>
    <mergeCell ref="AV83:BC83"/>
    <mergeCell ref="BF83:BN83"/>
    <mergeCell ref="BO81:BT81"/>
    <mergeCell ref="C82:H82"/>
    <mergeCell ref="I82:P82"/>
    <mergeCell ref="Q82:AN82"/>
    <mergeCell ref="AP82:AU82"/>
    <mergeCell ref="AV82:BC82"/>
    <mergeCell ref="BF82:BN82"/>
    <mergeCell ref="BO82:BT82"/>
    <mergeCell ref="C81:H81"/>
    <mergeCell ref="I81:P81"/>
    <mergeCell ref="Q81:AN81"/>
    <mergeCell ref="AP81:AU81"/>
    <mergeCell ref="AV81:BC81"/>
    <mergeCell ref="BF81:BN81"/>
    <mergeCell ref="BO87:BT87"/>
    <mergeCell ref="C88:H88"/>
    <mergeCell ref="I88:P88"/>
    <mergeCell ref="Q88:AN88"/>
    <mergeCell ref="AP88:AU88"/>
    <mergeCell ref="AV88:BC88"/>
    <mergeCell ref="BF88:BN88"/>
    <mergeCell ref="BO88:BT88"/>
    <mergeCell ref="C87:H87"/>
    <mergeCell ref="I87:P87"/>
    <mergeCell ref="Q87:AN87"/>
    <mergeCell ref="AP87:AU87"/>
    <mergeCell ref="AV87:BC87"/>
    <mergeCell ref="BF87:BN87"/>
    <mergeCell ref="BO85:BT85"/>
    <mergeCell ref="C86:H86"/>
    <mergeCell ref="I86:P86"/>
    <mergeCell ref="Q86:AN86"/>
    <mergeCell ref="AP86:AU86"/>
    <mergeCell ref="AV86:BC86"/>
    <mergeCell ref="BF86:BN86"/>
    <mergeCell ref="BO86:BT86"/>
    <mergeCell ref="C85:H85"/>
    <mergeCell ref="I85:P85"/>
    <mergeCell ref="Q85:AN85"/>
    <mergeCell ref="AP85:AU85"/>
    <mergeCell ref="AV85:BC85"/>
    <mergeCell ref="BF85:BN85"/>
    <mergeCell ref="BO91:BT91"/>
    <mergeCell ref="C92:H92"/>
    <mergeCell ref="I92:P92"/>
    <mergeCell ref="Q92:AN92"/>
    <mergeCell ref="AP92:AU92"/>
    <mergeCell ref="AV92:BC92"/>
    <mergeCell ref="BF92:BN92"/>
    <mergeCell ref="BO92:BT92"/>
    <mergeCell ref="C91:H91"/>
    <mergeCell ref="I91:P91"/>
    <mergeCell ref="Q91:AN91"/>
    <mergeCell ref="AP91:AU91"/>
    <mergeCell ref="AV91:BC91"/>
    <mergeCell ref="BF91:BN91"/>
    <mergeCell ref="BO89:BT89"/>
    <mergeCell ref="C90:H90"/>
    <mergeCell ref="I90:P90"/>
    <mergeCell ref="Q90:AN90"/>
    <mergeCell ref="AP90:AU90"/>
    <mergeCell ref="AV90:BC90"/>
    <mergeCell ref="BF90:BN90"/>
    <mergeCell ref="BO90:BT90"/>
    <mergeCell ref="C89:H89"/>
    <mergeCell ref="I89:P89"/>
    <mergeCell ref="Q89:AN89"/>
    <mergeCell ref="AP89:AU89"/>
    <mergeCell ref="AV89:BC89"/>
    <mergeCell ref="BF89:BN89"/>
    <mergeCell ref="BO95:BT95"/>
    <mergeCell ref="C96:H96"/>
    <mergeCell ref="I96:P96"/>
    <mergeCell ref="Q96:AN96"/>
    <mergeCell ref="AP96:AU96"/>
    <mergeCell ref="AV96:BC96"/>
    <mergeCell ref="BF96:BN96"/>
    <mergeCell ref="BO96:BT96"/>
    <mergeCell ref="C95:H95"/>
    <mergeCell ref="I95:P95"/>
    <mergeCell ref="Q95:AN95"/>
    <mergeCell ref="AP95:AU95"/>
    <mergeCell ref="AV95:BC95"/>
    <mergeCell ref="BF95:BN95"/>
    <mergeCell ref="BO93:BT93"/>
    <mergeCell ref="C94:H94"/>
    <mergeCell ref="I94:P94"/>
    <mergeCell ref="Q94:AN94"/>
    <mergeCell ref="AP94:AU94"/>
    <mergeCell ref="AV94:BC94"/>
    <mergeCell ref="BF94:BN94"/>
    <mergeCell ref="BO94:BT94"/>
    <mergeCell ref="C93:H93"/>
    <mergeCell ref="I93:P93"/>
    <mergeCell ref="Q93:AN93"/>
    <mergeCell ref="AP93:AU93"/>
    <mergeCell ref="AV93:BC93"/>
    <mergeCell ref="BF93:BN93"/>
    <mergeCell ref="BO99:BT99"/>
    <mergeCell ref="C100:H100"/>
    <mergeCell ref="I100:P100"/>
    <mergeCell ref="Q100:AN100"/>
    <mergeCell ref="AP100:AU100"/>
    <mergeCell ref="AV100:BC100"/>
    <mergeCell ref="BF100:BN100"/>
    <mergeCell ref="BO100:BT100"/>
    <mergeCell ref="C99:H99"/>
    <mergeCell ref="I99:P99"/>
    <mergeCell ref="Q99:AN99"/>
    <mergeCell ref="AP99:AU99"/>
    <mergeCell ref="AV99:BC99"/>
    <mergeCell ref="BF99:BN99"/>
    <mergeCell ref="BO97:BT97"/>
    <mergeCell ref="C98:H98"/>
    <mergeCell ref="I98:P98"/>
    <mergeCell ref="Q98:AN98"/>
    <mergeCell ref="AP98:AU98"/>
    <mergeCell ref="AV98:BC98"/>
    <mergeCell ref="BF98:BN98"/>
    <mergeCell ref="BO98:BT98"/>
    <mergeCell ref="C97:H97"/>
    <mergeCell ref="I97:P97"/>
    <mergeCell ref="Q97:AN97"/>
    <mergeCell ref="AP97:AU97"/>
    <mergeCell ref="AV97:BC97"/>
    <mergeCell ref="BF97:BN97"/>
    <mergeCell ref="BO104:BT104"/>
    <mergeCell ref="C105:H105"/>
    <mergeCell ref="I105:P105"/>
    <mergeCell ref="Q105:AN105"/>
    <mergeCell ref="AP105:AU105"/>
    <mergeCell ref="AV105:BC105"/>
    <mergeCell ref="BF105:BN105"/>
    <mergeCell ref="BO105:BT105"/>
    <mergeCell ref="C104:H104"/>
    <mergeCell ref="I104:P104"/>
    <mergeCell ref="Q104:AN104"/>
    <mergeCell ref="AP104:AU104"/>
    <mergeCell ref="AV104:BC104"/>
    <mergeCell ref="BF104:BN104"/>
    <mergeCell ref="BO101:BT101"/>
    <mergeCell ref="C103:H103"/>
    <mergeCell ref="I103:P103"/>
    <mergeCell ref="Q103:AN103"/>
    <mergeCell ref="AP103:AU103"/>
    <mergeCell ref="AV103:BC103"/>
    <mergeCell ref="BF103:BN103"/>
    <mergeCell ref="BO103:BT103"/>
    <mergeCell ref="C101:H101"/>
    <mergeCell ref="I101:P101"/>
    <mergeCell ref="Q101:AN101"/>
    <mergeCell ref="AP101:AU101"/>
    <mergeCell ref="AV101:BC101"/>
    <mergeCell ref="BF101:BN101"/>
    <mergeCell ref="BO108:BT108"/>
    <mergeCell ref="C109:H109"/>
    <mergeCell ref="I109:P109"/>
    <mergeCell ref="Q109:AN109"/>
    <mergeCell ref="AP109:AU109"/>
    <mergeCell ref="AV109:BC109"/>
    <mergeCell ref="BF109:BN109"/>
    <mergeCell ref="BO109:BT109"/>
    <mergeCell ref="C108:H108"/>
    <mergeCell ref="I108:P108"/>
    <mergeCell ref="Q108:AN108"/>
    <mergeCell ref="AP108:AU108"/>
    <mergeCell ref="AV108:BC108"/>
    <mergeCell ref="BF108:BN108"/>
    <mergeCell ref="BO106:BT106"/>
    <mergeCell ref="C107:H107"/>
    <mergeCell ref="I107:P107"/>
    <mergeCell ref="Q107:AN107"/>
    <mergeCell ref="AP107:AU107"/>
    <mergeCell ref="AV107:BC107"/>
    <mergeCell ref="BF107:BN107"/>
    <mergeCell ref="BO107:BT107"/>
    <mergeCell ref="C106:H106"/>
    <mergeCell ref="I106:P106"/>
    <mergeCell ref="Q106:AN106"/>
    <mergeCell ref="AP106:AU106"/>
    <mergeCell ref="AV106:BC106"/>
    <mergeCell ref="BF106:BN106"/>
    <mergeCell ref="BO112:BT112"/>
    <mergeCell ref="C113:H113"/>
    <mergeCell ref="I113:P113"/>
    <mergeCell ref="Q113:AN113"/>
    <mergeCell ref="AP113:AU113"/>
    <mergeCell ref="AV113:BC113"/>
    <mergeCell ref="BF113:BN113"/>
    <mergeCell ref="BO113:BT113"/>
    <mergeCell ref="C112:H112"/>
    <mergeCell ref="I112:P112"/>
    <mergeCell ref="Q112:AN112"/>
    <mergeCell ref="AP112:AU112"/>
    <mergeCell ref="AV112:BC112"/>
    <mergeCell ref="BF112:BN112"/>
    <mergeCell ref="BO110:BT110"/>
    <mergeCell ref="C111:H111"/>
    <mergeCell ref="I111:P111"/>
    <mergeCell ref="Q111:AN111"/>
    <mergeCell ref="AP111:AU111"/>
    <mergeCell ref="AV111:BC111"/>
    <mergeCell ref="BF111:BN111"/>
    <mergeCell ref="BO111:BT111"/>
    <mergeCell ref="C110:H110"/>
    <mergeCell ref="I110:P110"/>
    <mergeCell ref="Q110:AN110"/>
    <mergeCell ref="AP110:AU110"/>
    <mergeCell ref="AV110:BC110"/>
    <mergeCell ref="BF110:BN110"/>
    <mergeCell ref="BO116:BT116"/>
    <mergeCell ref="C117:H117"/>
    <mergeCell ref="I117:P117"/>
    <mergeCell ref="Q117:AN117"/>
    <mergeCell ref="AP117:AU117"/>
    <mergeCell ref="AV117:BC117"/>
    <mergeCell ref="BF117:BN117"/>
    <mergeCell ref="BO117:BT117"/>
    <mergeCell ref="C116:H116"/>
    <mergeCell ref="I116:P116"/>
    <mergeCell ref="Q116:AN116"/>
    <mergeCell ref="AP116:AU116"/>
    <mergeCell ref="AV116:BC116"/>
    <mergeCell ref="BF116:BN116"/>
    <mergeCell ref="BO114:BT114"/>
    <mergeCell ref="C115:H115"/>
    <mergeCell ref="I115:P115"/>
    <mergeCell ref="Q115:AN115"/>
    <mergeCell ref="AP115:AU115"/>
    <mergeCell ref="AV115:BC115"/>
    <mergeCell ref="BF115:BN115"/>
    <mergeCell ref="BO115:BT115"/>
    <mergeCell ref="C114:H114"/>
    <mergeCell ref="I114:P114"/>
    <mergeCell ref="Q114:AN114"/>
    <mergeCell ref="AP114:AU114"/>
    <mergeCell ref="AV114:BC114"/>
    <mergeCell ref="BF114:BN114"/>
    <mergeCell ref="BO120:BT120"/>
    <mergeCell ref="C121:H121"/>
    <mergeCell ref="I121:P121"/>
    <mergeCell ref="Q121:AN121"/>
    <mergeCell ref="AP121:AU121"/>
    <mergeCell ref="AV121:BC121"/>
    <mergeCell ref="BF121:BN121"/>
    <mergeCell ref="BO121:BT121"/>
    <mergeCell ref="C120:H120"/>
    <mergeCell ref="I120:P120"/>
    <mergeCell ref="Q120:AN120"/>
    <mergeCell ref="AP120:AU120"/>
    <mergeCell ref="AV120:BC120"/>
    <mergeCell ref="BF120:BN120"/>
    <mergeCell ref="BO118:BT118"/>
    <mergeCell ref="C119:H119"/>
    <mergeCell ref="I119:P119"/>
    <mergeCell ref="Q119:AN119"/>
    <mergeCell ref="AP119:AU119"/>
    <mergeCell ref="AV119:BC119"/>
    <mergeCell ref="BF119:BN119"/>
    <mergeCell ref="BO119:BT119"/>
    <mergeCell ref="C118:H118"/>
    <mergeCell ref="I118:P118"/>
    <mergeCell ref="Q118:AN118"/>
    <mergeCell ref="AP118:AU118"/>
    <mergeCell ref="AV118:BC118"/>
    <mergeCell ref="BF118:BN118"/>
    <mergeCell ref="BO124:BT124"/>
    <mergeCell ref="C125:H125"/>
    <mergeCell ref="I125:P125"/>
    <mergeCell ref="Q125:AN125"/>
    <mergeCell ref="AP125:AU125"/>
    <mergeCell ref="AV125:BC125"/>
    <mergeCell ref="BF125:BN125"/>
    <mergeCell ref="BO125:BT125"/>
    <mergeCell ref="C124:H124"/>
    <mergeCell ref="I124:P124"/>
    <mergeCell ref="Q124:AN124"/>
    <mergeCell ref="AP124:AU124"/>
    <mergeCell ref="AV124:BC124"/>
    <mergeCell ref="BF124:BN124"/>
    <mergeCell ref="BO122:BT122"/>
    <mergeCell ref="C123:H123"/>
    <mergeCell ref="I123:P123"/>
    <mergeCell ref="Q123:AN123"/>
    <mergeCell ref="AP123:AU123"/>
    <mergeCell ref="AV123:BC123"/>
    <mergeCell ref="BF123:BN123"/>
    <mergeCell ref="BO123:BT123"/>
    <mergeCell ref="C122:H122"/>
    <mergeCell ref="I122:P122"/>
    <mergeCell ref="Q122:AN122"/>
    <mergeCell ref="AP122:AU122"/>
    <mergeCell ref="AV122:BC122"/>
    <mergeCell ref="BF122:BN122"/>
    <mergeCell ref="BO128:BT128"/>
    <mergeCell ref="C129:H129"/>
    <mergeCell ref="I129:P129"/>
    <mergeCell ref="Q129:AN129"/>
    <mergeCell ref="AP129:AU129"/>
    <mergeCell ref="AV129:BC129"/>
    <mergeCell ref="BF129:BN129"/>
    <mergeCell ref="BO129:BT129"/>
    <mergeCell ref="C128:H128"/>
    <mergeCell ref="I128:P128"/>
    <mergeCell ref="Q128:AN128"/>
    <mergeCell ref="AP128:AU128"/>
    <mergeCell ref="AV128:BC128"/>
    <mergeCell ref="BF128:BN128"/>
    <mergeCell ref="BO126:BT126"/>
    <mergeCell ref="C127:H127"/>
    <mergeCell ref="I127:P127"/>
    <mergeCell ref="Q127:AN127"/>
    <mergeCell ref="AP127:AU127"/>
    <mergeCell ref="AV127:BC127"/>
    <mergeCell ref="BF127:BN127"/>
    <mergeCell ref="BO127:BT127"/>
    <mergeCell ref="C126:H126"/>
    <mergeCell ref="I126:P126"/>
    <mergeCell ref="Q126:AN126"/>
    <mergeCell ref="AP126:AU126"/>
    <mergeCell ref="AV126:BC126"/>
    <mergeCell ref="BF126:BN126"/>
    <mergeCell ref="BO132:BT132"/>
    <mergeCell ref="C133:H133"/>
    <mergeCell ref="I133:P133"/>
    <mergeCell ref="Q133:AN133"/>
    <mergeCell ref="AP133:AU133"/>
    <mergeCell ref="AV133:BC133"/>
    <mergeCell ref="BF133:BN133"/>
    <mergeCell ref="BO133:BT133"/>
    <mergeCell ref="C132:H132"/>
    <mergeCell ref="I132:P132"/>
    <mergeCell ref="Q132:AN132"/>
    <mergeCell ref="AP132:AU132"/>
    <mergeCell ref="AV132:BC132"/>
    <mergeCell ref="BF132:BN132"/>
    <mergeCell ref="BO130:BT130"/>
    <mergeCell ref="C131:H131"/>
    <mergeCell ref="I131:P131"/>
    <mergeCell ref="Q131:AN131"/>
    <mergeCell ref="AP131:AU131"/>
    <mergeCell ref="AV131:BC131"/>
    <mergeCell ref="BF131:BN131"/>
    <mergeCell ref="BO131:BT131"/>
    <mergeCell ref="C130:H130"/>
    <mergeCell ref="I130:P130"/>
    <mergeCell ref="Q130:AN130"/>
    <mergeCell ref="AP130:AU130"/>
    <mergeCell ref="AV130:BC130"/>
    <mergeCell ref="BF130:BN130"/>
    <mergeCell ref="BO136:BT136"/>
    <mergeCell ref="C137:H137"/>
    <mergeCell ref="I137:P137"/>
    <mergeCell ref="Q137:AN137"/>
    <mergeCell ref="AP137:AU137"/>
    <mergeCell ref="AV137:BC137"/>
    <mergeCell ref="BF137:BN137"/>
    <mergeCell ref="BO137:BT137"/>
    <mergeCell ref="C136:H136"/>
    <mergeCell ref="I136:P136"/>
    <mergeCell ref="Q136:AN136"/>
    <mergeCell ref="AP136:AU136"/>
    <mergeCell ref="AV136:BC136"/>
    <mergeCell ref="BF136:BN136"/>
    <mergeCell ref="BO134:BT134"/>
    <mergeCell ref="C135:H135"/>
    <mergeCell ref="I135:P135"/>
    <mergeCell ref="Q135:AN135"/>
    <mergeCell ref="AP135:AU135"/>
    <mergeCell ref="AV135:BC135"/>
    <mergeCell ref="BF135:BN135"/>
    <mergeCell ref="BO135:BT135"/>
    <mergeCell ref="C134:H134"/>
    <mergeCell ref="I134:P134"/>
    <mergeCell ref="Q134:AN134"/>
    <mergeCell ref="AP134:AU134"/>
    <mergeCell ref="AV134:BC134"/>
    <mergeCell ref="BF134:BN134"/>
    <mergeCell ref="BO140:BT140"/>
    <mergeCell ref="C141:H141"/>
    <mergeCell ref="I141:P141"/>
    <mergeCell ref="Q141:AN141"/>
    <mergeCell ref="AP141:AU141"/>
    <mergeCell ref="AV141:BC141"/>
    <mergeCell ref="BF141:BN141"/>
    <mergeCell ref="BO141:BT141"/>
    <mergeCell ref="C140:H140"/>
    <mergeCell ref="I140:P140"/>
    <mergeCell ref="Q140:AN140"/>
    <mergeCell ref="AP140:AU140"/>
    <mergeCell ref="AV140:BC140"/>
    <mergeCell ref="BF140:BN140"/>
    <mergeCell ref="BO138:BT138"/>
    <mergeCell ref="C139:H139"/>
    <mergeCell ref="I139:P139"/>
    <mergeCell ref="Q139:AN139"/>
    <mergeCell ref="AP139:AU139"/>
    <mergeCell ref="AV139:BC139"/>
    <mergeCell ref="BF139:BN139"/>
    <mergeCell ref="BO139:BT139"/>
    <mergeCell ref="C138:H138"/>
    <mergeCell ref="I138:P138"/>
    <mergeCell ref="Q138:AN138"/>
    <mergeCell ref="AP138:AU138"/>
    <mergeCell ref="AV138:BC138"/>
    <mergeCell ref="BF138:BN138"/>
    <mergeCell ref="BO144:BT144"/>
    <mergeCell ref="C145:H145"/>
    <mergeCell ref="I145:P145"/>
    <mergeCell ref="Q145:AN145"/>
    <mergeCell ref="AP145:AU145"/>
    <mergeCell ref="AV145:BC145"/>
    <mergeCell ref="BF145:BN145"/>
    <mergeCell ref="BO145:BT145"/>
    <mergeCell ref="C144:H144"/>
    <mergeCell ref="I144:P144"/>
    <mergeCell ref="Q144:AN144"/>
    <mergeCell ref="AP144:AU144"/>
    <mergeCell ref="AV144:BC144"/>
    <mergeCell ref="BF144:BN144"/>
    <mergeCell ref="BO142:BT142"/>
    <mergeCell ref="C143:H143"/>
    <mergeCell ref="I143:P143"/>
    <mergeCell ref="Q143:AN143"/>
    <mergeCell ref="AP143:AU143"/>
    <mergeCell ref="AV143:BC143"/>
    <mergeCell ref="BF143:BN143"/>
    <mergeCell ref="BO143:BT143"/>
    <mergeCell ref="C142:H142"/>
    <mergeCell ref="I142:P142"/>
    <mergeCell ref="Q142:AN142"/>
    <mergeCell ref="AP142:AU142"/>
    <mergeCell ref="AV142:BC142"/>
    <mergeCell ref="BF142:BN142"/>
    <mergeCell ref="C148:H148"/>
    <mergeCell ref="Q148:AN148"/>
    <mergeCell ref="AP148:AU148"/>
    <mergeCell ref="C149:H149"/>
    <mergeCell ref="I149:P149"/>
    <mergeCell ref="Q149:AN149"/>
    <mergeCell ref="AP149:AU149"/>
    <mergeCell ref="BO146:BT146"/>
    <mergeCell ref="C147:H147"/>
    <mergeCell ref="I147:P147"/>
    <mergeCell ref="Q147:AN147"/>
    <mergeCell ref="AP147:AU147"/>
    <mergeCell ref="AV147:BC147"/>
    <mergeCell ref="BF147:BN147"/>
    <mergeCell ref="BO147:BT147"/>
    <mergeCell ref="C146:H146"/>
    <mergeCell ref="I146:P146"/>
    <mergeCell ref="Q146:AN146"/>
    <mergeCell ref="AP146:AU146"/>
    <mergeCell ref="AV146:BC146"/>
    <mergeCell ref="BF146:BN146"/>
    <mergeCell ref="BO151:BT151"/>
    <mergeCell ref="C152:H152"/>
    <mergeCell ref="I152:P152"/>
    <mergeCell ref="Q152:AN152"/>
    <mergeCell ref="AP152:AU152"/>
    <mergeCell ref="AV152:BC152"/>
    <mergeCell ref="BF152:BN152"/>
    <mergeCell ref="BO152:BT152"/>
    <mergeCell ref="C151:H151"/>
    <mergeCell ref="I151:P151"/>
    <mergeCell ref="Q151:AN151"/>
    <mergeCell ref="AP151:AU151"/>
    <mergeCell ref="AV151:BC151"/>
    <mergeCell ref="BF151:BN151"/>
    <mergeCell ref="AV149:BC149"/>
    <mergeCell ref="BF149:BN149"/>
    <mergeCell ref="BO149:BT149"/>
    <mergeCell ref="C150:H150"/>
    <mergeCell ref="I150:P150"/>
    <mergeCell ref="Q150:AN150"/>
    <mergeCell ref="AP150:AU150"/>
    <mergeCell ref="AV150:BC150"/>
    <mergeCell ref="BF150:BN150"/>
    <mergeCell ref="BO150:BT150"/>
    <mergeCell ref="BO155:BT155"/>
    <mergeCell ref="C156:H156"/>
    <mergeCell ref="I156:P156"/>
    <mergeCell ref="Q156:AN156"/>
    <mergeCell ref="AP156:AU156"/>
    <mergeCell ref="AV156:BC156"/>
    <mergeCell ref="BF156:BN156"/>
    <mergeCell ref="BO156:BT156"/>
    <mergeCell ref="C155:H155"/>
    <mergeCell ref="I155:P155"/>
    <mergeCell ref="Q155:AN155"/>
    <mergeCell ref="AP155:AU155"/>
    <mergeCell ref="AV155:BC155"/>
    <mergeCell ref="BF155:BN155"/>
    <mergeCell ref="BO153:BT153"/>
    <mergeCell ref="C154:H154"/>
    <mergeCell ref="I154:P154"/>
    <mergeCell ref="Q154:AN154"/>
    <mergeCell ref="AP154:AU154"/>
    <mergeCell ref="AV154:BC154"/>
    <mergeCell ref="BF154:BN154"/>
    <mergeCell ref="BO154:BT154"/>
    <mergeCell ref="C153:H153"/>
    <mergeCell ref="I153:P153"/>
    <mergeCell ref="Q153:AN153"/>
    <mergeCell ref="AP153:AU153"/>
    <mergeCell ref="AV153:BC153"/>
    <mergeCell ref="BF153:BN153"/>
    <mergeCell ref="BO159:BT159"/>
    <mergeCell ref="C160:H160"/>
    <mergeCell ref="I160:P160"/>
    <mergeCell ref="Q160:AN160"/>
    <mergeCell ref="AP160:AU160"/>
    <mergeCell ref="AV160:BC160"/>
    <mergeCell ref="BF160:BN160"/>
    <mergeCell ref="BO160:BT160"/>
    <mergeCell ref="C159:H159"/>
    <mergeCell ref="I159:P159"/>
    <mergeCell ref="Q159:AN159"/>
    <mergeCell ref="AP159:AU159"/>
    <mergeCell ref="AV159:BC159"/>
    <mergeCell ref="BF159:BN159"/>
    <mergeCell ref="BO157:BT157"/>
    <mergeCell ref="C158:H158"/>
    <mergeCell ref="I158:P158"/>
    <mergeCell ref="Q158:AN158"/>
    <mergeCell ref="AP158:AU158"/>
    <mergeCell ref="AV158:BC158"/>
    <mergeCell ref="BF158:BN158"/>
    <mergeCell ref="BO158:BT158"/>
    <mergeCell ref="C157:H157"/>
    <mergeCell ref="I157:P157"/>
    <mergeCell ref="Q157:AN157"/>
    <mergeCell ref="AP157:AU157"/>
    <mergeCell ref="AV157:BC157"/>
    <mergeCell ref="BF157:BN157"/>
    <mergeCell ref="BO163:BT163"/>
    <mergeCell ref="C164:H164"/>
    <mergeCell ref="I164:P164"/>
    <mergeCell ref="Q164:AN164"/>
    <mergeCell ref="AP164:AU164"/>
    <mergeCell ref="AV164:BC164"/>
    <mergeCell ref="BF164:BN164"/>
    <mergeCell ref="BO164:BT164"/>
    <mergeCell ref="C163:H163"/>
    <mergeCell ref="I163:P163"/>
    <mergeCell ref="Q163:AN163"/>
    <mergeCell ref="AP163:AU163"/>
    <mergeCell ref="AV163:BC163"/>
    <mergeCell ref="BF163:BN163"/>
    <mergeCell ref="BO161:BT161"/>
    <mergeCell ref="C162:H162"/>
    <mergeCell ref="I162:P162"/>
    <mergeCell ref="Q162:AN162"/>
    <mergeCell ref="AP162:AU162"/>
    <mergeCell ref="AV162:BC162"/>
    <mergeCell ref="BF162:BN162"/>
    <mergeCell ref="BO162:BT162"/>
    <mergeCell ref="C161:H161"/>
    <mergeCell ref="I161:P161"/>
    <mergeCell ref="Q161:AN161"/>
    <mergeCell ref="AP161:AU161"/>
    <mergeCell ref="AV161:BC161"/>
    <mergeCell ref="BF161:BN161"/>
    <mergeCell ref="BO167:BT167"/>
    <mergeCell ref="C168:H168"/>
    <mergeCell ref="I168:P168"/>
    <mergeCell ref="Q168:AN168"/>
    <mergeCell ref="AP168:AU168"/>
    <mergeCell ref="AV168:BC168"/>
    <mergeCell ref="BF168:BN168"/>
    <mergeCell ref="BO168:BT168"/>
    <mergeCell ref="C167:H167"/>
    <mergeCell ref="I167:P167"/>
    <mergeCell ref="Q167:AN167"/>
    <mergeCell ref="AP167:AU167"/>
    <mergeCell ref="AV167:BC167"/>
    <mergeCell ref="BF167:BN167"/>
    <mergeCell ref="BO165:BT165"/>
    <mergeCell ref="C166:H166"/>
    <mergeCell ref="I166:P166"/>
    <mergeCell ref="Q166:AN166"/>
    <mergeCell ref="AP166:AU166"/>
    <mergeCell ref="AV166:BC166"/>
    <mergeCell ref="BF166:BN166"/>
    <mergeCell ref="BO166:BT166"/>
    <mergeCell ref="C165:H165"/>
    <mergeCell ref="I165:P165"/>
    <mergeCell ref="Q165:AN165"/>
    <mergeCell ref="AP165:AU165"/>
    <mergeCell ref="AV165:BC165"/>
    <mergeCell ref="BF165:BN165"/>
    <mergeCell ref="BO171:BT171"/>
    <mergeCell ref="C172:H172"/>
    <mergeCell ref="I172:P172"/>
    <mergeCell ref="Q172:AN172"/>
    <mergeCell ref="AP172:AU172"/>
    <mergeCell ref="AV172:BC172"/>
    <mergeCell ref="BF172:BN172"/>
    <mergeCell ref="BO172:BT172"/>
    <mergeCell ref="C171:H171"/>
    <mergeCell ref="I171:P171"/>
    <mergeCell ref="Q171:AN171"/>
    <mergeCell ref="AP171:AU171"/>
    <mergeCell ref="AV171:BC171"/>
    <mergeCell ref="BF171:BN171"/>
    <mergeCell ref="BO169:BT169"/>
    <mergeCell ref="C170:H170"/>
    <mergeCell ref="I170:P170"/>
    <mergeCell ref="Q170:AN170"/>
    <mergeCell ref="AP170:AU170"/>
    <mergeCell ref="AV170:BC170"/>
    <mergeCell ref="BF170:BN170"/>
    <mergeCell ref="BO170:BT170"/>
    <mergeCell ref="C169:H169"/>
    <mergeCell ref="I169:P169"/>
    <mergeCell ref="Q169:AN169"/>
    <mergeCell ref="AP169:AU169"/>
    <mergeCell ref="AV169:BC169"/>
    <mergeCell ref="BF169:BN169"/>
    <mergeCell ref="BO175:BT175"/>
    <mergeCell ref="C176:H176"/>
    <mergeCell ref="I176:P176"/>
    <mergeCell ref="Q176:AN176"/>
    <mergeCell ref="AP176:AU176"/>
    <mergeCell ref="AV176:BC176"/>
    <mergeCell ref="BF176:BN176"/>
    <mergeCell ref="BO176:BT176"/>
    <mergeCell ref="C175:H175"/>
    <mergeCell ref="I175:P175"/>
    <mergeCell ref="Q175:AN175"/>
    <mergeCell ref="AP175:AU175"/>
    <mergeCell ref="AV175:BC175"/>
    <mergeCell ref="BF175:BN175"/>
    <mergeCell ref="BO173:BT173"/>
    <mergeCell ref="C174:H174"/>
    <mergeCell ref="I174:P174"/>
    <mergeCell ref="Q174:AN174"/>
    <mergeCell ref="AP174:AU174"/>
    <mergeCell ref="AV174:BC174"/>
    <mergeCell ref="BF174:BN174"/>
    <mergeCell ref="BO174:BT174"/>
    <mergeCell ref="C173:H173"/>
    <mergeCell ref="I173:P173"/>
    <mergeCell ref="Q173:AN173"/>
    <mergeCell ref="AP173:AU173"/>
    <mergeCell ref="AV173:BC173"/>
    <mergeCell ref="BF173:BN173"/>
    <mergeCell ref="BO179:BT179"/>
    <mergeCell ref="C180:H180"/>
    <mergeCell ref="I180:P180"/>
    <mergeCell ref="Q180:AN180"/>
    <mergeCell ref="AP180:AU180"/>
    <mergeCell ref="AV180:BC180"/>
    <mergeCell ref="BF180:BN180"/>
    <mergeCell ref="BO180:BT180"/>
    <mergeCell ref="C179:H179"/>
    <mergeCell ref="I179:P179"/>
    <mergeCell ref="Q179:AN179"/>
    <mergeCell ref="AP179:AU179"/>
    <mergeCell ref="AV179:BC179"/>
    <mergeCell ref="BF179:BN179"/>
    <mergeCell ref="BO177:BT177"/>
    <mergeCell ref="C178:H178"/>
    <mergeCell ref="I178:P178"/>
    <mergeCell ref="Q178:AN178"/>
    <mergeCell ref="AP178:AU178"/>
    <mergeCell ref="AV178:BC178"/>
    <mergeCell ref="BF178:BN178"/>
    <mergeCell ref="BO178:BT178"/>
    <mergeCell ref="C177:H177"/>
    <mergeCell ref="I177:P177"/>
    <mergeCell ref="Q177:AN177"/>
    <mergeCell ref="AP177:AU177"/>
    <mergeCell ref="AV177:BC177"/>
    <mergeCell ref="BF177:BN177"/>
    <mergeCell ref="BO183:BT183"/>
    <mergeCell ref="C184:H184"/>
    <mergeCell ref="I184:P184"/>
    <mergeCell ref="Q184:AN184"/>
    <mergeCell ref="AP184:AU184"/>
    <mergeCell ref="AV184:BC184"/>
    <mergeCell ref="BF184:BN184"/>
    <mergeCell ref="BO184:BT184"/>
    <mergeCell ref="C183:H183"/>
    <mergeCell ref="I183:P183"/>
    <mergeCell ref="Q183:AN183"/>
    <mergeCell ref="AP183:AU183"/>
    <mergeCell ref="AV183:BC183"/>
    <mergeCell ref="BF183:BN183"/>
    <mergeCell ref="BO181:BT181"/>
    <mergeCell ref="C182:H182"/>
    <mergeCell ref="I182:P182"/>
    <mergeCell ref="Q182:AN182"/>
    <mergeCell ref="AP182:AU182"/>
    <mergeCell ref="AV182:BC182"/>
    <mergeCell ref="BF182:BN182"/>
    <mergeCell ref="BO182:BT182"/>
    <mergeCell ref="C181:H181"/>
    <mergeCell ref="I181:P181"/>
    <mergeCell ref="Q181:AN181"/>
    <mergeCell ref="AP181:AU181"/>
    <mergeCell ref="AV181:BC181"/>
    <mergeCell ref="BF181:BN181"/>
    <mergeCell ref="BO187:BT187"/>
    <mergeCell ref="C188:H188"/>
    <mergeCell ref="I188:P188"/>
    <mergeCell ref="Q188:AN188"/>
    <mergeCell ref="AP188:AU188"/>
    <mergeCell ref="AV188:BC188"/>
    <mergeCell ref="BF188:BN188"/>
    <mergeCell ref="BO188:BT188"/>
    <mergeCell ref="C187:H187"/>
    <mergeCell ref="I187:P187"/>
    <mergeCell ref="Q187:AN187"/>
    <mergeCell ref="AP187:AU187"/>
    <mergeCell ref="AV187:BC187"/>
    <mergeCell ref="BF187:BN187"/>
    <mergeCell ref="BO185:BT185"/>
    <mergeCell ref="C186:H186"/>
    <mergeCell ref="I186:P186"/>
    <mergeCell ref="Q186:AN186"/>
    <mergeCell ref="AP186:AU186"/>
    <mergeCell ref="AV186:BC186"/>
    <mergeCell ref="BF186:BN186"/>
    <mergeCell ref="BO186:BT186"/>
    <mergeCell ref="C185:H185"/>
    <mergeCell ref="I185:P185"/>
    <mergeCell ref="Q185:AN185"/>
    <mergeCell ref="AP185:AU185"/>
    <mergeCell ref="AV185:BC185"/>
    <mergeCell ref="BF185:BN185"/>
    <mergeCell ref="BO191:BT191"/>
    <mergeCell ref="C192:H192"/>
    <mergeCell ref="I192:P192"/>
    <mergeCell ref="Q192:AN192"/>
    <mergeCell ref="AP192:AU192"/>
    <mergeCell ref="AV192:BC192"/>
    <mergeCell ref="BF192:BN192"/>
    <mergeCell ref="BO192:BT192"/>
    <mergeCell ref="C191:H191"/>
    <mergeCell ref="I191:P191"/>
    <mergeCell ref="Q191:AN191"/>
    <mergeCell ref="AP191:AU191"/>
    <mergeCell ref="AV191:BC191"/>
    <mergeCell ref="BF191:BN191"/>
    <mergeCell ref="BO189:BT189"/>
    <mergeCell ref="C190:H190"/>
    <mergeCell ref="I190:P190"/>
    <mergeCell ref="Q190:AN190"/>
    <mergeCell ref="AP190:AU190"/>
    <mergeCell ref="AV190:BC190"/>
    <mergeCell ref="BF190:BN190"/>
    <mergeCell ref="BO190:BT190"/>
    <mergeCell ref="C189:H189"/>
    <mergeCell ref="I189:P189"/>
    <mergeCell ref="Q189:AN189"/>
    <mergeCell ref="AP189:AU189"/>
    <mergeCell ref="AV189:BC189"/>
    <mergeCell ref="BF189:BN189"/>
    <mergeCell ref="BO195:BT195"/>
    <mergeCell ref="C196:H196"/>
    <mergeCell ref="I196:P196"/>
    <mergeCell ref="Q196:AN196"/>
    <mergeCell ref="AP196:AU196"/>
    <mergeCell ref="AV196:BC196"/>
    <mergeCell ref="BF196:BN196"/>
    <mergeCell ref="BO196:BT196"/>
    <mergeCell ref="BO193:BT193"/>
    <mergeCell ref="C194:H194"/>
    <mergeCell ref="Q194:AN194"/>
    <mergeCell ref="AP194:AU194"/>
    <mergeCell ref="C195:H195"/>
    <mergeCell ref="I195:P195"/>
    <mergeCell ref="Q195:AN195"/>
    <mergeCell ref="AP195:AU195"/>
    <mergeCell ref="AV195:BC195"/>
    <mergeCell ref="BF195:BN195"/>
    <mergeCell ref="C193:H193"/>
    <mergeCell ref="I193:P193"/>
    <mergeCell ref="Q193:AN193"/>
    <mergeCell ref="AP193:AU193"/>
    <mergeCell ref="AV193:BC193"/>
    <mergeCell ref="BF193:BN193"/>
    <mergeCell ref="BO199:BT199"/>
    <mergeCell ref="C200:H200"/>
    <mergeCell ref="I200:P200"/>
    <mergeCell ref="Q200:AN200"/>
    <mergeCell ref="AP200:AU200"/>
    <mergeCell ref="AV200:BC200"/>
    <mergeCell ref="BF200:BN200"/>
    <mergeCell ref="BO200:BT200"/>
    <mergeCell ref="C199:H199"/>
    <mergeCell ref="I199:P199"/>
    <mergeCell ref="Q199:AN199"/>
    <mergeCell ref="AP199:AU199"/>
    <mergeCell ref="AV199:BC199"/>
    <mergeCell ref="BF199:BN199"/>
    <mergeCell ref="BO197:BT197"/>
    <mergeCell ref="C198:H198"/>
    <mergeCell ref="I198:P198"/>
    <mergeCell ref="Q198:AN198"/>
    <mergeCell ref="AP198:AU198"/>
    <mergeCell ref="AV198:BC198"/>
    <mergeCell ref="BF198:BN198"/>
    <mergeCell ref="BO198:BT198"/>
    <mergeCell ref="C197:H197"/>
    <mergeCell ref="I197:P197"/>
    <mergeCell ref="Q197:AN197"/>
    <mergeCell ref="AP197:AU197"/>
    <mergeCell ref="AV197:BC197"/>
    <mergeCell ref="BF197:BN197"/>
    <mergeCell ref="BO203:BT203"/>
    <mergeCell ref="C204:H204"/>
    <mergeCell ref="I204:P204"/>
    <mergeCell ref="Q204:AN204"/>
    <mergeCell ref="AP204:AU204"/>
    <mergeCell ref="AV204:BC204"/>
    <mergeCell ref="BF204:BN204"/>
    <mergeCell ref="BO204:BT204"/>
    <mergeCell ref="C203:H203"/>
    <mergeCell ref="I203:P203"/>
    <mergeCell ref="Q203:AN203"/>
    <mergeCell ref="AP203:AU203"/>
    <mergeCell ref="AV203:BC203"/>
    <mergeCell ref="BF203:BN203"/>
    <mergeCell ref="BO201:BT201"/>
    <mergeCell ref="C202:H202"/>
    <mergeCell ref="I202:P202"/>
    <mergeCell ref="Q202:AN202"/>
    <mergeCell ref="AP202:AU202"/>
    <mergeCell ref="AV202:BC202"/>
    <mergeCell ref="BF202:BN202"/>
    <mergeCell ref="BO202:BT202"/>
    <mergeCell ref="C201:H201"/>
    <mergeCell ref="I201:P201"/>
    <mergeCell ref="Q201:AN201"/>
    <mergeCell ref="AP201:AU201"/>
    <mergeCell ref="AV201:BC201"/>
    <mergeCell ref="BF201:BN201"/>
    <mergeCell ref="BO207:BT207"/>
    <mergeCell ref="C208:H208"/>
    <mergeCell ref="I208:P208"/>
    <mergeCell ref="Q208:AN208"/>
    <mergeCell ref="AP208:AU208"/>
    <mergeCell ref="AV208:BC208"/>
    <mergeCell ref="BF208:BN208"/>
    <mergeCell ref="BO208:BT208"/>
    <mergeCell ref="C207:H207"/>
    <mergeCell ref="I207:P207"/>
    <mergeCell ref="Q207:AN207"/>
    <mergeCell ref="AP207:AU207"/>
    <mergeCell ref="AV207:BC207"/>
    <mergeCell ref="BF207:BN207"/>
    <mergeCell ref="BO205:BT205"/>
    <mergeCell ref="C206:H206"/>
    <mergeCell ref="I206:P206"/>
    <mergeCell ref="Q206:AN206"/>
    <mergeCell ref="AP206:AU206"/>
    <mergeCell ref="AV206:BC206"/>
    <mergeCell ref="BF206:BN206"/>
    <mergeCell ref="BO206:BT206"/>
    <mergeCell ref="C205:H205"/>
    <mergeCell ref="I205:P205"/>
    <mergeCell ref="Q205:AN205"/>
    <mergeCell ref="AP205:AU205"/>
    <mergeCell ref="AV205:BC205"/>
    <mergeCell ref="BF205:BN205"/>
    <mergeCell ref="BO211:BT211"/>
    <mergeCell ref="C212:H212"/>
    <mergeCell ref="I212:P212"/>
    <mergeCell ref="Q212:AN212"/>
    <mergeCell ref="AP212:AU212"/>
    <mergeCell ref="AV212:BC212"/>
    <mergeCell ref="BF212:BN212"/>
    <mergeCell ref="BO212:BT212"/>
    <mergeCell ref="C211:H211"/>
    <mergeCell ref="I211:P211"/>
    <mergeCell ref="Q211:AN211"/>
    <mergeCell ref="AP211:AU211"/>
    <mergeCell ref="AV211:BC211"/>
    <mergeCell ref="BF211:BN211"/>
    <mergeCell ref="BO209:BT209"/>
    <mergeCell ref="C210:H210"/>
    <mergeCell ref="I210:P210"/>
    <mergeCell ref="Q210:AN210"/>
    <mergeCell ref="AP210:AU210"/>
    <mergeCell ref="AV210:BC210"/>
    <mergeCell ref="BF210:BN210"/>
    <mergeCell ref="BO210:BT210"/>
    <mergeCell ref="C209:H209"/>
    <mergeCell ref="I209:P209"/>
    <mergeCell ref="Q209:AN209"/>
    <mergeCell ref="AP209:AU209"/>
    <mergeCell ref="AV209:BC209"/>
    <mergeCell ref="BF209:BN209"/>
    <mergeCell ref="BO215:BT215"/>
    <mergeCell ref="C216:H216"/>
    <mergeCell ref="I216:P216"/>
    <mergeCell ref="Q216:AN216"/>
    <mergeCell ref="AP216:AU216"/>
    <mergeCell ref="AV216:BC216"/>
    <mergeCell ref="BF216:BN216"/>
    <mergeCell ref="BO216:BT216"/>
    <mergeCell ref="C215:H215"/>
    <mergeCell ref="I215:P215"/>
    <mergeCell ref="Q215:AN215"/>
    <mergeCell ref="AP215:AU215"/>
    <mergeCell ref="AV215:BC215"/>
    <mergeCell ref="BF215:BN215"/>
    <mergeCell ref="BO213:BT213"/>
    <mergeCell ref="C214:H214"/>
    <mergeCell ref="I214:P214"/>
    <mergeCell ref="Q214:AN214"/>
    <mergeCell ref="AP214:AU214"/>
    <mergeCell ref="AV214:BC214"/>
    <mergeCell ref="BF214:BN214"/>
    <mergeCell ref="BO214:BT214"/>
    <mergeCell ref="C213:H213"/>
    <mergeCell ref="I213:P213"/>
    <mergeCell ref="Q213:AN213"/>
    <mergeCell ref="AP213:AU213"/>
    <mergeCell ref="AV213:BC213"/>
    <mergeCell ref="BF213:BN213"/>
    <mergeCell ref="BW13:BX13"/>
    <mergeCell ref="BW14:BX14"/>
    <mergeCell ref="BW15:BX15"/>
    <mergeCell ref="BW16:BX16"/>
    <mergeCell ref="BW17:BX17"/>
    <mergeCell ref="BW18:BX18"/>
    <mergeCell ref="BO219:BT219"/>
    <mergeCell ref="C240:H240"/>
    <mergeCell ref="I240:P240"/>
    <mergeCell ref="Q240:AN240"/>
    <mergeCell ref="AP240:AU240"/>
    <mergeCell ref="AV240:BC240"/>
    <mergeCell ref="C219:H219"/>
    <mergeCell ref="I219:P219"/>
    <mergeCell ref="Q219:AN219"/>
    <mergeCell ref="AP219:AU219"/>
    <mergeCell ref="AV219:BC219"/>
    <mergeCell ref="BF219:BN219"/>
    <mergeCell ref="BO217:BT217"/>
    <mergeCell ref="C218:H218"/>
    <mergeCell ref="I218:P218"/>
    <mergeCell ref="Q218:AN218"/>
    <mergeCell ref="AP218:AU218"/>
    <mergeCell ref="AV218:BC218"/>
    <mergeCell ref="BF218:BN218"/>
    <mergeCell ref="BO218:BT218"/>
    <mergeCell ref="C217:H217"/>
    <mergeCell ref="I217:P217"/>
    <mergeCell ref="Q217:AN217"/>
    <mergeCell ref="AP217:AU217"/>
    <mergeCell ref="AV217:BC217"/>
    <mergeCell ref="BF217:BN217"/>
    <mergeCell ref="BW31:BX31"/>
    <mergeCell ref="BW32:BX32"/>
    <mergeCell ref="BW33:BX33"/>
    <mergeCell ref="BW34:BX34"/>
    <mergeCell ref="BW35:BX35"/>
    <mergeCell ref="BW36:BX36"/>
    <mergeCell ref="BW25:BX25"/>
    <mergeCell ref="BW26:BX26"/>
    <mergeCell ref="BW27:BX27"/>
    <mergeCell ref="BW28:BX28"/>
    <mergeCell ref="BW29:BX29"/>
    <mergeCell ref="BW30:BX30"/>
    <mergeCell ref="BW19:BX19"/>
    <mergeCell ref="BW20:BX20"/>
    <mergeCell ref="BW21:BX21"/>
    <mergeCell ref="BW22:BX22"/>
    <mergeCell ref="BW23:BX23"/>
    <mergeCell ref="BW24:BX24"/>
    <mergeCell ref="BW49:BX49"/>
    <mergeCell ref="BW50:BX50"/>
    <mergeCell ref="BW51:BX51"/>
    <mergeCell ref="BW52:BX52"/>
    <mergeCell ref="BW53:BX53"/>
    <mergeCell ref="BW54:BX54"/>
    <mergeCell ref="BW43:BX43"/>
    <mergeCell ref="BW44:BX44"/>
    <mergeCell ref="BW45:BX45"/>
    <mergeCell ref="BW46:BX46"/>
    <mergeCell ref="BW47:BX47"/>
    <mergeCell ref="BW48:BX48"/>
    <mergeCell ref="BW37:BX37"/>
    <mergeCell ref="BW38:BX38"/>
    <mergeCell ref="BW39:BX39"/>
    <mergeCell ref="BW40:BX40"/>
    <mergeCell ref="BW41:BX41"/>
    <mergeCell ref="BW42:BX42"/>
    <mergeCell ref="BW68:BX68"/>
    <mergeCell ref="BW69:BX69"/>
    <mergeCell ref="BW70:BX70"/>
    <mergeCell ref="BW71:BX71"/>
    <mergeCell ref="BW72:BX72"/>
    <mergeCell ref="BW73:BX73"/>
    <mergeCell ref="BW62:BX62"/>
    <mergeCell ref="BW63:BX63"/>
    <mergeCell ref="BW64:BX64"/>
    <mergeCell ref="BW65:BX65"/>
    <mergeCell ref="BW66:BX66"/>
    <mergeCell ref="BW67:BX67"/>
    <mergeCell ref="BW55:BX55"/>
    <mergeCell ref="BW56:BX56"/>
    <mergeCell ref="BW57:BX57"/>
    <mergeCell ref="BW59:BX59"/>
    <mergeCell ref="BW60:BX60"/>
    <mergeCell ref="BW61:BX61"/>
    <mergeCell ref="BW86:BX86"/>
    <mergeCell ref="BW87:BX87"/>
    <mergeCell ref="BW88:BX88"/>
    <mergeCell ref="BW89:BX89"/>
    <mergeCell ref="BW90:BX90"/>
    <mergeCell ref="BW91:BX91"/>
    <mergeCell ref="BW80:BX80"/>
    <mergeCell ref="BW81:BX81"/>
    <mergeCell ref="BW82:BX82"/>
    <mergeCell ref="BW83:BX83"/>
    <mergeCell ref="BW84:BX84"/>
    <mergeCell ref="BW85:BX85"/>
    <mergeCell ref="BW74:BX74"/>
    <mergeCell ref="BW75:BX75"/>
    <mergeCell ref="BW76:BX76"/>
    <mergeCell ref="BW77:BX77"/>
    <mergeCell ref="BW78:BX78"/>
    <mergeCell ref="BW79:BX79"/>
    <mergeCell ref="BW105:BX105"/>
    <mergeCell ref="BW106:BX106"/>
    <mergeCell ref="BW107:BX107"/>
    <mergeCell ref="BW108:BX108"/>
    <mergeCell ref="BW109:BX109"/>
    <mergeCell ref="BW110:BX110"/>
    <mergeCell ref="BW98:BX98"/>
    <mergeCell ref="BW99:BX99"/>
    <mergeCell ref="BW100:BX100"/>
    <mergeCell ref="BW101:BX101"/>
    <mergeCell ref="BW103:BX103"/>
    <mergeCell ref="BW104:BX104"/>
    <mergeCell ref="BW92:BX92"/>
    <mergeCell ref="BW93:BX93"/>
    <mergeCell ref="BW94:BX94"/>
    <mergeCell ref="BW95:BX95"/>
    <mergeCell ref="BW96:BX96"/>
    <mergeCell ref="BW97:BX97"/>
    <mergeCell ref="BW123:BX123"/>
    <mergeCell ref="BW124:BX124"/>
    <mergeCell ref="BW125:BX125"/>
    <mergeCell ref="BW126:BX126"/>
    <mergeCell ref="BW127:BX127"/>
    <mergeCell ref="BW128:BX128"/>
    <mergeCell ref="BW117:BX117"/>
    <mergeCell ref="BW118:BX118"/>
    <mergeCell ref="BW119:BX119"/>
    <mergeCell ref="BW120:BX120"/>
    <mergeCell ref="BW121:BX121"/>
    <mergeCell ref="BW122:BX122"/>
    <mergeCell ref="BW111:BX111"/>
    <mergeCell ref="BW112:BX112"/>
    <mergeCell ref="BW113:BX113"/>
    <mergeCell ref="BW114:BX114"/>
    <mergeCell ref="BW115:BX115"/>
    <mergeCell ref="BW116:BX116"/>
    <mergeCell ref="BW141:BX141"/>
    <mergeCell ref="BW142:BX142"/>
    <mergeCell ref="BW143:BX143"/>
    <mergeCell ref="BW144:BX144"/>
    <mergeCell ref="BW145:BX145"/>
    <mergeCell ref="BW146:BX146"/>
    <mergeCell ref="BW135:BX135"/>
    <mergeCell ref="BW136:BX136"/>
    <mergeCell ref="BW137:BX137"/>
    <mergeCell ref="BW138:BX138"/>
    <mergeCell ref="BW139:BX139"/>
    <mergeCell ref="BW140:BX140"/>
    <mergeCell ref="BW129:BX129"/>
    <mergeCell ref="BW130:BX130"/>
    <mergeCell ref="BW131:BX131"/>
    <mergeCell ref="BW132:BX132"/>
    <mergeCell ref="BW133:BX133"/>
    <mergeCell ref="BW134:BX134"/>
    <mergeCell ref="BW160:BX160"/>
    <mergeCell ref="BW161:BX161"/>
    <mergeCell ref="BW162:BX162"/>
    <mergeCell ref="BW163:BX163"/>
    <mergeCell ref="BW164:BX164"/>
    <mergeCell ref="BW165:BX165"/>
    <mergeCell ref="BW154:BX154"/>
    <mergeCell ref="BW155:BX155"/>
    <mergeCell ref="BW156:BX156"/>
    <mergeCell ref="BW157:BX157"/>
    <mergeCell ref="BW158:BX158"/>
    <mergeCell ref="BW159:BX159"/>
    <mergeCell ref="BW147:BX147"/>
    <mergeCell ref="BW149:BX149"/>
    <mergeCell ref="BW150:BX150"/>
    <mergeCell ref="BW151:BX151"/>
    <mergeCell ref="BW152:BX152"/>
    <mergeCell ref="BW153:BX153"/>
    <mergeCell ref="BW178:BX178"/>
    <mergeCell ref="BW179:BX179"/>
    <mergeCell ref="BW180:BX180"/>
    <mergeCell ref="BW181:BX181"/>
    <mergeCell ref="BW182:BX182"/>
    <mergeCell ref="BW183:BX183"/>
    <mergeCell ref="BW172:BX172"/>
    <mergeCell ref="BW173:BX173"/>
    <mergeCell ref="BW174:BX174"/>
    <mergeCell ref="BW175:BX175"/>
    <mergeCell ref="BW176:BX176"/>
    <mergeCell ref="BW177:BX177"/>
    <mergeCell ref="BW166:BX166"/>
    <mergeCell ref="BW167:BX167"/>
    <mergeCell ref="BW168:BX168"/>
    <mergeCell ref="BW169:BX169"/>
    <mergeCell ref="BW170:BX170"/>
    <mergeCell ref="BW171:BX171"/>
    <mergeCell ref="BW197:BX197"/>
    <mergeCell ref="BW198:BX198"/>
    <mergeCell ref="BW199:BX199"/>
    <mergeCell ref="BW200:BX200"/>
    <mergeCell ref="BW201:BX201"/>
    <mergeCell ref="BW202:BX202"/>
    <mergeCell ref="BW190:BX190"/>
    <mergeCell ref="BW191:BX191"/>
    <mergeCell ref="BW192:BX192"/>
    <mergeCell ref="BW193:BX193"/>
    <mergeCell ref="BW195:BX195"/>
    <mergeCell ref="BW196:BX196"/>
    <mergeCell ref="BW184:BX184"/>
    <mergeCell ref="BW185:BX185"/>
    <mergeCell ref="BW186:BX186"/>
    <mergeCell ref="BW187:BX187"/>
    <mergeCell ref="BW188:BX188"/>
    <mergeCell ref="BW189:BX189"/>
    <mergeCell ref="BW215:BX215"/>
    <mergeCell ref="BW216:BX216"/>
    <mergeCell ref="BW217:BX217"/>
    <mergeCell ref="BW218:BX218"/>
    <mergeCell ref="BW219:BX219"/>
    <mergeCell ref="BW209:BX209"/>
    <mergeCell ref="BW210:BX210"/>
    <mergeCell ref="BW211:BX211"/>
    <mergeCell ref="BW212:BX212"/>
    <mergeCell ref="BW213:BX213"/>
    <mergeCell ref="BW214:BX214"/>
    <mergeCell ref="BW203:BX203"/>
    <mergeCell ref="BW204:BX204"/>
    <mergeCell ref="BW205:BX205"/>
    <mergeCell ref="BW206:BX206"/>
    <mergeCell ref="BW207:BX207"/>
    <mergeCell ref="BW208:BX208"/>
  </mergeCells>
  <phoneticPr fontId="1"/>
  <pageMargins left="0.39370078740157483" right="0.39370078740157483" top="0.47244094488188981" bottom="0.43307086614173229" header="0.19685039370078741" footer="0.23622047244094491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4" manualBreakCount="4">
    <brk id="58" max="56" man="1"/>
    <brk id="102" max="56" man="1"/>
    <brk id="148" max="56" man="1"/>
    <brk id="194" max="56" man="1"/>
  </row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6"/>
  <sheetViews>
    <sheetView workbookViewId="0">
      <selection sqref="A1:BH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39</v>
      </c>
      <c r="C2" s="1" t="s">
        <v>413</v>
      </c>
      <c r="D2" s="1" t="s">
        <v>36</v>
      </c>
    </row>
    <row r="3" spans="2:4">
      <c r="B3" s="1"/>
      <c r="C3" s="1"/>
      <c r="D3" s="1"/>
    </row>
    <row r="4" spans="2:4">
      <c r="B4" s="1"/>
      <c r="C4" s="1"/>
      <c r="D4" s="1"/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B48"/>
  <sheetViews>
    <sheetView workbookViewId="0">
      <selection sqref="A1:BH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416</v>
      </c>
    </row>
    <row r="6" spans="2:2">
      <c r="B6" s="1"/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5"/>
  <sheetViews>
    <sheetView workbookViewId="0">
      <selection sqref="A1:BH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152</v>
      </c>
    </row>
    <row r="2" spans="2:6">
      <c r="B2" s="1" t="s">
        <v>399</v>
      </c>
      <c r="C2" s="1"/>
      <c r="D2" s="1" t="s">
        <v>414</v>
      </c>
      <c r="E2" s="1" t="s">
        <v>147</v>
      </c>
      <c r="F2" s="1" t="s">
        <v>415</v>
      </c>
    </row>
    <row r="3" spans="2:6">
      <c r="B3" s="1" t="s">
        <v>418</v>
      </c>
      <c r="C3" s="1"/>
      <c r="D3" s="1" t="s">
        <v>414</v>
      </c>
      <c r="E3" s="1" t="s">
        <v>147</v>
      </c>
      <c r="F3" s="1" t="s">
        <v>417</v>
      </c>
    </row>
    <row r="4" spans="2:6">
      <c r="B4" s="1" t="s">
        <v>419</v>
      </c>
      <c r="C4" s="1" t="s">
        <v>146</v>
      </c>
      <c r="D4" s="1" t="s">
        <v>414</v>
      </c>
      <c r="E4" s="1" t="s">
        <v>420</v>
      </c>
      <c r="F4" s="1" t="s">
        <v>417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W81"/>
  <sheetViews>
    <sheetView view="pageBreakPreview" topLeftCell="A21" zoomScale="85" zoomScaleNormal="100" workbookViewId="0">
      <selection sqref="A1:BH4"/>
    </sheetView>
  </sheetViews>
  <sheetFormatPr defaultRowHeight="13.5"/>
  <cols>
    <col min="1" max="1" width="2.375" style="37" customWidth="1"/>
    <col min="2" max="2" width="3.625" style="37" customWidth="1"/>
    <col min="3" max="3" width="6.5" style="37" bestFit="1" customWidth="1"/>
    <col min="4" max="4" width="20.625" style="37" customWidth="1"/>
    <col min="5" max="5" width="15.625" style="37" customWidth="1"/>
    <col min="6" max="6" width="12.125" style="37" customWidth="1"/>
    <col min="7" max="7" width="6.125" style="37" customWidth="1"/>
    <col min="8" max="8" width="22.625" style="37" customWidth="1"/>
    <col min="9" max="9" width="3.125" style="37" customWidth="1"/>
    <col min="10" max="10" width="2.125" style="37" customWidth="1"/>
    <col min="11" max="11" width="3.125" style="37" customWidth="1"/>
    <col min="12" max="12" width="2.125" style="37" customWidth="1"/>
    <col min="13" max="13" width="3.125" style="37" customWidth="1"/>
    <col min="14" max="14" width="2.125" style="37" customWidth="1"/>
    <col min="15" max="15" width="3.125" style="37" customWidth="1"/>
    <col min="16" max="16" width="2.125" style="37" customWidth="1"/>
    <col min="17" max="17" width="3.125" style="37" customWidth="1"/>
    <col min="18" max="18" width="2.125" style="37" customWidth="1"/>
    <col min="19" max="19" width="3.125" style="37" customWidth="1"/>
    <col min="20" max="20" width="2.125" style="37" customWidth="1"/>
    <col min="21" max="21" width="39.75" style="37" customWidth="1"/>
    <col min="22" max="22" width="22.125" style="37" customWidth="1"/>
    <col min="23" max="23" width="3.25" style="37" customWidth="1"/>
    <col min="24" max="256" width="9" style="37"/>
    <col min="257" max="257" width="2.375" style="37" customWidth="1"/>
    <col min="258" max="258" width="3.625" style="37" customWidth="1"/>
    <col min="259" max="259" width="6.5" style="37" bestFit="1" customWidth="1"/>
    <col min="260" max="260" width="20.625" style="37" customWidth="1"/>
    <col min="261" max="261" width="15.625" style="37" customWidth="1"/>
    <col min="262" max="262" width="12.125" style="37" customWidth="1"/>
    <col min="263" max="263" width="6.125" style="37" customWidth="1"/>
    <col min="264" max="264" width="22.625" style="37" customWidth="1"/>
    <col min="265" max="265" width="3.125" style="37" customWidth="1"/>
    <col min="266" max="266" width="2.125" style="37" customWidth="1"/>
    <col min="267" max="267" width="3.125" style="37" customWidth="1"/>
    <col min="268" max="268" width="2.125" style="37" customWidth="1"/>
    <col min="269" max="269" width="3.125" style="37" customWidth="1"/>
    <col min="270" max="270" width="2.125" style="37" customWidth="1"/>
    <col min="271" max="271" width="3.125" style="37" customWidth="1"/>
    <col min="272" max="272" width="2.125" style="37" customWidth="1"/>
    <col min="273" max="273" width="3.125" style="37" customWidth="1"/>
    <col min="274" max="274" width="2.125" style="37" customWidth="1"/>
    <col min="275" max="275" width="3.125" style="37" customWidth="1"/>
    <col min="276" max="276" width="2.125" style="37" customWidth="1"/>
    <col min="277" max="277" width="39.75" style="37" customWidth="1"/>
    <col min="278" max="278" width="22.125" style="37" customWidth="1"/>
    <col min="279" max="279" width="3.25" style="37" customWidth="1"/>
    <col min="280" max="512" width="9" style="37"/>
    <col min="513" max="513" width="2.375" style="37" customWidth="1"/>
    <col min="514" max="514" width="3.625" style="37" customWidth="1"/>
    <col min="515" max="515" width="6.5" style="37" bestFit="1" customWidth="1"/>
    <col min="516" max="516" width="20.625" style="37" customWidth="1"/>
    <col min="517" max="517" width="15.625" style="37" customWidth="1"/>
    <col min="518" max="518" width="12.125" style="37" customWidth="1"/>
    <col min="519" max="519" width="6.125" style="37" customWidth="1"/>
    <col min="520" max="520" width="22.625" style="37" customWidth="1"/>
    <col min="521" max="521" width="3.125" style="37" customWidth="1"/>
    <col min="522" max="522" width="2.125" style="37" customWidth="1"/>
    <col min="523" max="523" width="3.125" style="37" customWidth="1"/>
    <col min="524" max="524" width="2.125" style="37" customWidth="1"/>
    <col min="525" max="525" width="3.125" style="37" customWidth="1"/>
    <col min="526" max="526" width="2.125" style="37" customWidth="1"/>
    <col min="527" max="527" width="3.125" style="37" customWidth="1"/>
    <col min="528" max="528" width="2.125" style="37" customWidth="1"/>
    <col min="529" max="529" width="3.125" style="37" customWidth="1"/>
    <col min="530" max="530" width="2.125" style="37" customWidth="1"/>
    <col min="531" max="531" width="3.125" style="37" customWidth="1"/>
    <col min="532" max="532" width="2.125" style="37" customWidth="1"/>
    <col min="533" max="533" width="39.75" style="37" customWidth="1"/>
    <col min="534" max="534" width="22.125" style="37" customWidth="1"/>
    <col min="535" max="535" width="3.25" style="37" customWidth="1"/>
    <col min="536" max="768" width="9" style="37"/>
    <col min="769" max="769" width="2.375" style="37" customWidth="1"/>
    <col min="770" max="770" width="3.625" style="37" customWidth="1"/>
    <col min="771" max="771" width="6.5" style="37" bestFit="1" customWidth="1"/>
    <col min="772" max="772" width="20.625" style="37" customWidth="1"/>
    <col min="773" max="773" width="15.625" style="37" customWidth="1"/>
    <col min="774" max="774" width="12.125" style="37" customWidth="1"/>
    <col min="775" max="775" width="6.125" style="37" customWidth="1"/>
    <col min="776" max="776" width="22.625" style="37" customWidth="1"/>
    <col min="777" max="777" width="3.125" style="37" customWidth="1"/>
    <col min="778" max="778" width="2.125" style="37" customWidth="1"/>
    <col min="779" max="779" width="3.125" style="37" customWidth="1"/>
    <col min="780" max="780" width="2.125" style="37" customWidth="1"/>
    <col min="781" max="781" width="3.125" style="37" customWidth="1"/>
    <col min="782" max="782" width="2.125" style="37" customWidth="1"/>
    <col min="783" max="783" width="3.125" style="37" customWidth="1"/>
    <col min="784" max="784" width="2.125" style="37" customWidth="1"/>
    <col min="785" max="785" width="3.125" style="37" customWidth="1"/>
    <col min="786" max="786" width="2.125" style="37" customWidth="1"/>
    <col min="787" max="787" width="3.125" style="37" customWidth="1"/>
    <col min="788" max="788" width="2.125" style="37" customWidth="1"/>
    <col min="789" max="789" width="39.75" style="37" customWidth="1"/>
    <col min="790" max="790" width="22.125" style="37" customWidth="1"/>
    <col min="791" max="791" width="3.25" style="37" customWidth="1"/>
    <col min="792" max="1024" width="9" style="37"/>
    <col min="1025" max="1025" width="2.375" style="37" customWidth="1"/>
    <col min="1026" max="1026" width="3.625" style="37" customWidth="1"/>
    <col min="1027" max="1027" width="6.5" style="37" bestFit="1" customWidth="1"/>
    <col min="1028" max="1028" width="20.625" style="37" customWidth="1"/>
    <col min="1029" max="1029" width="15.625" style="37" customWidth="1"/>
    <col min="1030" max="1030" width="12.125" style="37" customWidth="1"/>
    <col min="1031" max="1031" width="6.125" style="37" customWidth="1"/>
    <col min="1032" max="1032" width="22.625" style="37" customWidth="1"/>
    <col min="1033" max="1033" width="3.125" style="37" customWidth="1"/>
    <col min="1034" max="1034" width="2.125" style="37" customWidth="1"/>
    <col min="1035" max="1035" width="3.125" style="37" customWidth="1"/>
    <col min="1036" max="1036" width="2.125" style="37" customWidth="1"/>
    <col min="1037" max="1037" width="3.125" style="37" customWidth="1"/>
    <col min="1038" max="1038" width="2.125" style="37" customWidth="1"/>
    <col min="1039" max="1039" width="3.125" style="37" customWidth="1"/>
    <col min="1040" max="1040" width="2.125" style="37" customWidth="1"/>
    <col min="1041" max="1041" width="3.125" style="37" customWidth="1"/>
    <col min="1042" max="1042" width="2.125" style="37" customWidth="1"/>
    <col min="1043" max="1043" width="3.125" style="37" customWidth="1"/>
    <col min="1044" max="1044" width="2.125" style="37" customWidth="1"/>
    <col min="1045" max="1045" width="39.75" style="37" customWidth="1"/>
    <col min="1046" max="1046" width="22.125" style="37" customWidth="1"/>
    <col min="1047" max="1047" width="3.25" style="37" customWidth="1"/>
    <col min="1048" max="1280" width="9" style="37"/>
    <col min="1281" max="1281" width="2.375" style="37" customWidth="1"/>
    <col min="1282" max="1282" width="3.625" style="37" customWidth="1"/>
    <col min="1283" max="1283" width="6.5" style="37" bestFit="1" customWidth="1"/>
    <col min="1284" max="1284" width="20.625" style="37" customWidth="1"/>
    <col min="1285" max="1285" width="15.625" style="37" customWidth="1"/>
    <col min="1286" max="1286" width="12.125" style="37" customWidth="1"/>
    <col min="1287" max="1287" width="6.125" style="37" customWidth="1"/>
    <col min="1288" max="1288" width="22.625" style="37" customWidth="1"/>
    <col min="1289" max="1289" width="3.125" style="37" customWidth="1"/>
    <col min="1290" max="1290" width="2.125" style="37" customWidth="1"/>
    <col min="1291" max="1291" width="3.125" style="37" customWidth="1"/>
    <col min="1292" max="1292" width="2.125" style="37" customWidth="1"/>
    <col min="1293" max="1293" width="3.125" style="37" customWidth="1"/>
    <col min="1294" max="1294" width="2.125" style="37" customWidth="1"/>
    <col min="1295" max="1295" width="3.125" style="37" customWidth="1"/>
    <col min="1296" max="1296" width="2.125" style="37" customWidth="1"/>
    <col min="1297" max="1297" width="3.125" style="37" customWidth="1"/>
    <col min="1298" max="1298" width="2.125" style="37" customWidth="1"/>
    <col min="1299" max="1299" width="3.125" style="37" customWidth="1"/>
    <col min="1300" max="1300" width="2.125" style="37" customWidth="1"/>
    <col min="1301" max="1301" width="39.75" style="37" customWidth="1"/>
    <col min="1302" max="1302" width="22.125" style="37" customWidth="1"/>
    <col min="1303" max="1303" width="3.25" style="37" customWidth="1"/>
    <col min="1304" max="1536" width="9" style="37"/>
    <col min="1537" max="1537" width="2.375" style="37" customWidth="1"/>
    <col min="1538" max="1538" width="3.625" style="37" customWidth="1"/>
    <col min="1539" max="1539" width="6.5" style="37" bestFit="1" customWidth="1"/>
    <col min="1540" max="1540" width="20.625" style="37" customWidth="1"/>
    <col min="1541" max="1541" width="15.625" style="37" customWidth="1"/>
    <col min="1542" max="1542" width="12.125" style="37" customWidth="1"/>
    <col min="1543" max="1543" width="6.125" style="37" customWidth="1"/>
    <col min="1544" max="1544" width="22.625" style="37" customWidth="1"/>
    <col min="1545" max="1545" width="3.125" style="37" customWidth="1"/>
    <col min="1546" max="1546" width="2.125" style="37" customWidth="1"/>
    <col min="1547" max="1547" width="3.125" style="37" customWidth="1"/>
    <col min="1548" max="1548" width="2.125" style="37" customWidth="1"/>
    <col min="1549" max="1549" width="3.125" style="37" customWidth="1"/>
    <col min="1550" max="1550" width="2.125" style="37" customWidth="1"/>
    <col min="1551" max="1551" width="3.125" style="37" customWidth="1"/>
    <col min="1552" max="1552" width="2.125" style="37" customWidth="1"/>
    <col min="1553" max="1553" width="3.125" style="37" customWidth="1"/>
    <col min="1554" max="1554" width="2.125" style="37" customWidth="1"/>
    <col min="1555" max="1555" width="3.125" style="37" customWidth="1"/>
    <col min="1556" max="1556" width="2.125" style="37" customWidth="1"/>
    <col min="1557" max="1557" width="39.75" style="37" customWidth="1"/>
    <col min="1558" max="1558" width="22.125" style="37" customWidth="1"/>
    <col min="1559" max="1559" width="3.25" style="37" customWidth="1"/>
    <col min="1560" max="1792" width="9" style="37"/>
    <col min="1793" max="1793" width="2.375" style="37" customWidth="1"/>
    <col min="1794" max="1794" width="3.625" style="37" customWidth="1"/>
    <col min="1795" max="1795" width="6.5" style="37" bestFit="1" customWidth="1"/>
    <col min="1796" max="1796" width="20.625" style="37" customWidth="1"/>
    <col min="1797" max="1797" width="15.625" style="37" customWidth="1"/>
    <col min="1798" max="1798" width="12.125" style="37" customWidth="1"/>
    <col min="1799" max="1799" width="6.125" style="37" customWidth="1"/>
    <col min="1800" max="1800" width="22.625" style="37" customWidth="1"/>
    <col min="1801" max="1801" width="3.125" style="37" customWidth="1"/>
    <col min="1802" max="1802" width="2.125" style="37" customWidth="1"/>
    <col min="1803" max="1803" width="3.125" style="37" customWidth="1"/>
    <col min="1804" max="1804" width="2.125" style="37" customWidth="1"/>
    <col min="1805" max="1805" width="3.125" style="37" customWidth="1"/>
    <col min="1806" max="1806" width="2.125" style="37" customWidth="1"/>
    <col min="1807" max="1807" width="3.125" style="37" customWidth="1"/>
    <col min="1808" max="1808" width="2.125" style="37" customWidth="1"/>
    <col min="1809" max="1809" width="3.125" style="37" customWidth="1"/>
    <col min="1810" max="1810" width="2.125" style="37" customWidth="1"/>
    <col min="1811" max="1811" width="3.125" style="37" customWidth="1"/>
    <col min="1812" max="1812" width="2.125" style="37" customWidth="1"/>
    <col min="1813" max="1813" width="39.75" style="37" customWidth="1"/>
    <col min="1814" max="1814" width="22.125" style="37" customWidth="1"/>
    <col min="1815" max="1815" width="3.25" style="37" customWidth="1"/>
    <col min="1816" max="2048" width="9" style="37"/>
    <col min="2049" max="2049" width="2.375" style="37" customWidth="1"/>
    <col min="2050" max="2050" width="3.625" style="37" customWidth="1"/>
    <col min="2051" max="2051" width="6.5" style="37" bestFit="1" customWidth="1"/>
    <col min="2052" max="2052" width="20.625" style="37" customWidth="1"/>
    <col min="2053" max="2053" width="15.625" style="37" customWidth="1"/>
    <col min="2054" max="2054" width="12.125" style="37" customWidth="1"/>
    <col min="2055" max="2055" width="6.125" style="37" customWidth="1"/>
    <col min="2056" max="2056" width="22.625" style="37" customWidth="1"/>
    <col min="2057" max="2057" width="3.125" style="37" customWidth="1"/>
    <col min="2058" max="2058" width="2.125" style="37" customWidth="1"/>
    <col min="2059" max="2059" width="3.125" style="37" customWidth="1"/>
    <col min="2060" max="2060" width="2.125" style="37" customWidth="1"/>
    <col min="2061" max="2061" width="3.125" style="37" customWidth="1"/>
    <col min="2062" max="2062" width="2.125" style="37" customWidth="1"/>
    <col min="2063" max="2063" width="3.125" style="37" customWidth="1"/>
    <col min="2064" max="2064" width="2.125" style="37" customWidth="1"/>
    <col min="2065" max="2065" width="3.125" style="37" customWidth="1"/>
    <col min="2066" max="2066" width="2.125" style="37" customWidth="1"/>
    <col min="2067" max="2067" width="3.125" style="37" customWidth="1"/>
    <col min="2068" max="2068" width="2.125" style="37" customWidth="1"/>
    <col min="2069" max="2069" width="39.75" style="37" customWidth="1"/>
    <col min="2070" max="2070" width="22.125" style="37" customWidth="1"/>
    <col min="2071" max="2071" width="3.25" style="37" customWidth="1"/>
    <col min="2072" max="2304" width="9" style="37"/>
    <col min="2305" max="2305" width="2.375" style="37" customWidth="1"/>
    <col min="2306" max="2306" width="3.625" style="37" customWidth="1"/>
    <col min="2307" max="2307" width="6.5" style="37" bestFit="1" customWidth="1"/>
    <col min="2308" max="2308" width="20.625" style="37" customWidth="1"/>
    <col min="2309" max="2309" width="15.625" style="37" customWidth="1"/>
    <col min="2310" max="2310" width="12.125" style="37" customWidth="1"/>
    <col min="2311" max="2311" width="6.125" style="37" customWidth="1"/>
    <col min="2312" max="2312" width="22.625" style="37" customWidth="1"/>
    <col min="2313" max="2313" width="3.125" style="37" customWidth="1"/>
    <col min="2314" max="2314" width="2.125" style="37" customWidth="1"/>
    <col min="2315" max="2315" width="3.125" style="37" customWidth="1"/>
    <col min="2316" max="2316" width="2.125" style="37" customWidth="1"/>
    <col min="2317" max="2317" width="3.125" style="37" customWidth="1"/>
    <col min="2318" max="2318" width="2.125" style="37" customWidth="1"/>
    <col min="2319" max="2319" width="3.125" style="37" customWidth="1"/>
    <col min="2320" max="2320" width="2.125" style="37" customWidth="1"/>
    <col min="2321" max="2321" width="3.125" style="37" customWidth="1"/>
    <col min="2322" max="2322" width="2.125" style="37" customWidth="1"/>
    <col min="2323" max="2323" width="3.125" style="37" customWidth="1"/>
    <col min="2324" max="2324" width="2.125" style="37" customWidth="1"/>
    <col min="2325" max="2325" width="39.75" style="37" customWidth="1"/>
    <col min="2326" max="2326" width="22.125" style="37" customWidth="1"/>
    <col min="2327" max="2327" width="3.25" style="37" customWidth="1"/>
    <col min="2328" max="2560" width="9" style="37"/>
    <col min="2561" max="2561" width="2.375" style="37" customWidth="1"/>
    <col min="2562" max="2562" width="3.625" style="37" customWidth="1"/>
    <col min="2563" max="2563" width="6.5" style="37" bestFit="1" customWidth="1"/>
    <col min="2564" max="2564" width="20.625" style="37" customWidth="1"/>
    <col min="2565" max="2565" width="15.625" style="37" customWidth="1"/>
    <col min="2566" max="2566" width="12.125" style="37" customWidth="1"/>
    <col min="2567" max="2567" width="6.125" style="37" customWidth="1"/>
    <col min="2568" max="2568" width="22.625" style="37" customWidth="1"/>
    <col min="2569" max="2569" width="3.125" style="37" customWidth="1"/>
    <col min="2570" max="2570" width="2.125" style="37" customWidth="1"/>
    <col min="2571" max="2571" width="3.125" style="37" customWidth="1"/>
    <col min="2572" max="2572" width="2.125" style="37" customWidth="1"/>
    <col min="2573" max="2573" width="3.125" style="37" customWidth="1"/>
    <col min="2574" max="2574" width="2.125" style="37" customWidth="1"/>
    <col min="2575" max="2575" width="3.125" style="37" customWidth="1"/>
    <col min="2576" max="2576" width="2.125" style="37" customWidth="1"/>
    <col min="2577" max="2577" width="3.125" style="37" customWidth="1"/>
    <col min="2578" max="2578" width="2.125" style="37" customWidth="1"/>
    <col min="2579" max="2579" width="3.125" style="37" customWidth="1"/>
    <col min="2580" max="2580" width="2.125" style="37" customWidth="1"/>
    <col min="2581" max="2581" width="39.75" style="37" customWidth="1"/>
    <col min="2582" max="2582" width="22.125" style="37" customWidth="1"/>
    <col min="2583" max="2583" width="3.25" style="37" customWidth="1"/>
    <col min="2584" max="2816" width="9" style="37"/>
    <col min="2817" max="2817" width="2.375" style="37" customWidth="1"/>
    <col min="2818" max="2818" width="3.625" style="37" customWidth="1"/>
    <col min="2819" max="2819" width="6.5" style="37" bestFit="1" customWidth="1"/>
    <col min="2820" max="2820" width="20.625" style="37" customWidth="1"/>
    <col min="2821" max="2821" width="15.625" style="37" customWidth="1"/>
    <col min="2822" max="2822" width="12.125" style="37" customWidth="1"/>
    <col min="2823" max="2823" width="6.125" style="37" customWidth="1"/>
    <col min="2824" max="2824" width="22.625" style="37" customWidth="1"/>
    <col min="2825" max="2825" width="3.125" style="37" customWidth="1"/>
    <col min="2826" max="2826" width="2.125" style="37" customWidth="1"/>
    <col min="2827" max="2827" width="3.125" style="37" customWidth="1"/>
    <col min="2828" max="2828" width="2.125" style="37" customWidth="1"/>
    <col min="2829" max="2829" width="3.125" style="37" customWidth="1"/>
    <col min="2830" max="2830" width="2.125" style="37" customWidth="1"/>
    <col min="2831" max="2831" width="3.125" style="37" customWidth="1"/>
    <col min="2832" max="2832" width="2.125" style="37" customWidth="1"/>
    <col min="2833" max="2833" width="3.125" style="37" customWidth="1"/>
    <col min="2834" max="2834" width="2.125" style="37" customWidth="1"/>
    <col min="2835" max="2835" width="3.125" style="37" customWidth="1"/>
    <col min="2836" max="2836" width="2.125" style="37" customWidth="1"/>
    <col min="2837" max="2837" width="39.75" style="37" customWidth="1"/>
    <col min="2838" max="2838" width="22.125" style="37" customWidth="1"/>
    <col min="2839" max="2839" width="3.25" style="37" customWidth="1"/>
    <col min="2840" max="3072" width="9" style="37"/>
    <col min="3073" max="3073" width="2.375" style="37" customWidth="1"/>
    <col min="3074" max="3074" width="3.625" style="37" customWidth="1"/>
    <col min="3075" max="3075" width="6.5" style="37" bestFit="1" customWidth="1"/>
    <col min="3076" max="3076" width="20.625" style="37" customWidth="1"/>
    <col min="3077" max="3077" width="15.625" style="37" customWidth="1"/>
    <col min="3078" max="3078" width="12.125" style="37" customWidth="1"/>
    <col min="3079" max="3079" width="6.125" style="37" customWidth="1"/>
    <col min="3080" max="3080" width="22.625" style="37" customWidth="1"/>
    <col min="3081" max="3081" width="3.125" style="37" customWidth="1"/>
    <col min="3082" max="3082" width="2.125" style="37" customWidth="1"/>
    <col min="3083" max="3083" width="3.125" style="37" customWidth="1"/>
    <col min="3084" max="3084" width="2.125" style="37" customWidth="1"/>
    <col min="3085" max="3085" width="3.125" style="37" customWidth="1"/>
    <col min="3086" max="3086" width="2.125" style="37" customWidth="1"/>
    <col min="3087" max="3087" width="3.125" style="37" customWidth="1"/>
    <col min="3088" max="3088" width="2.125" style="37" customWidth="1"/>
    <col min="3089" max="3089" width="3.125" style="37" customWidth="1"/>
    <col min="3090" max="3090" width="2.125" style="37" customWidth="1"/>
    <col min="3091" max="3091" width="3.125" style="37" customWidth="1"/>
    <col min="3092" max="3092" width="2.125" style="37" customWidth="1"/>
    <col min="3093" max="3093" width="39.75" style="37" customWidth="1"/>
    <col min="3094" max="3094" width="22.125" style="37" customWidth="1"/>
    <col min="3095" max="3095" width="3.25" style="37" customWidth="1"/>
    <col min="3096" max="3328" width="9" style="37"/>
    <col min="3329" max="3329" width="2.375" style="37" customWidth="1"/>
    <col min="3330" max="3330" width="3.625" style="37" customWidth="1"/>
    <col min="3331" max="3331" width="6.5" style="37" bestFit="1" customWidth="1"/>
    <col min="3332" max="3332" width="20.625" style="37" customWidth="1"/>
    <col min="3333" max="3333" width="15.625" style="37" customWidth="1"/>
    <col min="3334" max="3334" width="12.125" style="37" customWidth="1"/>
    <col min="3335" max="3335" width="6.125" style="37" customWidth="1"/>
    <col min="3336" max="3336" width="22.625" style="37" customWidth="1"/>
    <col min="3337" max="3337" width="3.125" style="37" customWidth="1"/>
    <col min="3338" max="3338" width="2.125" style="37" customWidth="1"/>
    <col min="3339" max="3339" width="3.125" style="37" customWidth="1"/>
    <col min="3340" max="3340" width="2.125" style="37" customWidth="1"/>
    <col min="3341" max="3341" width="3.125" style="37" customWidth="1"/>
    <col min="3342" max="3342" width="2.125" style="37" customWidth="1"/>
    <col min="3343" max="3343" width="3.125" style="37" customWidth="1"/>
    <col min="3344" max="3344" width="2.125" style="37" customWidth="1"/>
    <col min="3345" max="3345" width="3.125" style="37" customWidth="1"/>
    <col min="3346" max="3346" width="2.125" style="37" customWidth="1"/>
    <col min="3347" max="3347" width="3.125" style="37" customWidth="1"/>
    <col min="3348" max="3348" width="2.125" style="37" customWidth="1"/>
    <col min="3349" max="3349" width="39.75" style="37" customWidth="1"/>
    <col min="3350" max="3350" width="22.125" style="37" customWidth="1"/>
    <col min="3351" max="3351" width="3.25" style="37" customWidth="1"/>
    <col min="3352" max="3584" width="9" style="37"/>
    <col min="3585" max="3585" width="2.375" style="37" customWidth="1"/>
    <col min="3586" max="3586" width="3.625" style="37" customWidth="1"/>
    <col min="3587" max="3587" width="6.5" style="37" bestFit="1" customWidth="1"/>
    <col min="3588" max="3588" width="20.625" style="37" customWidth="1"/>
    <col min="3589" max="3589" width="15.625" style="37" customWidth="1"/>
    <col min="3590" max="3590" width="12.125" style="37" customWidth="1"/>
    <col min="3591" max="3591" width="6.125" style="37" customWidth="1"/>
    <col min="3592" max="3592" width="22.625" style="37" customWidth="1"/>
    <col min="3593" max="3593" width="3.125" style="37" customWidth="1"/>
    <col min="3594" max="3594" width="2.125" style="37" customWidth="1"/>
    <col min="3595" max="3595" width="3.125" style="37" customWidth="1"/>
    <col min="3596" max="3596" width="2.125" style="37" customWidth="1"/>
    <col min="3597" max="3597" width="3.125" style="37" customWidth="1"/>
    <col min="3598" max="3598" width="2.125" style="37" customWidth="1"/>
    <col min="3599" max="3599" width="3.125" style="37" customWidth="1"/>
    <col min="3600" max="3600" width="2.125" style="37" customWidth="1"/>
    <col min="3601" max="3601" width="3.125" style="37" customWidth="1"/>
    <col min="3602" max="3602" width="2.125" style="37" customWidth="1"/>
    <col min="3603" max="3603" width="3.125" style="37" customWidth="1"/>
    <col min="3604" max="3604" width="2.125" style="37" customWidth="1"/>
    <col min="3605" max="3605" width="39.75" style="37" customWidth="1"/>
    <col min="3606" max="3606" width="22.125" style="37" customWidth="1"/>
    <col min="3607" max="3607" width="3.25" style="37" customWidth="1"/>
    <col min="3608" max="3840" width="9" style="37"/>
    <col min="3841" max="3841" width="2.375" style="37" customWidth="1"/>
    <col min="3842" max="3842" width="3.625" style="37" customWidth="1"/>
    <col min="3843" max="3843" width="6.5" style="37" bestFit="1" customWidth="1"/>
    <col min="3844" max="3844" width="20.625" style="37" customWidth="1"/>
    <col min="3845" max="3845" width="15.625" style="37" customWidth="1"/>
    <col min="3846" max="3846" width="12.125" style="37" customWidth="1"/>
    <col min="3847" max="3847" width="6.125" style="37" customWidth="1"/>
    <col min="3848" max="3848" width="22.625" style="37" customWidth="1"/>
    <col min="3849" max="3849" width="3.125" style="37" customWidth="1"/>
    <col min="3850" max="3850" width="2.125" style="37" customWidth="1"/>
    <col min="3851" max="3851" width="3.125" style="37" customWidth="1"/>
    <col min="3852" max="3852" width="2.125" style="37" customWidth="1"/>
    <col min="3853" max="3853" width="3.125" style="37" customWidth="1"/>
    <col min="3854" max="3854" width="2.125" style="37" customWidth="1"/>
    <col min="3855" max="3855" width="3.125" style="37" customWidth="1"/>
    <col min="3856" max="3856" width="2.125" style="37" customWidth="1"/>
    <col min="3857" max="3857" width="3.125" style="37" customWidth="1"/>
    <col min="3858" max="3858" width="2.125" style="37" customWidth="1"/>
    <col min="3859" max="3859" width="3.125" style="37" customWidth="1"/>
    <col min="3860" max="3860" width="2.125" style="37" customWidth="1"/>
    <col min="3861" max="3861" width="39.75" style="37" customWidth="1"/>
    <col min="3862" max="3862" width="22.125" style="37" customWidth="1"/>
    <col min="3863" max="3863" width="3.25" style="37" customWidth="1"/>
    <col min="3864" max="4096" width="9" style="37"/>
    <col min="4097" max="4097" width="2.375" style="37" customWidth="1"/>
    <col min="4098" max="4098" width="3.625" style="37" customWidth="1"/>
    <col min="4099" max="4099" width="6.5" style="37" bestFit="1" customWidth="1"/>
    <col min="4100" max="4100" width="20.625" style="37" customWidth="1"/>
    <col min="4101" max="4101" width="15.625" style="37" customWidth="1"/>
    <col min="4102" max="4102" width="12.125" style="37" customWidth="1"/>
    <col min="4103" max="4103" width="6.125" style="37" customWidth="1"/>
    <col min="4104" max="4104" width="22.625" style="37" customWidth="1"/>
    <col min="4105" max="4105" width="3.125" style="37" customWidth="1"/>
    <col min="4106" max="4106" width="2.125" style="37" customWidth="1"/>
    <col min="4107" max="4107" width="3.125" style="37" customWidth="1"/>
    <col min="4108" max="4108" width="2.125" style="37" customWidth="1"/>
    <col min="4109" max="4109" width="3.125" style="37" customWidth="1"/>
    <col min="4110" max="4110" width="2.125" style="37" customWidth="1"/>
    <col min="4111" max="4111" width="3.125" style="37" customWidth="1"/>
    <col min="4112" max="4112" width="2.125" style="37" customWidth="1"/>
    <col min="4113" max="4113" width="3.125" style="37" customWidth="1"/>
    <col min="4114" max="4114" width="2.125" style="37" customWidth="1"/>
    <col min="4115" max="4115" width="3.125" style="37" customWidth="1"/>
    <col min="4116" max="4116" width="2.125" style="37" customWidth="1"/>
    <col min="4117" max="4117" width="39.75" style="37" customWidth="1"/>
    <col min="4118" max="4118" width="22.125" style="37" customWidth="1"/>
    <col min="4119" max="4119" width="3.25" style="37" customWidth="1"/>
    <col min="4120" max="4352" width="9" style="37"/>
    <col min="4353" max="4353" width="2.375" style="37" customWidth="1"/>
    <col min="4354" max="4354" width="3.625" style="37" customWidth="1"/>
    <col min="4355" max="4355" width="6.5" style="37" bestFit="1" customWidth="1"/>
    <col min="4356" max="4356" width="20.625" style="37" customWidth="1"/>
    <col min="4357" max="4357" width="15.625" style="37" customWidth="1"/>
    <col min="4358" max="4358" width="12.125" style="37" customWidth="1"/>
    <col min="4359" max="4359" width="6.125" style="37" customWidth="1"/>
    <col min="4360" max="4360" width="22.625" style="37" customWidth="1"/>
    <col min="4361" max="4361" width="3.125" style="37" customWidth="1"/>
    <col min="4362" max="4362" width="2.125" style="37" customWidth="1"/>
    <col min="4363" max="4363" width="3.125" style="37" customWidth="1"/>
    <col min="4364" max="4364" width="2.125" style="37" customWidth="1"/>
    <col min="4365" max="4365" width="3.125" style="37" customWidth="1"/>
    <col min="4366" max="4366" width="2.125" style="37" customWidth="1"/>
    <col min="4367" max="4367" width="3.125" style="37" customWidth="1"/>
    <col min="4368" max="4368" width="2.125" style="37" customWidth="1"/>
    <col min="4369" max="4369" width="3.125" style="37" customWidth="1"/>
    <col min="4370" max="4370" width="2.125" style="37" customWidth="1"/>
    <col min="4371" max="4371" width="3.125" style="37" customWidth="1"/>
    <col min="4372" max="4372" width="2.125" style="37" customWidth="1"/>
    <col min="4373" max="4373" width="39.75" style="37" customWidth="1"/>
    <col min="4374" max="4374" width="22.125" style="37" customWidth="1"/>
    <col min="4375" max="4375" width="3.25" style="37" customWidth="1"/>
    <col min="4376" max="4608" width="9" style="37"/>
    <col min="4609" max="4609" width="2.375" style="37" customWidth="1"/>
    <col min="4610" max="4610" width="3.625" style="37" customWidth="1"/>
    <col min="4611" max="4611" width="6.5" style="37" bestFit="1" customWidth="1"/>
    <col min="4612" max="4612" width="20.625" style="37" customWidth="1"/>
    <col min="4613" max="4613" width="15.625" style="37" customWidth="1"/>
    <col min="4614" max="4614" width="12.125" style="37" customWidth="1"/>
    <col min="4615" max="4615" width="6.125" style="37" customWidth="1"/>
    <col min="4616" max="4616" width="22.625" style="37" customWidth="1"/>
    <col min="4617" max="4617" width="3.125" style="37" customWidth="1"/>
    <col min="4618" max="4618" width="2.125" style="37" customWidth="1"/>
    <col min="4619" max="4619" width="3.125" style="37" customWidth="1"/>
    <col min="4620" max="4620" width="2.125" style="37" customWidth="1"/>
    <col min="4621" max="4621" width="3.125" style="37" customWidth="1"/>
    <col min="4622" max="4622" width="2.125" style="37" customWidth="1"/>
    <col min="4623" max="4623" width="3.125" style="37" customWidth="1"/>
    <col min="4624" max="4624" width="2.125" style="37" customWidth="1"/>
    <col min="4625" max="4625" width="3.125" style="37" customWidth="1"/>
    <col min="4626" max="4626" width="2.125" style="37" customWidth="1"/>
    <col min="4627" max="4627" width="3.125" style="37" customWidth="1"/>
    <col min="4628" max="4628" width="2.125" style="37" customWidth="1"/>
    <col min="4629" max="4629" width="39.75" style="37" customWidth="1"/>
    <col min="4630" max="4630" width="22.125" style="37" customWidth="1"/>
    <col min="4631" max="4631" width="3.25" style="37" customWidth="1"/>
    <col min="4632" max="4864" width="9" style="37"/>
    <col min="4865" max="4865" width="2.375" style="37" customWidth="1"/>
    <col min="4866" max="4866" width="3.625" style="37" customWidth="1"/>
    <col min="4867" max="4867" width="6.5" style="37" bestFit="1" customWidth="1"/>
    <col min="4868" max="4868" width="20.625" style="37" customWidth="1"/>
    <col min="4869" max="4869" width="15.625" style="37" customWidth="1"/>
    <col min="4870" max="4870" width="12.125" style="37" customWidth="1"/>
    <col min="4871" max="4871" width="6.125" style="37" customWidth="1"/>
    <col min="4872" max="4872" width="22.625" style="37" customWidth="1"/>
    <col min="4873" max="4873" width="3.125" style="37" customWidth="1"/>
    <col min="4874" max="4874" width="2.125" style="37" customWidth="1"/>
    <col min="4875" max="4875" width="3.125" style="37" customWidth="1"/>
    <col min="4876" max="4876" width="2.125" style="37" customWidth="1"/>
    <col min="4877" max="4877" width="3.125" style="37" customWidth="1"/>
    <col min="4878" max="4878" width="2.125" style="37" customWidth="1"/>
    <col min="4879" max="4879" width="3.125" style="37" customWidth="1"/>
    <col min="4880" max="4880" width="2.125" style="37" customWidth="1"/>
    <col min="4881" max="4881" width="3.125" style="37" customWidth="1"/>
    <col min="4882" max="4882" width="2.125" style="37" customWidth="1"/>
    <col min="4883" max="4883" width="3.125" style="37" customWidth="1"/>
    <col min="4884" max="4884" width="2.125" style="37" customWidth="1"/>
    <col min="4885" max="4885" width="39.75" style="37" customWidth="1"/>
    <col min="4886" max="4886" width="22.125" style="37" customWidth="1"/>
    <col min="4887" max="4887" width="3.25" style="37" customWidth="1"/>
    <col min="4888" max="5120" width="9" style="37"/>
    <col min="5121" max="5121" width="2.375" style="37" customWidth="1"/>
    <col min="5122" max="5122" width="3.625" style="37" customWidth="1"/>
    <col min="5123" max="5123" width="6.5" style="37" bestFit="1" customWidth="1"/>
    <col min="5124" max="5124" width="20.625" style="37" customWidth="1"/>
    <col min="5125" max="5125" width="15.625" style="37" customWidth="1"/>
    <col min="5126" max="5126" width="12.125" style="37" customWidth="1"/>
    <col min="5127" max="5127" width="6.125" style="37" customWidth="1"/>
    <col min="5128" max="5128" width="22.625" style="37" customWidth="1"/>
    <col min="5129" max="5129" width="3.125" style="37" customWidth="1"/>
    <col min="5130" max="5130" width="2.125" style="37" customWidth="1"/>
    <col min="5131" max="5131" width="3.125" style="37" customWidth="1"/>
    <col min="5132" max="5132" width="2.125" style="37" customWidth="1"/>
    <col min="5133" max="5133" width="3.125" style="37" customWidth="1"/>
    <col min="5134" max="5134" width="2.125" style="37" customWidth="1"/>
    <col min="5135" max="5135" width="3.125" style="37" customWidth="1"/>
    <col min="5136" max="5136" width="2.125" style="37" customWidth="1"/>
    <col min="5137" max="5137" width="3.125" style="37" customWidth="1"/>
    <col min="5138" max="5138" width="2.125" style="37" customWidth="1"/>
    <col min="5139" max="5139" width="3.125" style="37" customWidth="1"/>
    <col min="5140" max="5140" width="2.125" style="37" customWidth="1"/>
    <col min="5141" max="5141" width="39.75" style="37" customWidth="1"/>
    <col min="5142" max="5142" width="22.125" style="37" customWidth="1"/>
    <col min="5143" max="5143" width="3.25" style="37" customWidth="1"/>
    <col min="5144" max="5376" width="9" style="37"/>
    <col min="5377" max="5377" width="2.375" style="37" customWidth="1"/>
    <col min="5378" max="5378" width="3.625" style="37" customWidth="1"/>
    <col min="5379" max="5379" width="6.5" style="37" bestFit="1" customWidth="1"/>
    <col min="5380" max="5380" width="20.625" style="37" customWidth="1"/>
    <col min="5381" max="5381" width="15.625" style="37" customWidth="1"/>
    <col min="5382" max="5382" width="12.125" style="37" customWidth="1"/>
    <col min="5383" max="5383" width="6.125" style="37" customWidth="1"/>
    <col min="5384" max="5384" width="22.625" style="37" customWidth="1"/>
    <col min="5385" max="5385" width="3.125" style="37" customWidth="1"/>
    <col min="5386" max="5386" width="2.125" style="37" customWidth="1"/>
    <col min="5387" max="5387" width="3.125" style="37" customWidth="1"/>
    <col min="5388" max="5388" width="2.125" style="37" customWidth="1"/>
    <col min="5389" max="5389" width="3.125" style="37" customWidth="1"/>
    <col min="5390" max="5390" width="2.125" style="37" customWidth="1"/>
    <col min="5391" max="5391" width="3.125" style="37" customWidth="1"/>
    <col min="5392" max="5392" width="2.125" style="37" customWidth="1"/>
    <col min="5393" max="5393" width="3.125" style="37" customWidth="1"/>
    <col min="5394" max="5394" width="2.125" style="37" customWidth="1"/>
    <col min="5395" max="5395" width="3.125" style="37" customWidth="1"/>
    <col min="5396" max="5396" width="2.125" style="37" customWidth="1"/>
    <col min="5397" max="5397" width="39.75" style="37" customWidth="1"/>
    <col min="5398" max="5398" width="22.125" style="37" customWidth="1"/>
    <col min="5399" max="5399" width="3.25" style="37" customWidth="1"/>
    <col min="5400" max="5632" width="9" style="37"/>
    <col min="5633" max="5633" width="2.375" style="37" customWidth="1"/>
    <col min="5634" max="5634" width="3.625" style="37" customWidth="1"/>
    <col min="5635" max="5635" width="6.5" style="37" bestFit="1" customWidth="1"/>
    <col min="5636" max="5636" width="20.625" style="37" customWidth="1"/>
    <col min="5637" max="5637" width="15.625" style="37" customWidth="1"/>
    <col min="5638" max="5638" width="12.125" style="37" customWidth="1"/>
    <col min="5639" max="5639" width="6.125" style="37" customWidth="1"/>
    <col min="5640" max="5640" width="22.625" style="37" customWidth="1"/>
    <col min="5641" max="5641" width="3.125" style="37" customWidth="1"/>
    <col min="5642" max="5642" width="2.125" style="37" customWidth="1"/>
    <col min="5643" max="5643" width="3.125" style="37" customWidth="1"/>
    <col min="5644" max="5644" width="2.125" style="37" customWidth="1"/>
    <col min="5645" max="5645" width="3.125" style="37" customWidth="1"/>
    <col min="5646" max="5646" width="2.125" style="37" customWidth="1"/>
    <col min="5647" max="5647" width="3.125" style="37" customWidth="1"/>
    <col min="5648" max="5648" width="2.125" style="37" customWidth="1"/>
    <col min="5649" max="5649" width="3.125" style="37" customWidth="1"/>
    <col min="5650" max="5650" width="2.125" style="37" customWidth="1"/>
    <col min="5651" max="5651" width="3.125" style="37" customWidth="1"/>
    <col min="5652" max="5652" width="2.125" style="37" customWidth="1"/>
    <col min="5653" max="5653" width="39.75" style="37" customWidth="1"/>
    <col min="5654" max="5654" width="22.125" style="37" customWidth="1"/>
    <col min="5655" max="5655" width="3.25" style="37" customWidth="1"/>
    <col min="5656" max="5888" width="9" style="37"/>
    <col min="5889" max="5889" width="2.375" style="37" customWidth="1"/>
    <col min="5890" max="5890" width="3.625" style="37" customWidth="1"/>
    <col min="5891" max="5891" width="6.5" style="37" bestFit="1" customWidth="1"/>
    <col min="5892" max="5892" width="20.625" style="37" customWidth="1"/>
    <col min="5893" max="5893" width="15.625" style="37" customWidth="1"/>
    <col min="5894" max="5894" width="12.125" style="37" customWidth="1"/>
    <col min="5895" max="5895" width="6.125" style="37" customWidth="1"/>
    <col min="5896" max="5896" width="22.625" style="37" customWidth="1"/>
    <col min="5897" max="5897" width="3.125" style="37" customWidth="1"/>
    <col min="5898" max="5898" width="2.125" style="37" customWidth="1"/>
    <col min="5899" max="5899" width="3.125" style="37" customWidth="1"/>
    <col min="5900" max="5900" width="2.125" style="37" customWidth="1"/>
    <col min="5901" max="5901" width="3.125" style="37" customWidth="1"/>
    <col min="5902" max="5902" width="2.125" style="37" customWidth="1"/>
    <col min="5903" max="5903" width="3.125" style="37" customWidth="1"/>
    <col min="5904" max="5904" width="2.125" style="37" customWidth="1"/>
    <col min="5905" max="5905" width="3.125" style="37" customWidth="1"/>
    <col min="5906" max="5906" width="2.125" style="37" customWidth="1"/>
    <col min="5907" max="5907" width="3.125" style="37" customWidth="1"/>
    <col min="5908" max="5908" width="2.125" style="37" customWidth="1"/>
    <col min="5909" max="5909" width="39.75" style="37" customWidth="1"/>
    <col min="5910" max="5910" width="22.125" style="37" customWidth="1"/>
    <col min="5911" max="5911" width="3.25" style="37" customWidth="1"/>
    <col min="5912" max="6144" width="9" style="37"/>
    <col min="6145" max="6145" width="2.375" style="37" customWidth="1"/>
    <col min="6146" max="6146" width="3.625" style="37" customWidth="1"/>
    <col min="6147" max="6147" width="6.5" style="37" bestFit="1" customWidth="1"/>
    <col min="6148" max="6148" width="20.625" style="37" customWidth="1"/>
    <col min="6149" max="6149" width="15.625" style="37" customWidth="1"/>
    <col min="6150" max="6150" width="12.125" style="37" customWidth="1"/>
    <col min="6151" max="6151" width="6.125" style="37" customWidth="1"/>
    <col min="6152" max="6152" width="22.625" style="37" customWidth="1"/>
    <col min="6153" max="6153" width="3.125" style="37" customWidth="1"/>
    <col min="6154" max="6154" width="2.125" style="37" customWidth="1"/>
    <col min="6155" max="6155" width="3.125" style="37" customWidth="1"/>
    <col min="6156" max="6156" width="2.125" style="37" customWidth="1"/>
    <col min="6157" max="6157" width="3.125" style="37" customWidth="1"/>
    <col min="6158" max="6158" width="2.125" style="37" customWidth="1"/>
    <col min="6159" max="6159" width="3.125" style="37" customWidth="1"/>
    <col min="6160" max="6160" width="2.125" style="37" customWidth="1"/>
    <col min="6161" max="6161" width="3.125" style="37" customWidth="1"/>
    <col min="6162" max="6162" width="2.125" style="37" customWidth="1"/>
    <col min="6163" max="6163" width="3.125" style="37" customWidth="1"/>
    <col min="6164" max="6164" width="2.125" style="37" customWidth="1"/>
    <col min="6165" max="6165" width="39.75" style="37" customWidth="1"/>
    <col min="6166" max="6166" width="22.125" style="37" customWidth="1"/>
    <col min="6167" max="6167" width="3.25" style="37" customWidth="1"/>
    <col min="6168" max="6400" width="9" style="37"/>
    <col min="6401" max="6401" width="2.375" style="37" customWidth="1"/>
    <col min="6402" max="6402" width="3.625" style="37" customWidth="1"/>
    <col min="6403" max="6403" width="6.5" style="37" bestFit="1" customWidth="1"/>
    <col min="6404" max="6404" width="20.625" style="37" customWidth="1"/>
    <col min="6405" max="6405" width="15.625" style="37" customWidth="1"/>
    <col min="6406" max="6406" width="12.125" style="37" customWidth="1"/>
    <col min="6407" max="6407" width="6.125" style="37" customWidth="1"/>
    <col min="6408" max="6408" width="22.625" style="37" customWidth="1"/>
    <col min="6409" max="6409" width="3.125" style="37" customWidth="1"/>
    <col min="6410" max="6410" width="2.125" style="37" customWidth="1"/>
    <col min="6411" max="6411" width="3.125" style="37" customWidth="1"/>
    <col min="6412" max="6412" width="2.125" style="37" customWidth="1"/>
    <col min="6413" max="6413" width="3.125" style="37" customWidth="1"/>
    <col min="6414" max="6414" width="2.125" style="37" customWidth="1"/>
    <col min="6415" max="6415" width="3.125" style="37" customWidth="1"/>
    <col min="6416" max="6416" width="2.125" style="37" customWidth="1"/>
    <col min="6417" max="6417" width="3.125" style="37" customWidth="1"/>
    <col min="6418" max="6418" width="2.125" style="37" customWidth="1"/>
    <col min="6419" max="6419" width="3.125" style="37" customWidth="1"/>
    <col min="6420" max="6420" width="2.125" style="37" customWidth="1"/>
    <col min="6421" max="6421" width="39.75" style="37" customWidth="1"/>
    <col min="6422" max="6422" width="22.125" style="37" customWidth="1"/>
    <col min="6423" max="6423" width="3.25" style="37" customWidth="1"/>
    <col min="6424" max="6656" width="9" style="37"/>
    <col min="6657" max="6657" width="2.375" style="37" customWidth="1"/>
    <col min="6658" max="6658" width="3.625" style="37" customWidth="1"/>
    <col min="6659" max="6659" width="6.5" style="37" bestFit="1" customWidth="1"/>
    <col min="6660" max="6660" width="20.625" style="37" customWidth="1"/>
    <col min="6661" max="6661" width="15.625" style="37" customWidth="1"/>
    <col min="6662" max="6662" width="12.125" style="37" customWidth="1"/>
    <col min="6663" max="6663" width="6.125" style="37" customWidth="1"/>
    <col min="6664" max="6664" width="22.625" style="37" customWidth="1"/>
    <col min="6665" max="6665" width="3.125" style="37" customWidth="1"/>
    <col min="6666" max="6666" width="2.125" style="37" customWidth="1"/>
    <col min="6667" max="6667" width="3.125" style="37" customWidth="1"/>
    <col min="6668" max="6668" width="2.125" style="37" customWidth="1"/>
    <col min="6669" max="6669" width="3.125" style="37" customWidth="1"/>
    <col min="6670" max="6670" width="2.125" style="37" customWidth="1"/>
    <col min="6671" max="6671" width="3.125" style="37" customWidth="1"/>
    <col min="6672" max="6672" width="2.125" style="37" customWidth="1"/>
    <col min="6673" max="6673" width="3.125" style="37" customWidth="1"/>
    <col min="6674" max="6674" width="2.125" style="37" customWidth="1"/>
    <col min="6675" max="6675" width="3.125" style="37" customWidth="1"/>
    <col min="6676" max="6676" width="2.125" style="37" customWidth="1"/>
    <col min="6677" max="6677" width="39.75" style="37" customWidth="1"/>
    <col min="6678" max="6678" width="22.125" style="37" customWidth="1"/>
    <col min="6679" max="6679" width="3.25" style="37" customWidth="1"/>
    <col min="6680" max="6912" width="9" style="37"/>
    <col min="6913" max="6913" width="2.375" style="37" customWidth="1"/>
    <col min="6914" max="6914" width="3.625" style="37" customWidth="1"/>
    <col min="6915" max="6915" width="6.5" style="37" bestFit="1" customWidth="1"/>
    <col min="6916" max="6916" width="20.625" style="37" customWidth="1"/>
    <col min="6917" max="6917" width="15.625" style="37" customWidth="1"/>
    <col min="6918" max="6918" width="12.125" style="37" customWidth="1"/>
    <col min="6919" max="6919" width="6.125" style="37" customWidth="1"/>
    <col min="6920" max="6920" width="22.625" style="37" customWidth="1"/>
    <col min="6921" max="6921" width="3.125" style="37" customWidth="1"/>
    <col min="6922" max="6922" width="2.125" style="37" customWidth="1"/>
    <col min="6923" max="6923" width="3.125" style="37" customWidth="1"/>
    <col min="6924" max="6924" width="2.125" style="37" customWidth="1"/>
    <col min="6925" max="6925" width="3.125" style="37" customWidth="1"/>
    <col min="6926" max="6926" width="2.125" style="37" customWidth="1"/>
    <col min="6927" max="6927" width="3.125" style="37" customWidth="1"/>
    <col min="6928" max="6928" width="2.125" style="37" customWidth="1"/>
    <col min="6929" max="6929" width="3.125" style="37" customWidth="1"/>
    <col min="6930" max="6930" width="2.125" style="37" customWidth="1"/>
    <col min="6931" max="6931" width="3.125" style="37" customWidth="1"/>
    <col min="6932" max="6932" width="2.125" style="37" customWidth="1"/>
    <col min="6933" max="6933" width="39.75" style="37" customWidth="1"/>
    <col min="6934" max="6934" width="22.125" style="37" customWidth="1"/>
    <col min="6935" max="6935" width="3.25" style="37" customWidth="1"/>
    <col min="6936" max="7168" width="9" style="37"/>
    <col min="7169" max="7169" width="2.375" style="37" customWidth="1"/>
    <col min="7170" max="7170" width="3.625" style="37" customWidth="1"/>
    <col min="7171" max="7171" width="6.5" style="37" bestFit="1" customWidth="1"/>
    <col min="7172" max="7172" width="20.625" style="37" customWidth="1"/>
    <col min="7173" max="7173" width="15.625" style="37" customWidth="1"/>
    <col min="7174" max="7174" width="12.125" style="37" customWidth="1"/>
    <col min="7175" max="7175" width="6.125" style="37" customWidth="1"/>
    <col min="7176" max="7176" width="22.625" style="37" customWidth="1"/>
    <col min="7177" max="7177" width="3.125" style="37" customWidth="1"/>
    <col min="7178" max="7178" width="2.125" style="37" customWidth="1"/>
    <col min="7179" max="7179" width="3.125" style="37" customWidth="1"/>
    <col min="7180" max="7180" width="2.125" style="37" customWidth="1"/>
    <col min="7181" max="7181" width="3.125" style="37" customWidth="1"/>
    <col min="7182" max="7182" width="2.125" style="37" customWidth="1"/>
    <col min="7183" max="7183" width="3.125" style="37" customWidth="1"/>
    <col min="7184" max="7184" width="2.125" style="37" customWidth="1"/>
    <col min="7185" max="7185" width="3.125" style="37" customWidth="1"/>
    <col min="7186" max="7186" width="2.125" style="37" customWidth="1"/>
    <col min="7187" max="7187" width="3.125" style="37" customWidth="1"/>
    <col min="7188" max="7188" width="2.125" style="37" customWidth="1"/>
    <col min="7189" max="7189" width="39.75" style="37" customWidth="1"/>
    <col min="7190" max="7190" width="22.125" style="37" customWidth="1"/>
    <col min="7191" max="7191" width="3.25" style="37" customWidth="1"/>
    <col min="7192" max="7424" width="9" style="37"/>
    <col min="7425" max="7425" width="2.375" style="37" customWidth="1"/>
    <col min="7426" max="7426" width="3.625" style="37" customWidth="1"/>
    <col min="7427" max="7427" width="6.5" style="37" bestFit="1" customWidth="1"/>
    <col min="7428" max="7428" width="20.625" style="37" customWidth="1"/>
    <col min="7429" max="7429" width="15.625" style="37" customWidth="1"/>
    <col min="7430" max="7430" width="12.125" style="37" customWidth="1"/>
    <col min="7431" max="7431" width="6.125" style="37" customWidth="1"/>
    <col min="7432" max="7432" width="22.625" style="37" customWidth="1"/>
    <col min="7433" max="7433" width="3.125" style="37" customWidth="1"/>
    <col min="7434" max="7434" width="2.125" style="37" customWidth="1"/>
    <col min="7435" max="7435" width="3.125" style="37" customWidth="1"/>
    <col min="7436" max="7436" width="2.125" style="37" customWidth="1"/>
    <col min="7437" max="7437" width="3.125" style="37" customWidth="1"/>
    <col min="7438" max="7438" width="2.125" style="37" customWidth="1"/>
    <col min="7439" max="7439" width="3.125" style="37" customWidth="1"/>
    <col min="7440" max="7440" width="2.125" style="37" customWidth="1"/>
    <col min="7441" max="7441" width="3.125" style="37" customWidth="1"/>
    <col min="7442" max="7442" width="2.125" style="37" customWidth="1"/>
    <col min="7443" max="7443" width="3.125" style="37" customWidth="1"/>
    <col min="7444" max="7444" width="2.125" style="37" customWidth="1"/>
    <col min="7445" max="7445" width="39.75" style="37" customWidth="1"/>
    <col min="7446" max="7446" width="22.125" style="37" customWidth="1"/>
    <col min="7447" max="7447" width="3.25" style="37" customWidth="1"/>
    <col min="7448" max="7680" width="9" style="37"/>
    <col min="7681" max="7681" width="2.375" style="37" customWidth="1"/>
    <col min="7682" max="7682" width="3.625" style="37" customWidth="1"/>
    <col min="7683" max="7683" width="6.5" style="37" bestFit="1" customWidth="1"/>
    <col min="7684" max="7684" width="20.625" style="37" customWidth="1"/>
    <col min="7685" max="7685" width="15.625" style="37" customWidth="1"/>
    <col min="7686" max="7686" width="12.125" style="37" customWidth="1"/>
    <col min="7687" max="7687" width="6.125" style="37" customWidth="1"/>
    <col min="7688" max="7688" width="22.625" style="37" customWidth="1"/>
    <col min="7689" max="7689" width="3.125" style="37" customWidth="1"/>
    <col min="7690" max="7690" width="2.125" style="37" customWidth="1"/>
    <col min="7691" max="7691" width="3.125" style="37" customWidth="1"/>
    <col min="7692" max="7692" width="2.125" style="37" customWidth="1"/>
    <col min="7693" max="7693" width="3.125" style="37" customWidth="1"/>
    <col min="7694" max="7694" width="2.125" style="37" customWidth="1"/>
    <col min="7695" max="7695" width="3.125" style="37" customWidth="1"/>
    <col min="7696" max="7696" width="2.125" style="37" customWidth="1"/>
    <col min="7697" max="7697" width="3.125" style="37" customWidth="1"/>
    <col min="7698" max="7698" width="2.125" style="37" customWidth="1"/>
    <col min="7699" max="7699" width="3.125" style="37" customWidth="1"/>
    <col min="7700" max="7700" width="2.125" style="37" customWidth="1"/>
    <col min="7701" max="7701" width="39.75" style="37" customWidth="1"/>
    <col min="7702" max="7702" width="22.125" style="37" customWidth="1"/>
    <col min="7703" max="7703" width="3.25" style="37" customWidth="1"/>
    <col min="7704" max="7936" width="9" style="37"/>
    <col min="7937" max="7937" width="2.375" style="37" customWidth="1"/>
    <col min="7938" max="7938" width="3.625" style="37" customWidth="1"/>
    <col min="7939" max="7939" width="6.5" style="37" bestFit="1" customWidth="1"/>
    <col min="7940" max="7940" width="20.625" style="37" customWidth="1"/>
    <col min="7941" max="7941" width="15.625" style="37" customWidth="1"/>
    <col min="7942" max="7942" width="12.125" style="37" customWidth="1"/>
    <col min="7943" max="7943" width="6.125" style="37" customWidth="1"/>
    <col min="7944" max="7944" width="22.625" style="37" customWidth="1"/>
    <col min="7945" max="7945" width="3.125" style="37" customWidth="1"/>
    <col min="7946" max="7946" width="2.125" style="37" customWidth="1"/>
    <col min="7947" max="7947" width="3.125" style="37" customWidth="1"/>
    <col min="7948" max="7948" width="2.125" style="37" customWidth="1"/>
    <col min="7949" max="7949" width="3.125" style="37" customWidth="1"/>
    <col min="7950" max="7950" width="2.125" style="37" customWidth="1"/>
    <col min="7951" max="7951" width="3.125" style="37" customWidth="1"/>
    <col min="7952" max="7952" width="2.125" style="37" customWidth="1"/>
    <col min="7953" max="7953" width="3.125" style="37" customWidth="1"/>
    <col min="7954" max="7954" width="2.125" style="37" customWidth="1"/>
    <col min="7955" max="7955" width="3.125" style="37" customWidth="1"/>
    <col min="7956" max="7956" width="2.125" style="37" customWidth="1"/>
    <col min="7957" max="7957" width="39.75" style="37" customWidth="1"/>
    <col min="7958" max="7958" width="22.125" style="37" customWidth="1"/>
    <col min="7959" max="7959" width="3.25" style="37" customWidth="1"/>
    <col min="7960" max="8192" width="9" style="37"/>
    <col min="8193" max="8193" width="2.375" style="37" customWidth="1"/>
    <col min="8194" max="8194" width="3.625" style="37" customWidth="1"/>
    <col min="8195" max="8195" width="6.5" style="37" bestFit="1" customWidth="1"/>
    <col min="8196" max="8196" width="20.625" style="37" customWidth="1"/>
    <col min="8197" max="8197" width="15.625" style="37" customWidth="1"/>
    <col min="8198" max="8198" width="12.125" style="37" customWidth="1"/>
    <col min="8199" max="8199" width="6.125" style="37" customWidth="1"/>
    <col min="8200" max="8200" width="22.625" style="37" customWidth="1"/>
    <col min="8201" max="8201" width="3.125" style="37" customWidth="1"/>
    <col min="8202" max="8202" width="2.125" style="37" customWidth="1"/>
    <col min="8203" max="8203" width="3.125" style="37" customWidth="1"/>
    <col min="8204" max="8204" width="2.125" style="37" customWidth="1"/>
    <col min="8205" max="8205" width="3.125" style="37" customWidth="1"/>
    <col min="8206" max="8206" width="2.125" style="37" customWidth="1"/>
    <col min="8207" max="8207" width="3.125" style="37" customWidth="1"/>
    <col min="8208" max="8208" width="2.125" style="37" customWidth="1"/>
    <col min="8209" max="8209" width="3.125" style="37" customWidth="1"/>
    <col min="8210" max="8210" width="2.125" style="37" customWidth="1"/>
    <col min="8211" max="8211" width="3.125" style="37" customWidth="1"/>
    <col min="8212" max="8212" width="2.125" style="37" customWidth="1"/>
    <col min="8213" max="8213" width="39.75" style="37" customWidth="1"/>
    <col min="8214" max="8214" width="22.125" style="37" customWidth="1"/>
    <col min="8215" max="8215" width="3.25" style="37" customWidth="1"/>
    <col min="8216" max="8448" width="9" style="37"/>
    <col min="8449" max="8449" width="2.375" style="37" customWidth="1"/>
    <col min="8450" max="8450" width="3.625" style="37" customWidth="1"/>
    <col min="8451" max="8451" width="6.5" style="37" bestFit="1" customWidth="1"/>
    <col min="8452" max="8452" width="20.625" style="37" customWidth="1"/>
    <col min="8453" max="8453" width="15.625" style="37" customWidth="1"/>
    <col min="8454" max="8454" width="12.125" style="37" customWidth="1"/>
    <col min="8455" max="8455" width="6.125" style="37" customWidth="1"/>
    <col min="8456" max="8456" width="22.625" style="37" customWidth="1"/>
    <col min="8457" max="8457" width="3.125" style="37" customWidth="1"/>
    <col min="8458" max="8458" width="2.125" style="37" customWidth="1"/>
    <col min="8459" max="8459" width="3.125" style="37" customWidth="1"/>
    <col min="8460" max="8460" width="2.125" style="37" customWidth="1"/>
    <col min="8461" max="8461" width="3.125" style="37" customWidth="1"/>
    <col min="8462" max="8462" width="2.125" style="37" customWidth="1"/>
    <col min="8463" max="8463" width="3.125" style="37" customWidth="1"/>
    <col min="8464" max="8464" width="2.125" style="37" customWidth="1"/>
    <col min="8465" max="8465" width="3.125" style="37" customWidth="1"/>
    <col min="8466" max="8466" width="2.125" style="37" customWidth="1"/>
    <col min="8467" max="8467" width="3.125" style="37" customWidth="1"/>
    <col min="8468" max="8468" width="2.125" style="37" customWidth="1"/>
    <col min="8469" max="8469" width="39.75" style="37" customWidth="1"/>
    <col min="8470" max="8470" width="22.125" style="37" customWidth="1"/>
    <col min="8471" max="8471" width="3.25" style="37" customWidth="1"/>
    <col min="8472" max="8704" width="9" style="37"/>
    <col min="8705" max="8705" width="2.375" style="37" customWidth="1"/>
    <col min="8706" max="8706" width="3.625" style="37" customWidth="1"/>
    <col min="8707" max="8707" width="6.5" style="37" bestFit="1" customWidth="1"/>
    <col min="8708" max="8708" width="20.625" style="37" customWidth="1"/>
    <col min="8709" max="8709" width="15.625" style="37" customWidth="1"/>
    <col min="8710" max="8710" width="12.125" style="37" customWidth="1"/>
    <col min="8711" max="8711" width="6.125" style="37" customWidth="1"/>
    <col min="8712" max="8712" width="22.625" style="37" customWidth="1"/>
    <col min="8713" max="8713" width="3.125" style="37" customWidth="1"/>
    <col min="8714" max="8714" width="2.125" style="37" customWidth="1"/>
    <col min="8715" max="8715" width="3.125" style="37" customWidth="1"/>
    <col min="8716" max="8716" width="2.125" style="37" customWidth="1"/>
    <col min="8717" max="8717" width="3.125" style="37" customWidth="1"/>
    <col min="8718" max="8718" width="2.125" style="37" customWidth="1"/>
    <col min="8719" max="8719" width="3.125" style="37" customWidth="1"/>
    <col min="8720" max="8720" width="2.125" style="37" customWidth="1"/>
    <col min="8721" max="8721" width="3.125" style="37" customWidth="1"/>
    <col min="8722" max="8722" width="2.125" style="37" customWidth="1"/>
    <col min="8723" max="8723" width="3.125" style="37" customWidth="1"/>
    <col min="8724" max="8724" width="2.125" style="37" customWidth="1"/>
    <col min="8725" max="8725" width="39.75" style="37" customWidth="1"/>
    <col min="8726" max="8726" width="22.125" style="37" customWidth="1"/>
    <col min="8727" max="8727" width="3.25" style="37" customWidth="1"/>
    <col min="8728" max="8960" width="9" style="37"/>
    <col min="8961" max="8961" width="2.375" style="37" customWidth="1"/>
    <col min="8962" max="8962" width="3.625" style="37" customWidth="1"/>
    <col min="8963" max="8963" width="6.5" style="37" bestFit="1" customWidth="1"/>
    <col min="8964" max="8964" width="20.625" style="37" customWidth="1"/>
    <col min="8965" max="8965" width="15.625" style="37" customWidth="1"/>
    <col min="8966" max="8966" width="12.125" style="37" customWidth="1"/>
    <col min="8967" max="8967" width="6.125" style="37" customWidth="1"/>
    <col min="8968" max="8968" width="22.625" style="37" customWidth="1"/>
    <col min="8969" max="8969" width="3.125" style="37" customWidth="1"/>
    <col min="8970" max="8970" width="2.125" style="37" customWidth="1"/>
    <col min="8971" max="8971" width="3.125" style="37" customWidth="1"/>
    <col min="8972" max="8972" width="2.125" style="37" customWidth="1"/>
    <col min="8973" max="8973" width="3.125" style="37" customWidth="1"/>
    <col min="8974" max="8974" width="2.125" style="37" customWidth="1"/>
    <col min="8975" max="8975" width="3.125" style="37" customWidth="1"/>
    <col min="8976" max="8976" width="2.125" style="37" customWidth="1"/>
    <col min="8977" max="8977" width="3.125" style="37" customWidth="1"/>
    <col min="8978" max="8978" width="2.125" style="37" customWidth="1"/>
    <col min="8979" max="8979" width="3.125" style="37" customWidth="1"/>
    <col min="8980" max="8980" width="2.125" style="37" customWidth="1"/>
    <col min="8981" max="8981" width="39.75" style="37" customWidth="1"/>
    <col min="8982" max="8982" width="22.125" style="37" customWidth="1"/>
    <col min="8983" max="8983" width="3.25" style="37" customWidth="1"/>
    <col min="8984" max="9216" width="9" style="37"/>
    <col min="9217" max="9217" width="2.375" style="37" customWidth="1"/>
    <col min="9218" max="9218" width="3.625" style="37" customWidth="1"/>
    <col min="9219" max="9219" width="6.5" style="37" bestFit="1" customWidth="1"/>
    <col min="9220" max="9220" width="20.625" style="37" customWidth="1"/>
    <col min="9221" max="9221" width="15.625" style="37" customWidth="1"/>
    <col min="9222" max="9222" width="12.125" style="37" customWidth="1"/>
    <col min="9223" max="9223" width="6.125" style="37" customWidth="1"/>
    <col min="9224" max="9224" width="22.625" style="37" customWidth="1"/>
    <col min="9225" max="9225" width="3.125" style="37" customWidth="1"/>
    <col min="9226" max="9226" width="2.125" style="37" customWidth="1"/>
    <col min="9227" max="9227" width="3.125" style="37" customWidth="1"/>
    <col min="9228" max="9228" width="2.125" style="37" customWidth="1"/>
    <col min="9229" max="9229" width="3.125" style="37" customWidth="1"/>
    <col min="9230" max="9230" width="2.125" style="37" customWidth="1"/>
    <col min="9231" max="9231" width="3.125" style="37" customWidth="1"/>
    <col min="9232" max="9232" width="2.125" style="37" customWidth="1"/>
    <col min="9233" max="9233" width="3.125" style="37" customWidth="1"/>
    <col min="9234" max="9234" width="2.125" style="37" customWidth="1"/>
    <col min="9235" max="9235" width="3.125" style="37" customWidth="1"/>
    <col min="9236" max="9236" width="2.125" style="37" customWidth="1"/>
    <col min="9237" max="9237" width="39.75" style="37" customWidth="1"/>
    <col min="9238" max="9238" width="22.125" style="37" customWidth="1"/>
    <col min="9239" max="9239" width="3.25" style="37" customWidth="1"/>
    <col min="9240" max="9472" width="9" style="37"/>
    <col min="9473" max="9473" width="2.375" style="37" customWidth="1"/>
    <col min="9474" max="9474" width="3.625" style="37" customWidth="1"/>
    <col min="9475" max="9475" width="6.5" style="37" bestFit="1" customWidth="1"/>
    <col min="9476" max="9476" width="20.625" style="37" customWidth="1"/>
    <col min="9477" max="9477" width="15.625" style="37" customWidth="1"/>
    <col min="9478" max="9478" width="12.125" style="37" customWidth="1"/>
    <col min="9479" max="9479" width="6.125" style="37" customWidth="1"/>
    <col min="9480" max="9480" width="22.625" style="37" customWidth="1"/>
    <col min="9481" max="9481" width="3.125" style="37" customWidth="1"/>
    <col min="9482" max="9482" width="2.125" style="37" customWidth="1"/>
    <col min="9483" max="9483" width="3.125" style="37" customWidth="1"/>
    <col min="9484" max="9484" width="2.125" style="37" customWidth="1"/>
    <col min="9485" max="9485" width="3.125" style="37" customWidth="1"/>
    <col min="9486" max="9486" width="2.125" style="37" customWidth="1"/>
    <col min="9487" max="9487" width="3.125" style="37" customWidth="1"/>
    <col min="9488" max="9488" width="2.125" style="37" customWidth="1"/>
    <col min="9489" max="9489" width="3.125" style="37" customWidth="1"/>
    <col min="9490" max="9490" width="2.125" style="37" customWidth="1"/>
    <col min="9491" max="9491" width="3.125" style="37" customWidth="1"/>
    <col min="9492" max="9492" width="2.125" style="37" customWidth="1"/>
    <col min="9493" max="9493" width="39.75" style="37" customWidth="1"/>
    <col min="9494" max="9494" width="22.125" style="37" customWidth="1"/>
    <col min="9495" max="9495" width="3.25" style="37" customWidth="1"/>
    <col min="9496" max="9728" width="9" style="37"/>
    <col min="9729" max="9729" width="2.375" style="37" customWidth="1"/>
    <col min="9730" max="9730" width="3.625" style="37" customWidth="1"/>
    <col min="9731" max="9731" width="6.5" style="37" bestFit="1" customWidth="1"/>
    <col min="9732" max="9732" width="20.625" style="37" customWidth="1"/>
    <col min="9733" max="9733" width="15.625" style="37" customWidth="1"/>
    <col min="9734" max="9734" width="12.125" style="37" customWidth="1"/>
    <col min="9735" max="9735" width="6.125" style="37" customWidth="1"/>
    <col min="9736" max="9736" width="22.625" style="37" customWidth="1"/>
    <col min="9737" max="9737" width="3.125" style="37" customWidth="1"/>
    <col min="9738" max="9738" width="2.125" style="37" customWidth="1"/>
    <col min="9739" max="9739" width="3.125" style="37" customWidth="1"/>
    <col min="9740" max="9740" width="2.125" style="37" customWidth="1"/>
    <col min="9741" max="9741" width="3.125" style="37" customWidth="1"/>
    <col min="9742" max="9742" width="2.125" style="37" customWidth="1"/>
    <col min="9743" max="9743" width="3.125" style="37" customWidth="1"/>
    <col min="9744" max="9744" width="2.125" style="37" customWidth="1"/>
    <col min="9745" max="9745" width="3.125" style="37" customWidth="1"/>
    <col min="9746" max="9746" width="2.125" style="37" customWidth="1"/>
    <col min="9747" max="9747" width="3.125" style="37" customWidth="1"/>
    <col min="9748" max="9748" width="2.125" style="37" customWidth="1"/>
    <col min="9749" max="9749" width="39.75" style="37" customWidth="1"/>
    <col min="9750" max="9750" width="22.125" style="37" customWidth="1"/>
    <col min="9751" max="9751" width="3.25" style="37" customWidth="1"/>
    <col min="9752" max="9984" width="9" style="37"/>
    <col min="9985" max="9985" width="2.375" style="37" customWidth="1"/>
    <col min="9986" max="9986" width="3.625" style="37" customWidth="1"/>
    <col min="9987" max="9987" width="6.5" style="37" bestFit="1" customWidth="1"/>
    <col min="9988" max="9988" width="20.625" style="37" customWidth="1"/>
    <col min="9989" max="9989" width="15.625" style="37" customWidth="1"/>
    <col min="9990" max="9990" width="12.125" style="37" customWidth="1"/>
    <col min="9991" max="9991" width="6.125" style="37" customWidth="1"/>
    <col min="9992" max="9992" width="22.625" style="37" customWidth="1"/>
    <col min="9993" max="9993" width="3.125" style="37" customWidth="1"/>
    <col min="9994" max="9994" width="2.125" style="37" customWidth="1"/>
    <col min="9995" max="9995" width="3.125" style="37" customWidth="1"/>
    <col min="9996" max="9996" width="2.125" style="37" customWidth="1"/>
    <col min="9997" max="9997" width="3.125" style="37" customWidth="1"/>
    <col min="9998" max="9998" width="2.125" style="37" customWidth="1"/>
    <col min="9999" max="9999" width="3.125" style="37" customWidth="1"/>
    <col min="10000" max="10000" width="2.125" style="37" customWidth="1"/>
    <col min="10001" max="10001" width="3.125" style="37" customWidth="1"/>
    <col min="10002" max="10002" width="2.125" style="37" customWidth="1"/>
    <col min="10003" max="10003" width="3.125" style="37" customWidth="1"/>
    <col min="10004" max="10004" width="2.125" style="37" customWidth="1"/>
    <col min="10005" max="10005" width="39.75" style="37" customWidth="1"/>
    <col min="10006" max="10006" width="22.125" style="37" customWidth="1"/>
    <col min="10007" max="10007" width="3.25" style="37" customWidth="1"/>
    <col min="10008" max="10240" width="9" style="37"/>
    <col min="10241" max="10241" width="2.375" style="37" customWidth="1"/>
    <col min="10242" max="10242" width="3.625" style="37" customWidth="1"/>
    <col min="10243" max="10243" width="6.5" style="37" bestFit="1" customWidth="1"/>
    <col min="10244" max="10244" width="20.625" style="37" customWidth="1"/>
    <col min="10245" max="10245" width="15.625" style="37" customWidth="1"/>
    <col min="10246" max="10246" width="12.125" style="37" customWidth="1"/>
    <col min="10247" max="10247" width="6.125" style="37" customWidth="1"/>
    <col min="10248" max="10248" width="22.625" style="37" customWidth="1"/>
    <col min="10249" max="10249" width="3.125" style="37" customWidth="1"/>
    <col min="10250" max="10250" width="2.125" style="37" customWidth="1"/>
    <col min="10251" max="10251" width="3.125" style="37" customWidth="1"/>
    <col min="10252" max="10252" width="2.125" style="37" customWidth="1"/>
    <col min="10253" max="10253" width="3.125" style="37" customWidth="1"/>
    <col min="10254" max="10254" width="2.125" style="37" customWidth="1"/>
    <col min="10255" max="10255" width="3.125" style="37" customWidth="1"/>
    <col min="10256" max="10256" width="2.125" style="37" customWidth="1"/>
    <col min="10257" max="10257" width="3.125" style="37" customWidth="1"/>
    <col min="10258" max="10258" width="2.125" style="37" customWidth="1"/>
    <col min="10259" max="10259" width="3.125" style="37" customWidth="1"/>
    <col min="10260" max="10260" width="2.125" style="37" customWidth="1"/>
    <col min="10261" max="10261" width="39.75" style="37" customWidth="1"/>
    <col min="10262" max="10262" width="22.125" style="37" customWidth="1"/>
    <col min="10263" max="10263" width="3.25" style="37" customWidth="1"/>
    <col min="10264" max="10496" width="9" style="37"/>
    <col min="10497" max="10497" width="2.375" style="37" customWidth="1"/>
    <col min="10498" max="10498" width="3.625" style="37" customWidth="1"/>
    <col min="10499" max="10499" width="6.5" style="37" bestFit="1" customWidth="1"/>
    <col min="10500" max="10500" width="20.625" style="37" customWidth="1"/>
    <col min="10501" max="10501" width="15.625" style="37" customWidth="1"/>
    <col min="10502" max="10502" width="12.125" style="37" customWidth="1"/>
    <col min="10503" max="10503" width="6.125" style="37" customWidth="1"/>
    <col min="10504" max="10504" width="22.625" style="37" customWidth="1"/>
    <col min="10505" max="10505" width="3.125" style="37" customWidth="1"/>
    <col min="10506" max="10506" width="2.125" style="37" customWidth="1"/>
    <col min="10507" max="10507" width="3.125" style="37" customWidth="1"/>
    <col min="10508" max="10508" width="2.125" style="37" customWidth="1"/>
    <col min="10509" max="10509" width="3.125" style="37" customWidth="1"/>
    <col min="10510" max="10510" width="2.125" style="37" customWidth="1"/>
    <col min="10511" max="10511" width="3.125" style="37" customWidth="1"/>
    <col min="10512" max="10512" width="2.125" style="37" customWidth="1"/>
    <col min="10513" max="10513" width="3.125" style="37" customWidth="1"/>
    <col min="10514" max="10514" width="2.125" style="37" customWidth="1"/>
    <col min="10515" max="10515" width="3.125" style="37" customWidth="1"/>
    <col min="10516" max="10516" width="2.125" style="37" customWidth="1"/>
    <col min="10517" max="10517" width="39.75" style="37" customWidth="1"/>
    <col min="10518" max="10518" width="22.125" style="37" customWidth="1"/>
    <col min="10519" max="10519" width="3.25" style="37" customWidth="1"/>
    <col min="10520" max="10752" width="9" style="37"/>
    <col min="10753" max="10753" width="2.375" style="37" customWidth="1"/>
    <col min="10754" max="10754" width="3.625" style="37" customWidth="1"/>
    <col min="10755" max="10755" width="6.5" style="37" bestFit="1" customWidth="1"/>
    <col min="10756" max="10756" width="20.625" style="37" customWidth="1"/>
    <col min="10757" max="10757" width="15.625" style="37" customWidth="1"/>
    <col min="10758" max="10758" width="12.125" style="37" customWidth="1"/>
    <col min="10759" max="10759" width="6.125" style="37" customWidth="1"/>
    <col min="10760" max="10760" width="22.625" style="37" customWidth="1"/>
    <col min="10761" max="10761" width="3.125" style="37" customWidth="1"/>
    <col min="10762" max="10762" width="2.125" style="37" customWidth="1"/>
    <col min="10763" max="10763" width="3.125" style="37" customWidth="1"/>
    <col min="10764" max="10764" width="2.125" style="37" customWidth="1"/>
    <col min="10765" max="10765" width="3.125" style="37" customWidth="1"/>
    <col min="10766" max="10766" width="2.125" style="37" customWidth="1"/>
    <col min="10767" max="10767" width="3.125" style="37" customWidth="1"/>
    <col min="10768" max="10768" width="2.125" style="37" customWidth="1"/>
    <col min="10769" max="10769" width="3.125" style="37" customWidth="1"/>
    <col min="10770" max="10770" width="2.125" style="37" customWidth="1"/>
    <col min="10771" max="10771" width="3.125" style="37" customWidth="1"/>
    <col min="10772" max="10772" width="2.125" style="37" customWidth="1"/>
    <col min="10773" max="10773" width="39.75" style="37" customWidth="1"/>
    <col min="10774" max="10774" width="22.125" style="37" customWidth="1"/>
    <col min="10775" max="10775" width="3.25" style="37" customWidth="1"/>
    <col min="10776" max="11008" width="9" style="37"/>
    <col min="11009" max="11009" width="2.375" style="37" customWidth="1"/>
    <col min="11010" max="11010" width="3.625" style="37" customWidth="1"/>
    <col min="11011" max="11011" width="6.5" style="37" bestFit="1" customWidth="1"/>
    <col min="11012" max="11012" width="20.625" style="37" customWidth="1"/>
    <col min="11013" max="11013" width="15.625" style="37" customWidth="1"/>
    <col min="11014" max="11014" width="12.125" style="37" customWidth="1"/>
    <col min="11015" max="11015" width="6.125" style="37" customWidth="1"/>
    <col min="11016" max="11016" width="22.625" style="37" customWidth="1"/>
    <col min="11017" max="11017" width="3.125" style="37" customWidth="1"/>
    <col min="11018" max="11018" width="2.125" style="37" customWidth="1"/>
    <col min="11019" max="11019" width="3.125" style="37" customWidth="1"/>
    <col min="11020" max="11020" width="2.125" style="37" customWidth="1"/>
    <col min="11021" max="11021" width="3.125" style="37" customWidth="1"/>
    <col min="11022" max="11022" width="2.125" style="37" customWidth="1"/>
    <col min="11023" max="11023" width="3.125" style="37" customWidth="1"/>
    <col min="11024" max="11024" width="2.125" style="37" customWidth="1"/>
    <col min="11025" max="11025" width="3.125" style="37" customWidth="1"/>
    <col min="11026" max="11026" width="2.125" style="37" customWidth="1"/>
    <col min="11027" max="11027" width="3.125" style="37" customWidth="1"/>
    <col min="11028" max="11028" width="2.125" style="37" customWidth="1"/>
    <col min="11029" max="11029" width="39.75" style="37" customWidth="1"/>
    <col min="11030" max="11030" width="22.125" style="37" customWidth="1"/>
    <col min="11031" max="11031" width="3.25" style="37" customWidth="1"/>
    <col min="11032" max="11264" width="9" style="37"/>
    <col min="11265" max="11265" width="2.375" style="37" customWidth="1"/>
    <col min="11266" max="11266" width="3.625" style="37" customWidth="1"/>
    <col min="11267" max="11267" width="6.5" style="37" bestFit="1" customWidth="1"/>
    <col min="11268" max="11268" width="20.625" style="37" customWidth="1"/>
    <col min="11269" max="11269" width="15.625" style="37" customWidth="1"/>
    <col min="11270" max="11270" width="12.125" style="37" customWidth="1"/>
    <col min="11271" max="11271" width="6.125" style="37" customWidth="1"/>
    <col min="11272" max="11272" width="22.625" style="37" customWidth="1"/>
    <col min="11273" max="11273" width="3.125" style="37" customWidth="1"/>
    <col min="11274" max="11274" width="2.125" style="37" customWidth="1"/>
    <col min="11275" max="11275" width="3.125" style="37" customWidth="1"/>
    <col min="11276" max="11276" width="2.125" style="37" customWidth="1"/>
    <col min="11277" max="11277" width="3.125" style="37" customWidth="1"/>
    <col min="11278" max="11278" width="2.125" style="37" customWidth="1"/>
    <col min="11279" max="11279" width="3.125" style="37" customWidth="1"/>
    <col min="11280" max="11280" width="2.125" style="37" customWidth="1"/>
    <col min="11281" max="11281" width="3.125" style="37" customWidth="1"/>
    <col min="11282" max="11282" width="2.125" style="37" customWidth="1"/>
    <col min="11283" max="11283" width="3.125" style="37" customWidth="1"/>
    <col min="11284" max="11284" width="2.125" style="37" customWidth="1"/>
    <col min="11285" max="11285" width="39.75" style="37" customWidth="1"/>
    <col min="11286" max="11286" width="22.125" style="37" customWidth="1"/>
    <col min="11287" max="11287" width="3.25" style="37" customWidth="1"/>
    <col min="11288" max="11520" width="9" style="37"/>
    <col min="11521" max="11521" width="2.375" style="37" customWidth="1"/>
    <col min="11522" max="11522" width="3.625" style="37" customWidth="1"/>
    <col min="11523" max="11523" width="6.5" style="37" bestFit="1" customWidth="1"/>
    <col min="11524" max="11524" width="20.625" style="37" customWidth="1"/>
    <col min="11525" max="11525" width="15.625" style="37" customWidth="1"/>
    <col min="11526" max="11526" width="12.125" style="37" customWidth="1"/>
    <col min="11527" max="11527" width="6.125" style="37" customWidth="1"/>
    <col min="11528" max="11528" width="22.625" style="37" customWidth="1"/>
    <col min="11529" max="11529" width="3.125" style="37" customWidth="1"/>
    <col min="11530" max="11530" width="2.125" style="37" customWidth="1"/>
    <col min="11531" max="11531" width="3.125" style="37" customWidth="1"/>
    <col min="11532" max="11532" width="2.125" style="37" customWidth="1"/>
    <col min="11533" max="11533" width="3.125" style="37" customWidth="1"/>
    <col min="11534" max="11534" width="2.125" style="37" customWidth="1"/>
    <col min="11535" max="11535" width="3.125" style="37" customWidth="1"/>
    <col min="11536" max="11536" width="2.125" style="37" customWidth="1"/>
    <col min="11537" max="11537" width="3.125" style="37" customWidth="1"/>
    <col min="11538" max="11538" width="2.125" style="37" customWidth="1"/>
    <col min="11539" max="11539" width="3.125" style="37" customWidth="1"/>
    <col min="11540" max="11540" width="2.125" style="37" customWidth="1"/>
    <col min="11541" max="11541" width="39.75" style="37" customWidth="1"/>
    <col min="11542" max="11542" width="22.125" style="37" customWidth="1"/>
    <col min="11543" max="11543" width="3.25" style="37" customWidth="1"/>
    <col min="11544" max="11776" width="9" style="37"/>
    <col min="11777" max="11777" width="2.375" style="37" customWidth="1"/>
    <col min="11778" max="11778" width="3.625" style="37" customWidth="1"/>
    <col min="11779" max="11779" width="6.5" style="37" bestFit="1" customWidth="1"/>
    <col min="11780" max="11780" width="20.625" style="37" customWidth="1"/>
    <col min="11781" max="11781" width="15.625" style="37" customWidth="1"/>
    <col min="11782" max="11782" width="12.125" style="37" customWidth="1"/>
    <col min="11783" max="11783" width="6.125" style="37" customWidth="1"/>
    <col min="11784" max="11784" width="22.625" style="37" customWidth="1"/>
    <col min="11785" max="11785" width="3.125" style="37" customWidth="1"/>
    <col min="11786" max="11786" width="2.125" style="37" customWidth="1"/>
    <col min="11787" max="11787" width="3.125" style="37" customWidth="1"/>
    <col min="11788" max="11788" width="2.125" style="37" customWidth="1"/>
    <col min="11789" max="11789" width="3.125" style="37" customWidth="1"/>
    <col min="11790" max="11790" width="2.125" style="37" customWidth="1"/>
    <col min="11791" max="11791" width="3.125" style="37" customWidth="1"/>
    <col min="11792" max="11792" width="2.125" style="37" customWidth="1"/>
    <col min="11793" max="11793" width="3.125" style="37" customWidth="1"/>
    <col min="11794" max="11794" width="2.125" style="37" customWidth="1"/>
    <col min="11795" max="11795" width="3.125" style="37" customWidth="1"/>
    <col min="11796" max="11796" width="2.125" style="37" customWidth="1"/>
    <col min="11797" max="11797" width="39.75" style="37" customWidth="1"/>
    <col min="11798" max="11798" width="22.125" style="37" customWidth="1"/>
    <col min="11799" max="11799" width="3.25" style="37" customWidth="1"/>
    <col min="11800" max="12032" width="9" style="37"/>
    <col min="12033" max="12033" width="2.375" style="37" customWidth="1"/>
    <col min="12034" max="12034" width="3.625" style="37" customWidth="1"/>
    <col min="12035" max="12035" width="6.5" style="37" bestFit="1" customWidth="1"/>
    <col min="12036" max="12036" width="20.625" style="37" customWidth="1"/>
    <col min="12037" max="12037" width="15.625" style="37" customWidth="1"/>
    <col min="12038" max="12038" width="12.125" style="37" customWidth="1"/>
    <col min="12039" max="12039" width="6.125" style="37" customWidth="1"/>
    <col min="12040" max="12040" width="22.625" style="37" customWidth="1"/>
    <col min="12041" max="12041" width="3.125" style="37" customWidth="1"/>
    <col min="12042" max="12042" width="2.125" style="37" customWidth="1"/>
    <col min="12043" max="12043" width="3.125" style="37" customWidth="1"/>
    <col min="12044" max="12044" width="2.125" style="37" customWidth="1"/>
    <col min="12045" max="12045" width="3.125" style="37" customWidth="1"/>
    <col min="12046" max="12046" width="2.125" style="37" customWidth="1"/>
    <col min="12047" max="12047" width="3.125" style="37" customWidth="1"/>
    <col min="12048" max="12048" width="2.125" style="37" customWidth="1"/>
    <col min="12049" max="12049" width="3.125" style="37" customWidth="1"/>
    <col min="12050" max="12050" width="2.125" style="37" customWidth="1"/>
    <col min="12051" max="12051" width="3.125" style="37" customWidth="1"/>
    <col min="12052" max="12052" width="2.125" style="37" customWidth="1"/>
    <col min="12053" max="12053" width="39.75" style="37" customWidth="1"/>
    <col min="12054" max="12054" width="22.125" style="37" customWidth="1"/>
    <col min="12055" max="12055" width="3.25" style="37" customWidth="1"/>
    <col min="12056" max="12288" width="9" style="37"/>
    <col min="12289" max="12289" width="2.375" style="37" customWidth="1"/>
    <col min="12290" max="12290" width="3.625" style="37" customWidth="1"/>
    <col min="12291" max="12291" width="6.5" style="37" bestFit="1" customWidth="1"/>
    <col min="12292" max="12292" width="20.625" style="37" customWidth="1"/>
    <col min="12293" max="12293" width="15.625" style="37" customWidth="1"/>
    <col min="12294" max="12294" width="12.125" style="37" customWidth="1"/>
    <col min="12295" max="12295" width="6.125" style="37" customWidth="1"/>
    <col min="12296" max="12296" width="22.625" style="37" customWidth="1"/>
    <col min="12297" max="12297" width="3.125" style="37" customWidth="1"/>
    <col min="12298" max="12298" width="2.125" style="37" customWidth="1"/>
    <col min="12299" max="12299" width="3.125" style="37" customWidth="1"/>
    <col min="12300" max="12300" width="2.125" style="37" customWidth="1"/>
    <col min="12301" max="12301" width="3.125" style="37" customWidth="1"/>
    <col min="12302" max="12302" width="2.125" style="37" customWidth="1"/>
    <col min="12303" max="12303" width="3.125" style="37" customWidth="1"/>
    <col min="12304" max="12304" width="2.125" style="37" customWidth="1"/>
    <col min="12305" max="12305" width="3.125" style="37" customWidth="1"/>
    <col min="12306" max="12306" width="2.125" style="37" customWidth="1"/>
    <col min="12307" max="12307" width="3.125" style="37" customWidth="1"/>
    <col min="12308" max="12308" width="2.125" style="37" customWidth="1"/>
    <col min="12309" max="12309" width="39.75" style="37" customWidth="1"/>
    <col min="12310" max="12310" width="22.125" style="37" customWidth="1"/>
    <col min="12311" max="12311" width="3.25" style="37" customWidth="1"/>
    <col min="12312" max="12544" width="9" style="37"/>
    <col min="12545" max="12545" width="2.375" style="37" customWidth="1"/>
    <col min="12546" max="12546" width="3.625" style="37" customWidth="1"/>
    <col min="12547" max="12547" width="6.5" style="37" bestFit="1" customWidth="1"/>
    <col min="12548" max="12548" width="20.625" style="37" customWidth="1"/>
    <col min="12549" max="12549" width="15.625" style="37" customWidth="1"/>
    <col min="12550" max="12550" width="12.125" style="37" customWidth="1"/>
    <col min="12551" max="12551" width="6.125" style="37" customWidth="1"/>
    <col min="12552" max="12552" width="22.625" style="37" customWidth="1"/>
    <col min="12553" max="12553" width="3.125" style="37" customWidth="1"/>
    <col min="12554" max="12554" width="2.125" style="37" customWidth="1"/>
    <col min="12555" max="12555" width="3.125" style="37" customWidth="1"/>
    <col min="12556" max="12556" width="2.125" style="37" customWidth="1"/>
    <col min="12557" max="12557" width="3.125" style="37" customWidth="1"/>
    <col min="12558" max="12558" width="2.125" style="37" customWidth="1"/>
    <col min="12559" max="12559" width="3.125" style="37" customWidth="1"/>
    <col min="12560" max="12560" width="2.125" style="37" customWidth="1"/>
    <col min="12561" max="12561" width="3.125" style="37" customWidth="1"/>
    <col min="12562" max="12562" width="2.125" style="37" customWidth="1"/>
    <col min="12563" max="12563" width="3.125" style="37" customWidth="1"/>
    <col min="12564" max="12564" width="2.125" style="37" customWidth="1"/>
    <col min="12565" max="12565" width="39.75" style="37" customWidth="1"/>
    <col min="12566" max="12566" width="22.125" style="37" customWidth="1"/>
    <col min="12567" max="12567" width="3.25" style="37" customWidth="1"/>
    <col min="12568" max="12800" width="9" style="37"/>
    <col min="12801" max="12801" width="2.375" style="37" customWidth="1"/>
    <col min="12802" max="12802" width="3.625" style="37" customWidth="1"/>
    <col min="12803" max="12803" width="6.5" style="37" bestFit="1" customWidth="1"/>
    <col min="12804" max="12804" width="20.625" style="37" customWidth="1"/>
    <col min="12805" max="12805" width="15.625" style="37" customWidth="1"/>
    <col min="12806" max="12806" width="12.125" style="37" customWidth="1"/>
    <col min="12807" max="12807" width="6.125" style="37" customWidth="1"/>
    <col min="12808" max="12808" width="22.625" style="37" customWidth="1"/>
    <col min="12809" max="12809" width="3.125" style="37" customWidth="1"/>
    <col min="12810" max="12810" width="2.125" style="37" customWidth="1"/>
    <col min="12811" max="12811" width="3.125" style="37" customWidth="1"/>
    <col min="12812" max="12812" width="2.125" style="37" customWidth="1"/>
    <col min="12813" max="12813" width="3.125" style="37" customWidth="1"/>
    <col min="12814" max="12814" width="2.125" style="37" customWidth="1"/>
    <col min="12815" max="12815" width="3.125" style="37" customWidth="1"/>
    <col min="12816" max="12816" width="2.125" style="37" customWidth="1"/>
    <col min="12817" max="12817" width="3.125" style="37" customWidth="1"/>
    <col min="12818" max="12818" width="2.125" style="37" customWidth="1"/>
    <col min="12819" max="12819" width="3.125" style="37" customWidth="1"/>
    <col min="12820" max="12820" width="2.125" style="37" customWidth="1"/>
    <col min="12821" max="12821" width="39.75" style="37" customWidth="1"/>
    <col min="12822" max="12822" width="22.125" style="37" customWidth="1"/>
    <col min="12823" max="12823" width="3.25" style="37" customWidth="1"/>
    <col min="12824" max="13056" width="9" style="37"/>
    <col min="13057" max="13057" width="2.375" style="37" customWidth="1"/>
    <col min="13058" max="13058" width="3.625" style="37" customWidth="1"/>
    <col min="13059" max="13059" width="6.5" style="37" bestFit="1" customWidth="1"/>
    <col min="13060" max="13060" width="20.625" style="37" customWidth="1"/>
    <col min="13061" max="13061" width="15.625" style="37" customWidth="1"/>
    <col min="13062" max="13062" width="12.125" style="37" customWidth="1"/>
    <col min="13063" max="13063" width="6.125" style="37" customWidth="1"/>
    <col min="13064" max="13064" width="22.625" style="37" customWidth="1"/>
    <col min="13065" max="13065" width="3.125" style="37" customWidth="1"/>
    <col min="13066" max="13066" width="2.125" style="37" customWidth="1"/>
    <col min="13067" max="13067" width="3.125" style="37" customWidth="1"/>
    <col min="13068" max="13068" width="2.125" style="37" customWidth="1"/>
    <col min="13069" max="13069" width="3.125" style="37" customWidth="1"/>
    <col min="13070" max="13070" width="2.125" style="37" customWidth="1"/>
    <col min="13071" max="13071" width="3.125" style="37" customWidth="1"/>
    <col min="13072" max="13072" width="2.125" style="37" customWidth="1"/>
    <col min="13073" max="13073" width="3.125" style="37" customWidth="1"/>
    <col min="13074" max="13074" width="2.125" style="37" customWidth="1"/>
    <col min="13075" max="13075" width="3.125" style="37" customWidth="1"/>
    <col min="13076" max="13076" width="2.125" style="37" customWidth="1"/>
    <col min="13077" max="13077" width="39.75" style="37" customWidth="1"/>
    <col min="13078" max="13078" width="22.125" style="37" customWidth="1"/>
    <col min="13079" max="13079" width="3.25" style="37" customWidth="1"/>
    <col min="13080" max="13312" width="9" style="37"/>
    <col min="13313" max="13313" width="2.375" style="37" customWidth="1"/>
    <col min="13314" max="13314" width="3.625" style="37" customWidth="1"/>
    <col min="13315" max="13315" width="6.5" style="37" bestFit="1" customWidth="1"/>
    <col min="13316" max="13316" width="20.625" style="37" customWidth="1"/>
    <col min="13317" max="13317" width="15.625" style="37" customWidth="1"/>
    <col min="13318" max="13318" width="12.125" style="37" customWidth="1"/>
    <col min="13319" max="13319" width="6.125" style="37" customWidth="1"/>
    <col min="13320" max="13320" width="22.625" style="37" customWidth="1"/>
    <col min="13321" max="13321" width="3.125" style="37" customWidth="1"/>
    <col min="13322" max="13322" width="2.125" style="37" customWidth="1"/>
    <col min="13323" max="13323" width="3.125" style="37" customWidth="1"/>
    <col min="13324" max="13324" width="2.125" style="37" customWidth="1"/>
    <col min="13325" max="13325" width="3.125" style="37" customWidth="1"/>
    <col min="13326" max="13326" width="2.125" style="37" customWidth="1"/>
    <col min="13327" max="13327" width="3.125" style="37" customWidth="1"/>
    <col min="13328" max="13328" width="2.125" style="37" customWidth="1"/>
    <col min="13329" max="13329" width="3.125" style="37" customWidth="1"/>
    <col min="13330" max="13330" width="2.125" style="37" customWidth="1"/>
    <col min="13331" max="13331" width="3.125" style="37" customWidth="1"/>
    <col min="13332" max="13332" width="2.125" style="37" customWidth="1"/>
    <col min="13333" max="13333" width="39.75" style="37" customWidth="1"/>
    <col min="13334" max="13334" width="22.125" style="37" customWidth="1"/>
    <col min="13335" max="13335" width="3.25" style="37" customWidth="1"/>
    <col min="13336" max="13568" width="9" style="37"/>
    <col min="13569" max="13569" width="2.375" style="37" customWidth="1"/>
    <col min="13570" max="13570" width="3.625" style="37" customWidth="1"/>
    <col min="13571" max="13571" width="6.5" style="37" bestFit="1" customWidth="1"/>
    <col min="13572" max="13572" width="20.625" style="37" customWidth="1"/>
    <col min="13573" max="13573" width="15.625" style="37" customWidth="1"/>
    <col min="13574" max="13574" width="12.125" style="37" customWidth="1"/>
    <col min="13575" max="13575" width="6.125" style="37" customWidth="1"/>
    <col min="13576" max="13576" width="22.625" style="37" customWidth="1"/>
    <col min="13577" max="13577" width="3.125" style="37" customWidth="1"/>
    <col min="13578" max="13578" width="2.125" style="37" customWidth="1"/>
    <col min="13579" max="13579" width="3.125" style="37" customWidth="1"/>
    <col min="13580" max="13580" width="2.125" style="37" customWidth="1"/>
    <col min="13581" max="13581" width="3.125" style="37" customWidth="1"/>
    <col min="13582" max="13582" width="2.125" style="37" customWidth="1"/>
    <col min="13583" max="13583" width="3.125" style="37" customWidth="1"/>
    <col min="13584" max="13584" width="2.125" style="37" customWidth="1"/>
    <col min="13585" max="13585" width="3.125" style="37" customWidth="1"/>
    <col min="13586" max="13586" width="2.125" style="37" customWidth="1"/>
    <col min="13587" max="13587" width="3.125" style="37" customWidth="1"/>
    <col min="13588" max="13588" width="2.125" style="37" customWidth="1"/>
    <col min="13589" max="13589" width="39.75" style="37" customWidth="1"/>
    <col min="13590" max="13590" width="22.125" style="37" customWidth="1"/>
    <col min="13591" max="13591" width="3.25" style="37" customWidth="1"/>
    <col min="13592" max="13824" width="9" style="37"/>
    <col min="13825" max="13825" width="2.375" style="37" customWidth="1"/>
    <col min="13826" max="13826" width="3.625" style="37" customWidth="1"/>
    <col min="13827" max="13827" width="6.5" style="37" bestFit="1" customWidth="1"/>
    <col min="13828" max="13828" width="20.625" style="37" customWidth="1"/>
    <col min="13829" max="13829" width="15.625" style="37" customWidth="1"/>
    <col min="13830" max="13830" width="12.125" style="37" customWidth="1"/>
    <col min="13831" max="13831" width="6.125" style="37" customWidth="1"/>
    <col min="13832" max="13832" width="22.625" style="37" customWidth="1"/>
    <col min="13833" max="13833" width="3.125" style="37" customWidth="1"/>
    <col min="13834" max="13834" width="2.125" style="37" customWidth="1"/>
    <col min="13835" max="13835" width="3.125" style="37" customWidth="1"/>
    <col min="13836" max="13836" width="2.125" style="37" customWidth="1"/>
    <col min="13837" max="13837" width="3.125" style="37" customWidth="1"/>
    <col min="13838" max="13838" width="2.125" style="37" customWidth="1"/>
    <col min="13839" max="13839" width="3.125" style="37" customWidth="1"/>
    <col min="13840" max="13840" width="2.125" style="37" customWidth="1"/>
    <col min="13841" max="13841" width="3.125" style="37" customWidth="1"/>
    <col min="13842" max="13842" width="2.125" style="37" customWidth="1"/>
    <col min="13843" max="13843" width="3.125" style="37" customWidth="1"/>
    <col min="13844" max="13844" width="2.125" style="37" customWidth="1"/>
    <col min="13845" max="13845" width="39.75" style="37" customWidth="1"/>
    <col min="13846" max="13846" width="22.125" style="37" customWidth="1"/>
    <col min="13847" max="13847" width="3.25" style="37" customWidth="1"/>
    <col min="13848" max="14080" width="9" style="37"/>
    <col min="14081" max="14081" width="2.375" style="37" customWidth="1"/>
    <col min="14082" max="14082" width="3.625" style="37" customWidth="1"/>
    <col min="14083" max="14083" width="6.5" style="37" bestFit="1" customWidth="1"/>
    <col min="14084" max="14084" width="20.625" style="37" customWidth="1"/>
    <col min="14085" max="14085" width="15.625" style="37" customWidth="1"/>
    <col min="14086" max="14086" width="12.125" style="37" customWidth="1"/>
    <col min="14087" max="14087" width="6.125" style="37" customWidth="1"/>
    <col min="14088" max="14088" width="22.625" style="37" customWidth="1"/>
    <col min="14089" max="14089" width="3.125" style="37" customWidth="1"/>
    <col min="14090" max="14090" width="2.125" style="37" customWidth="1"/>
    <col min="14091" max="14091" width="3.125" style="37" customWidth="1"/>
    <col min="14092" max="14092" width="2.125" style="37" customWidth="1"/>
    <col min="14093" max="14093" width="3.125" style="37" customWidth="1"/>
    <col min="14094" max="14094" width="2.125" style="37" customWidth="1"/>
    <col min="14095" max="14095" width="3.125" style="37" customWidth="1"/>
    <col min="14096" max="14096" width="2.125" style="37" customWidth="1"/>
    <col min="14097" max="14097" width="3.125" style="37" customWidth="1"/>
    <col min="14098" max="14098" width="2.125" style="37" customWidth="1"/>
    <col min="14099" max="14099" width="3.125" style="37" customWidth="1"/>
    <col min="14100" max="14100" width="2.125" style="37" customWidth="1"/>
    <col min="14101" max="14101" width="39.75" style="37" customWidth="1"/>
    <col min="14102" max="14102" width="22.125" style="37" customWidth="1"/>
    <col min="14103" max="14103" width="3.25" style="37" customWidth="1"/>
    <col min="14104" max="14336" width="9" style="37"/>
    <col min="14337" max="14337" width="2.375" style="37" customWidth="1"/>
    <col min="14338" max="14338" width="3.625" style="37" customWidth="1"/>
    <col min="14339" max="14339" width="6.5" style="37" bestFit="1" customWidth="1"/>
    <col min="14340" max="14340" width="20.625" style="37" customWidth="1"/>
    <col min="14341" max="14341" width="15.625" style="37" customWidth="1"/>
    <col min="14342" max="14342" width="12.125" style="37" customWidth="1"/>
    <col min="14343" max="14343" width="6.125" style="37" customWidth="1"/>
    <col min="14344" max="14344" width="22.625" style="37" customWidth="1"/>
    <col min="14345" max="14345" width="3.125" style="37" customWidth="1"/>
    <col min="14346" max="14346" width="2.125" style="37" customWidth="1"/>
    <col min="14347" max="14347" width="3.125" style="37" customWidth="1"/>
    <col min="14348" max="14348" width="2.125" style="37" customWidth="1"/>
    <col min="14349" max="14349" width="3.125" style="37" customWidth="1"/>
    <col min="14350" max="14350" width="2.125" style="37" customWidth="1"/>
    <col min="14351" max="14351" width="3.125" style="37" customWidth="1"/>
    <col min="14352" max="14352" width="2.125" style="37" customWidth="1"/>
    <col min="14353" max="14353" width="3.125" style="37" customWidth="1"/>
    <col min="14354" max="14354" width="2.125" style="37" customWidth="1"/>
    <col min="14355" max="14355" width="3.125" style="37" customWidth="1"/>
    <col min="14356" max="14356" width="2.125" style="37" customWidth="1"/>
    <col min="14357" max="14357" width="39.75" style="37" customWidth="1"/>
    <col min="14358" max="14358" width="22.125" style="37" customWidth="1"/>
    <col min="14359" max="14359" width="3.25" style="37" customWidth="1"/>
    <col min="14360" max="14592" width="9" style="37"/>
    <col min="14593" max="14593" width="2.375" style="37" customWidth="1"/>
    <col min="14594" max="14594" width="3.625" style="37" customWidth="1"/>
    <col min="14595" max="14595" width="6.5" style="37" bestFit="1" customWidth="1"/>
    <col min="14596" max="14596" width="20.625" style="37" customWidth="1"/>
    <col min="14597" max="14597" width="15.625" style="37" customWidth="1"/>
    <col min="14598" max="14598" width="12.125" style="37" customWidth="1"/>
    <col min="14599" max="14599" width="6.125" style="37" customWidth="1"/>
    <col min="14600" max="14600" width="22.625" style="37" customWidth="1"/>
    <col min="14601" max="14601" width="3.125" style="37" customWidth="1"/>
    <col min="14602" max="14602" width="2.125" style="37" customWidth="1"/>
    <col min="14603" max="14603" width="3.125" style="37" customWidth="1"/>
    <col min="14604" max="14604" width="2.125" style="37" customWidth="1"/>
    <col min="14605" max="14605" width="3.125" style="37" customWidth="1"/>
    <col min="14606" max="14606" width="2.125" style="37" customWidth="1"/>
    <col min="14607" max="14607" width="3.125" style="37" customWidth="1"/>
    <col min="14608" max="14608" width="2.125" style="37" customWidth="1"/>
    <col min="14609" max="14609" width="3.125" style="37" customWidth="1"/>
    <col min="14610" max="14610" width="2.125" style="37" customWidth="1"/>
    <col min="14611" max="14611" width="3.125" style="37" customWidth="1"/>
    <col min="14612" max="14612" width="2.125" style="37" customWidth="1"/>
    <col min="14613" max="14613" width="39.75" style="37" customWidth="1"/>
    <col min="14614" max="14614" width="22.125" style="37" customWidth="1"/>
    <col min="14615" max="14615" width="3.25" style="37" customWidth="1"/>
    <col min="14616" max="14848" width="9" style="37"/>
    <col min="14849" max="14849" width="2.375" style="37" customWidth="1"/>
    <col min="14850" max="14850" width="3.625" style="37" customWidth="1"/>
    <col min="14851" max="14851" width="6.5" style="37" bestFit="1" customWidth="1"/>
    <col min="14852" max="14852" width="20.625" style="37" customWidth="1"/>
    <col min="14853" max="14853" width="15.625" style="37" customWidth="1"/>
    <col min="14854" max="14854" width="12.125" style="37" customWidth="1"/>
    <col min="14855" max="14855" width="6.125" style="37" customWidth="1"/>
    <col min="14856" max="14856" width="22.625" style="37" customWidth="1"/>
    <col min="14857" max="14857" width="3.125" style="37" customWidth="1"/>
    <col min="14858" max="14858" width="2.125" style="37" customWidth="1"/>
    <col min="14859" max="14859" width="3.125" style="37" customWidth="1"/>
    <col min="14860" max="14860" width="2.125" style="37" customWidth="1"/>
    <col min="14861" max="14861" width="3.125" style="37" customWidth="1"/>
    <col min="14862" max="14862" width="2.125" style="37" customWidth="1"/>
    <col min="14863" max="14863" width="3.125" style="37" customWidth="1"/>
    <col min="14864" max="14864" width="2.125" style="37" customWidth="1"/>
    <col min="14865" max="14865" width="3.125" style="37" customWidth="1"/>
    <col min="14866" max="14866" width="2.125" style="37" customWidth="1"/>
    <col min="14867" max="14867" width="3.125" style="37" customWidth="1"/>
    <col min="14868" max="14868" width="2.125" style="37" customWidth="1"/>
    <col min="14869" max="14869" width="39.75" style="37" customWidth="1"/>
    <col min="14870" max="14870" width="22.125" style="37" customWidth="1"/>
    <col min="14871" max="14871" width="3.25" style="37" customWidth="1"/>
    <col min="14872" max="15104" width="9" style="37"/>
    <col min="15105" max="15105" width="2.375" style="37" customWidth="1"/>
    <col min="15106" max="15106" width="3.625" style="37" customWidth="1"/>
    <col min="15107" max="15107" width="6.5" style="37" bestFit="1" customWidth="1"/>
    <col min="15108" max="15108" width="20.625" style="37" customWidth="1"/>
    <col min="15109" max="15109" width="15.625" style="37" customWidth="1"/>
    <col min="15110" max="15110" width="12.125" style="37" customWidth="1"/>
    <col min="15111" max="15111" width="6.125" style="37" customWidth="1"/>
    <col min="15112" max="15112" width="22.625" style="37" customWidth="1"/>
    <col min="15113" max="15113" width="3.125" style="37" customWidth="1"/>
    <col min="15114" max="15114" width="2.125" style="37" customWidth="1"/>
    <col min="15115" max="15115" width="3.125" style="37" customWidth="1"/>
    <col min="15116" max="15116" width="2.125" style="37" customWidth="1"/>
    <col min="15117" max="15117" width="3.125" style="37" customWidth="1"/>
    <col min="15118" max="15118" width="2.125" style="37" customWidth="1"/>
    <col min="15119" max="15119" width="3.125" style="37" customWidth="1"/>
    <col min="15120" max="15120" width="2.125" style="37" customWidth="1"/>
    <col min="15121" max="15121" width="3.125" style="37" customWidth="1"/>
    <col min="15122" max="15122" width="2.125" style="37" customWidth="1"/>
    <col min="15123" max="15123" width="3.125" style="37" customWidth="1"/>
    <col min="15124" max="15124" width="2.125" style="37" customWidth="1"/>
    <col min="15125" max="15125" width="39.75" style="37" customWidth="1"/>
    <col min="15126" max="15126" width="22.125" style="37" customWidth="1"/>
    <col min="15127" max="15127" width="3.25" style="37" customWidth="1"/>
    <col min="15128" max="15360" width="9" style="37"/>
    <col min="15361" max="15361" width="2.375" style="37" customWidth="1"/>
    <col min="15362" max="15362" width="3.625" style="37" customWidth="1"/>
    <col min="15363" max="15363" width="6.5" style="37" bestFit="1" customWidth="1"/>
    <col min="15364" max="15364" width="20.625" style="37" customWidth="1"/>
    <col min="15365" max="15365" width="15.625" style="37" customWidth="1"/>
    <col min="15366" max="15366" width="12.125" style="37" customWidth="1"/>
    <col min="15367" max="15367" width="6.125" style="37" customWidth="1"/>
    <col min="15368" max="15368" width="22.625" style="37" customWidth="1"/>
    <col min="15369" max="15369" width="3.125" style="37" customWidth="1"/>
    <col min="15370" max="15370" width="2.125" style="37" customWidth="1"/>
    <col min="15371" max="15371" width="3.125" style="37" customWidth="1"/>
    <col min="15372" max="15372" width="2.125" style="37" customWidth="1"/>
    <col min="15373" max="15373" width="3.125" style="37" customWidth="1"/>
    <col min="15374" max="15374" width="2.125" style="37" customWidth="1"/>
    <col min="15375" max="15375" width="3.125" style="37" customWidth="1"/>
    <col min="15376" max="15376" width="2.125" style="37" customWidth="1"/>
    <col min="15377" max="15377" width="3.125" style="37" customWidth="1"/>
    <col min="15378" max="15378" width="2.125" style="37" customWidth="1"/>
    <col min="15379" max="15379" width="3.125" style="37" customWidth="1"/>
    <col min="15380" max="15380" width="2.125" style="37" customWidth="1"/>
    <col min="15381" max="15381" width="39.75" style="37" customWidth="1"/>
    <col min="15382" max="15382" width="22.125" style="37" customWidth="1"/>
    <col min="15383" max="15383" width="3.25" style="37" customWidth="1"/>
    <col min="15384" max="15616" width="9" style="37"/>
    <col min="15617" max="15617" width="2.375" style="37" customWidth="1"/>
    <col min="15618" max="15618" width="3.625" style="37" customWidth="1"/>
    <col min="15619" max="15619" width="6.5" style="37" bestFit="1" customWidth="1"/>
    <col min="15620" max="15620" width="20.625" style="37" customWidth="1"/>
    <col min="15621" max="15621" width="15.625" style="37" customWidth="1"/>
    <col min="15622" max="15622" width="12.125" style="37" customWidth="1"/>
    <col min="15623" max="15623" width="6.125" style="37" customWidth="1"/>
    <col min="15624" max="15624" width="22.625" style="37" customWidth="1"/>
    <col min="15625" max="15625" width="3.125" style="37" customWidth="1"/>
    <col min="15626" max="15626" width="2.125" style="37" customWidth="1"/>
    <col min="15627" max="15627" width="3.125" style="37" customWidth="1"/>
    <col min="15628" max="15628" width="2.125" style="37" customWidth="1"/>
    <col min="15629" max="15629" width="3.125" style="37" customWidth="1"/>
    <col min="15630" max="15630" width="2.125" style="37" customWidth="1"/>
    <col min="15631" max="15631" width="3.125" style="37" customWidth="1"/>
    <col min="15632" max="15632" width="2.125" style="37" customWidth="1"/>
    <col min="15633" max="15633" width="3.125" style="37" customWidth="1"/>
    <col min="15634" max="15634" width="2.125" style="37" customWidth="1"/>
    <col min="15635" max="15635" width="3.125" style="37" customWidth="1"/>
    <col min="15636" max="15636" width="2.125" style="37" customWidth="1"/>
    <col min="15637" max="15637" width="39.75" style="37" customWidth="1"/>
    <col min="15638" max="15638" width="22.125" style="37" customWidth="1"/>
    <col min="15639" max="15639" width="3.25" style="37" customWidth="1"/>
    <col min="15640" max="15872" width="9" style="37"/>
    <col min="15873" max="15873" width="2.375" style="37" customWidth="1"/>
    <col min="15874" max="15874" width="3.625" style="37" customWidth="1"/>
    <col min="15875" max="15875" width="6.5" style="37" bestFit="1" customWidth="1"/>
    <col min="15876" max="15876" width="20.625" style="37" customWidth="1"/>
    <col min="15877" max="15877" width="15.625" style="37" customWidth="1"/>
    <col min="15878" max="15878" width="12.125" style="37" customWidth="1"/>
    <col min="15879" max="15879" width="6.125" style="37" customWidth="1"/>
    <col min="15880" max="15880" width="22.625" style="37" customWidth="1"/>
    <col min="15881" max="15881" width="3.125" style="37" customWidth="1"/>
    <col min="15882" max="15882" width="2.125" style="37" customWidth="1"/>
    <col min="15883" max="15883" width="3.125" style="37" customWidth="1"/>
    <col min="15884" max="15884" width="2.125" style="37" customWidth="1"/>
    <col min="15885" max="15885" width="3.125" style="37" customWidth="1"/>
    <col min="15886" max="15886" width="2.125" style="37" customWidth="1"/>
    <col min="15887" max="15887" width="3.125" style="37" customWidth="1"/>
    <col min="15888" max="15888" width="2.125" style="37" customWidth="1"/>
    <col min="15889" max="15889" width="3.125" style="37" customWidth="1"/>
    <col min="15890" max="15890" width="2.125" style="37" customWidth="1"/>
    <col min="15891" max="15891" width="3.125" style="37" customWidth="1"/>
    <col min="15892" max="15892" width="2.125" style="37" customWidth="1"/>
    <col min="15893" max="15893" width="39.75" style="37" customWidth="1"/>
    <col min="15894" max="15894" width="22.125" style="37" customWidth="1"/>
    <col min="15895" max="15895" width="3.25" style="37" customWidth="1"/>
    <col min="15896" max="16128" width="9" style="37"/>
    <col min="16129" max="16129" width="2.375" style="37" customWidth="1"/>
    <col min="16130" max="16130" width="3.625" style="37" customWidth="1"/>
    <col min="16131" max="16131" width="6.5" style="37" bestFit="1" customWidth="1"/>
    <col min="16132" max="16132" width="20.625" style="37" customWidth="1"/>
    <col min="16133" max="16133" width="15.625" style="37" customWidth="1"/>
    <col min="16134" max="16134" width="12.125" style="37" customWidth="1"/>
    <col min="16135" max="16135" width="6.125" style="37" customWidth="1"/>
    <col min="16136" max="16136" width="22.625" style="37" customWidth="1"/>
    <col min="16137" max="16137" width="3.125" style="37" customWidth="1"/>
    <col min="16138" max="16138" width="2.125" style="37" customWidth="1"/>
    <col min="16139" max="16139" width="3.125" style="37" customWidth="1"/>
    <col min="16140" max="16140" width="2.125" style="37" customWidth="1"/>
    <col min="16141" max="16141" width="3.125" style="37" customWidth="1"/>
    <col min="16142" max="16142" width="2.125" style="37" customWidth="1"/>
    <col min="16143" max="16143" width="3.125" style="37" customWidth="1"/>
    <col min="16144" max="16144" width="2.125" style="37" customWidth="1"/>
    <col min="16145" max="16145" width="3.125" style="37" customWidth="1"/>
    <col min="16146" max="16146" width="2.125" style="37" customWidth="1"/>
    <col min="16147" max="16147" width="3.125" style="37" customWidth="1"/>
    <col min="16148" max="16148" width="2.125" style="37" customWidth="1"/>
    <col min="16149" max="16149" width="39.75" style="37" customWidth="1"/>
    <col min="16150" max="16150" width="22.125" style="37" customWidth="1"/>
    <col min="16151" max="16151" width="3.25" style="37" customWidth="1"/>
    <col min="16152" max="16384" width="9" style="37"/>
  </cols>
  <sheetData>
    <row r="1" spans="1:23" ht="69" customHeight="1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/>
    </row>
    <row r="2" spans="1:23" ht="57.75" customHeight="1">
      <c r="A2" s="38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40" t="s">
        <v>400</v>
      </c>
      <c r="V2" s="40" t="s">
        <v>401</v>
      </c>
      <c r="W2" s="41"/>
    </row>
    <row r="3" spans="1:23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41"/>
    </row>
    <row r="4" spans="1:23" ht="12" customHeight="1">
      <c r="A4" s="38"/>
      <c r="B4" s="42" t="s">
        <v>413</v>
      </c>
      <c r="C4" s="43"/>
      <c r="D4" s="43" t="s">
        <v>402</v>
      </c>
      <c r="E4" s="43" t="s">
        <v>403</v>
      </c>
      <c r="F4" s="43" t="s">
        <v>404</v>
      </c>
      <c r="G4" s="43" t="s">
        <v>405</v>
      </c>
      <c r="H4" s="43" t="s">
        <v>406</v>
      </c>
      <c r="I4" s="44" t="s">
        <v>407</v>
      </c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 t="s">
        <v>408</v>
      </c>
      <c r="V4" s="45" t="s">
        <v>409</v>
      </c>
      <c r="W4" s="41"/>
    </row>
    <row r="5" spans="1:23" ht="12" customHeight="1">
      <c r="A5" s="38"/>
      <c r="B5" s="46"/>
      <c r="C5" s="47"/>
      <c r="D5" s="47"/>
      <c r="E5" s="47"/>
      <c r="F5" s="47"/>
      <c r="G5" s="47"/>
      <c r="H5" s="47"/>
      <c r="I5" s="48" t="s">
        <v>410</v>
      </c>
      <c r="J5" s="48"/>
      <c r="K5" s="48">
        <v>1</v>
      </c>
      <c r="L5" s="48"/>
      <c r="M5" s="48">
        <v>2</v>
      </c>
      <c r="N5" s="48"/>
      <c r="O5" s="48">
        <v>3</v>
      </c>
      <c r="P5" s="48"/>
      <c r="Q5" s="48">
        <v>4</v>
      </c>
      <c r="R5" s="48"/>
      <c r="S5" s="48">
        <v>5</v>
      </c>
      <c r="T5" s="48"/>
      <c r="U5" s="47"/>
      <c r="V5" s="49"/>
      <c r="W5" s="41"/>
    </row>
    <row r="6" spans="1:23" ht="12" customHeight="1" thickBot="1">
      <c r="A6" s="38"/>
      <c r="B6" s="50" t="s">
        <v>411</v>
      </c>
      <c r="C6" s="51" t="s">
        <v>412</v>
      </c>
      <c r="D6" s="51"/>
      <c r="E6" s="51"/>
      <c r="F6" s="51"/>
      <c r="G6" s="51"/>
      <c r="H6" s="51"/>
      <c r="I6" s="52"/>
      <c r="J6" s="53"/>
      <c r="K6" s="54"/>
      <c r="L6" s="55"/>
      <c r="M6" s="54"/>
      <c r="N6" s="55"/>
      <c r="O6" s="54"/>
      <c r="P6" s="55"/>
      <c r="Q6" s="54"/>
      <c r="R6" s="55"/>
      <c r="S6" s="54"/>
      <c r="T6" s="55"/>
      <c r="U6" s="51"/>
      <c r="V6" s="56"/>
      <c r="W6" s="41"/>
    </row>
    <row r="7" spans="1:23" ht="28.5" customHeight="1" thickTop="1">
      <c r="A7" s="38"/>
      <c r="B7" s="57">
        <v>1</v>
      </c>
      <c r="C7" s="58">
        <v>2908</v>
      </c>
      <c r="D7" s="59" t="s">
        <v>1834</v>
      </c>
      <c r="E7" s="59" t="s">
        <v>1835</v>
      </c>
      <c r="F7" s="60" t="s">
        <v>1836</v>
      </c>
      <c r="G7" s="60">
        <v>4</v>
      </c>
      <c r="H7" s="59"/>
      <c r="I7" s="361">
        <v>1</v>
      </c>
      <c r="J7" s="362"/>
      <c r="K7" s="361"/>
      <c r="L7" s="362"/>
      <c r="M7" s="363"/>
      <c r="N7" s="364"/>
      <c r="O7" s="365"/>
      <c r="P7" s="366"/>
      <c r="Q7" s="361"/>
      <c r="R7" s="362"/>
      <c r="S7" s="361"/>
      <c r="T7" s="362"/>
      <c r="U7" s="61" t="s">
        <v>1865</v>
      </c>
      <c r="V7" s="62"/>
      <c r="W7" s="41"/>
    </row>
    <row r="8" spans="1:23" ht="28.5" customHeight="1">
      <c r="A8" s="38"/>
      <c r="B8" s="63">
        <v>2</v>
      </c>
      <c r="C8" s="58">
        <v>2909</v>
      </c>
      <c r="D8" s="59" t="s">
        <v>1837</v>
      </c>
      <c r="E8" s="59" t="s">
        <v>1838</v>
      </c>
      <c r="F8" s="60" t="s">
        <v>1836</v>
      </c>
      <c r="G8" s="60">
        <v>1</v>
      </c>
      <c r="H8" s="60"/>
      <c r="I8" s="351"/>
      <c r="J8" s="352"/>
      <c r="K8" s="351"/>
      <c r="L8" s="352"/>
      <c r="M8" s="353"/>
      <c r="N8" s="354"/>
      <c r="O8" s="355"/>
      <c r="P8" s="356"/>
      <c r="Q8" s="351"/>
      <c r="R8" s="352"/>
      <c r="S8" s="351"/>
      <c r="T8" s="352"/>
      <c r="U8" s="64" t="s">
        <v>1866</v>
      </c>
      <c r="V8" s="62"/>
      <c r="W8" s="41"/>
    </row>
    <row r="9" spans="1:23" ht="28.5" customHeight="1">
      <c r="A9" s="38"/>
      <c r="B9" s="57">
        <v>3</v>
      </c>
      <c r="C9" s="58">
        <v>2910</v>
      </c>
      <c r="D9" s="59" t="s">
        <v>1839</v>
      </c>
      <c r="E9" s="59" t="s">
        <v>1840</v>
      </c>
      <c r="F9" s="60" t="s">
        <v>1836</v>
      </c>
      <c r="G9" s="60">
        <v>1</v>
      </c>
      <c r="H9" s="60"/>
      <c r="I9" s="351"/>
      <c r="J9" s="352"/>
      <c r="K9" s="351"/>
      <c r="L9" s="352"/>
      <c r="M9" s="353"/>
      <c r="N9" s="354"/>
      <c r="O9" s="355"/>
      <c r="P9" s="356"/>
      <c r="Q9" s="351"/>
      <c r="R9" s="352"/>
      <c r="S9" s="351"/>
      <c r="T9" s="352"/>
      <c r="U9" s="64" t="s">
        <v>1867</v>
      </c>
      <c r="V9" s="62"/>
      <c r="W9" s="41"/>
    </row>
    <row r="10" spans="1:23" ht="22.5">
      <c r="A10" s="38"/>
      <c r="B10" s="57">
        <v>4</v>
      </c>
      <c r="C10" s="58">
        <v>2911</v>
      </c>
      <c r="D10" s="59" t="s">
        <v>1841</v>
      </c>
      <c r="E10" s="59" t="s">
        <v>1842</v>
      </c>
      <c r="F10" s="60" t="s">
        <v>1836</v>
      </c>
      <c r="G10" s="60">
        <v>1</v>
      </c>
      <c r="H10" s="60"/>
      <c r="I10" s="351"/>
      <c r="J10" s="352"/>
      <c r="K10" s="351"/>
      <c r="L10" s="352"/>
      <c r="M10" s="353"/>
      <c r="N10" s="354"/>
      <c r="O10" s="355"/>
      <c r="P10" s="356"/>
      <c r="Q10" s="351"/>
      <c r="R10" s="352"/>
      <c r="S10" s="351"/>
      <c r="T10" s="352"/>
      <c r="U10" s="64" t="s">
        <v>1868</v>
      </c>
      <c r="V10" s="62"/>
      <c r="W10" s="41"/>
    </row>
    <row r="11" spans="1:23" ht="28.5" customHeight="1">
      <c r="A11" s="38"/>
      <c r="B11" s="63">
        <v>5</v>
      </c>
      <c r="C11" s="58">
        <v>2912</v>
      </c>
      <c r="D11" s="59" t="s">
        <v>1843</v>
      </c>
      <c r="E11" s="59" t="s">
        <v>1844</v>
      </c>
      <c r="F11" s="60" t="s">
        <v>1836</v>
      </c>
      <c r="G11" s="60">
        <v>2</v>
      </c>
      <c r="H11" s="60"/>
      <c r="I11" s="351"/>
      <c r="J11" s="352"/>
      <c r="K11" s="351"/>
      <c r="L11" s="352"/>
      <c r="M11" s="353"/>
      <c r="N11" s="354"/>
      <c r="O11" s="355"/>
      <c r="P11" s="356"/>
      <c r="Q11" s="351"/>
      <c r="R11" s="352"/>
      <c r="S11" s="351"/>
      <c r="T11" s="352"/>
      <c r="U11" s="64" t="s">
        <v>1869</v>
      </c>
      <c r="V11" s="62"/>
      <c r="W11" s="41"/>
    </row>
    <row r="12" spans="1:23" ht="28.5" customHeight="1">
      <c r="A12" s="38"/>
      <c r="B12" s="63">
        <v>6</v>
      </c>
      <c r="C12" s="58">
        <v>2913</v>
      </c>
      <c r="D12" s="59" t="s">
        <v>1845</v>
      </c>
      <c r="E12" s="59" t="s">
        <v>1846</v>
      </c>
      <c r="F12" s="60" t="s">
        <v>1836</v>
      </c>
      <c r="G12" s="60">
        <v>3</v>
      </c>
      <c r="H12" s="60"/>
      <c r="I12" s="351"/>
      <c r="J12" s="352"/>
      <c r="K12" s="351"/>
      <c r="L12" s="352"/>
      <c r="M12" s="353"/>
      <c r="N12" s="354"/>
      <c r="O12" s="355"/>
      <c r="P12" s="356"/>
      <c r="Q12" s="351"/>
      <c r="R12" s="352"/>
      <c r="S12" s="351"/>
      <c r="T12" s="352"/>
      <c r="U12" s="64" t="s">
        <v>1870</v>
      </c>
      <c r="V12" s="62"/>
      <c r="W12" s="41"/>
    </row>
    <row r="13" spans="1:23" ht="28.5" customHeight="1">
      <c r="A13" s="38"/>
      <c r="B13" s="57">
        <v>7</v>
      </c>
      <c r="C13" s="58">
        <v>2914</v>
      </c>
      <c r="D13" s="59" t="s">
        <v>1847</v>
      </c>
      <c r="E13" s="59" t="s">
        <v>1848</v>
      </c>
      <c r="F13" s="60" t="s">
        <v>1836</v>
      </c>
      <c r="G13" s="60">
        <v>2</v>
      </c>
      <c r="H13" s="60"/>
      <c r="I13" s="351"/>
      <c r="J13" s="352"/>
      <c r="K13" s="351"/>
      <c r="L13" s="352"/>
      <c r="M13" s="353"/>
      <c r="N13" s="354"/>
      <c r="O13" s="355"/>
      <c r="P13" s="356"/>
      <c r="Q13" s="351"/>
      <c r="R13" s="352"/>
      <c r="S13" s="351"/>
      <c r="T13" s="352"/>
      <c r="U13" s="64" t="s">
        <v>1871</v>
      </c>
      <c r="V13" s="62"/>
      <c r="W13" s="41"/>
    </row>
    <row r="14" spans="1:23" ht="28.5" customHeight="1">
      <c r="A14" s="38"/>
      <c r="B14" s="63">
        <v>8</v>
      </c>
      <c r="C14" s="58">
        <v>1244</v>
      </c>
      <c r="D14" s="59" t="s">
        <v>1849</v>
      </c>
      <c r="E14" s="59" t="s">
        <v>1849</v>
      </c>
      <c r="F14" s="60" t="s">
        <v>1836</v>
      </c>
      <c r="G14" s="60">
        <v>0</v>
      </c>
      <c r="H14" s="60"/>
      <c r="I14" s="351"/>
      <c r="J14" s="352"/>
      <c r="K14" s="351"/>
      <c r="L14" s="352"/>
      <c r="M14" s="353"/>
      <c r="N14" s="354"/>
      <c r="O14" s="355"/>
      <c r="P14" s="356"/>
      <c r="Q14" s="351"/>
      <c r="R14" s="352"/>
      <c r="S14" s="351"/>
      <c r="T14" s="352"/>
      <c r="U14" s="64" t="s">
        <v>1872</v>
      </c>
      <c r="V14" s="62"/>
      <c r="W14" s="41"/>
    </row>
    <row r="15" spans="1:23" ht="28.5" customHeight="1">
      <c r="A15" s="38"/>
      <c r="B15" s="63">
        <v>9</v>
      </c>
      <c r="C15" s="58">
        <v>1</v>
      </c>
      <c r="D15" s="59" t="s">
        <v>131</v>
      </c>
      <c r="E15" s="59" t="s">
        <v>1850</v>
      </c>
      <c r="F15" s="60" t="s">
        <v>151</v>
      </c>
      <c r="G15" s="60" t="s">
        <v>1851</v>
      </c>
      <c r="H15" s="60"/>
      <c r="I15" s="351"/>
      <c r="J15" s="352"/>
      <c r="K15" s="351"/>
      <c r="L15" s="352"/>
      <c r="M15" s="353"/>
      <c r="N15" s="354"/>
      <c r="O15" s="355"/>
      <c r="P15" s="356"/>
      <c r="Q15" s="351"/>
      <c r="R15" s="352"/>
      <c r="S15" s="351"/>
      <c r="T15" s="352"/>
      <c r="U15" s="64" t="s">
        <v>1873</v>
      </c>
      <c r="V15" s="62"/>
      <c r="W15" s="41"/>
    </row>
    <row r="16" spans="1:23" ht="28.5" customHeight="1">
      <c r="A16" s="38"/>
      <c r="B16" s="57">
        <v>10</v>
      </c>
      <c r="C16" s="58">
        <v>2</v>
      </c>
      <c r="D16" s="59" t="s">
        <v>1852</v>
      </c>
      <c r="E16" s="59" t="s">
        <v>1853</v>
      </c>
      <c r="F16" s="60" t="s">
        <v>1854</v>
      </c>
      <c r="G16" s="60">
        <v>5</v>
      </c>
      <c r="H16" s="60"/>
      <c r="I16" s="351"/>
      <c r="J16" s="352"/>
      <c r="K16" s="351"/>
      <c r="L16" s="352"/>
      <c r="M16" s="353"/>
      <c r="N16" s="354"/>
      <c r="O16" s="355"/>
      <c r="P16" s="356"/>
      <c r="Q16" s="351"/>
      <c r="R16" s="352"/>
      <c r="S16" s="351"/>
      <c r="T16" s="352"/>
      <c r="U16" s="64" t="s">
        <v>1874</v>
      </c>
      <c r="V16" s="62"/>
      <c r="W16" s="41"/>
    </row>
    <row r="17" spans="1:23" ht="28.5" customHeight="1">
      <c r="A17" s="38"/>
      <c r="B17" s="63">
        <v>11</v>
      </c>
      <c r="C17" s="65">
        <v>3</v>
      </c>
      <c r="D17" s="59" t="s">
        <v>1855</v>
      </c>
      <c r="E17" s="59" t="s">
        <v>1856</v>
      </c>
      <c r="F17" s="60" t="s">
        <v>1854</v>
      </c>
      <c r="G17" s="60">
        <v>15</v>
      </c>
      <c r="H17" s="60"/>
      <c r="I17" s="351"/>
      <c r="J17" s="352"/>
      <c r="K17" s="351"/>
      <c r="L17" s="352"/>
      <c r="M17" s="353"/>
      <c r="N17" s="354"/>
      <c r="O17" s="355"/>
      <c r="P17" s="356"/>
      <c r="Q17" s="351"/>
      <c r="R17" s="352"/>
      <c r="S17" s="351"/>
      <c r="T17" s="352"/>
      <c r="U17" s="64" t="s">
        <v>1875</v>
      </c>
      <c r="V17" s="62"/>
      <c r="W17" s="41"/>
    </row>
    <row r="18" spans="1:23" ht="28.5" customHeight="1">
      <c r="A18" s="38"/>
      <c r="B18" s="63">
        <v>12</v>
      </c>
      <c r="C18" s="65">
        <v>4</v>
      </c>
      <c r="D18" s="59" t="s">
        <v>133</v>
      </c>
      <c r="E18" s="59" t="s">
        <v>1857</v>
      </c>
      <c r="F18" s="60" t="s">
        <v>151</v>
      </c>
      <c r="G18" s="60" t="s">
        <v>1851</v>
      </c>
      <c r="H18" s="60"/>
      <c r="I18" s="351"/>
      <c r="J18" s="352"/>
      <c r="K18" s="351"/>
      <c r="L18" s="352"/>
      <c r="M18" s="353"/>
      <c r="N18" s="354"/>
      <c r="O18" s="355"/>
      <c r="P18" s="356"/>
      <c r="Q18" s="351"/>
      <c r="R18" s="352"/>
      <c r="S18" s="351"/>
      <c r="T18" s="352"/>
      <c r="U18" s="64" t="s">
        <v>1876</v>
      </c>
      <c r="V18" s="62"/>
      <c r="W18" s="41"/>
    </row>
    <row r="19" spans="1:23" ht="28.5" customHeight="1">
      <c r="A19" s="38"/>
      <c r="B19" s="57">
        <v>13</v>
      </c>
      <c r="C19" s="65">
        <v>5</v>
      </c>
      <c r="D19" s="59" t="s">
        <v>1858</v>
      </c>
      <c r="E19" s="59" t="s">
        <v>1859</v>
      </c>
      <c r="F19" s="60" t="s">
        <v>1854</v>
      </c>
      <c r="G19" s="60">
        <v>5</v>
      </c>
      <c r="H19" s="60"/>
      <c r="I19" s="351"/>
      <c r="J19" s="352"/>
      <c r="K19" s="351"/>
      <c r="L19" s="352"/>
      <c r="M19" s="353"/>
      <c r="N19" s="354"/>
      <c r="O19" s="355"/>
      <c r="P19" s="356"/>
      <c r="Q19" s="351"/>
      <c r="R19" s="352"/>
      <c r="S19" s="351"/>
      <c r="T19" s="352"/>
      <c r="U19" s="64" t="s">
        <v>1877</v>
      </c>
      <c r="V19" s="62"/>
      <c r="W19" s="41"/>
    </row>
    <row r="20" spans="1:23" ht="28.5" customHeight="1">
      <c r="A20" s="38"/>
      <c r="B20" s="63">
        <v>14</v>
      </c>
      <c r="C20" s="65">
        <v>6</v>
      </c>
      <c r="D20" s="59" t="s">
        <v>1860</v>
      </c>
      <c r="E20" s="59" t="s">
        <v>1861</v>
      </c>
      <c r="F20" s="60" t="s">
        <v>1854</v>
      </c>
      <c r="G20" s="60">
        <v>15</v>
      </c>
      <c r="H20" s="60"/>
      <c r="I20" s="351"/>
      <c r="J20" s="352"/>
      <c r="K20" s="351"/>
      <c r="L20" s="352"/>
      <c r="M20" s="353"/>
      <c r="N20" s="354"/>
      <c r="O20" s="355"/>
      <c r="P20" s="356"/>
      <c r="Q20" s="351"/>
      <c r="R20" s="352"/>
      <c r="S20" s="351"/>
      <c r="T20" s="352"/>
      <c r="U20" s="64" t="s">
        <v>1878</v>
      </c>
      <c r="V20" s="62"/>
      <c r="W20" s="41"/>
    </row>
    <row r="21" spans="1:23" ht="28.5" customHeight="1">
      <c r="A21" s="38"/>
      <c r="B21" s="63">
        <v>15</v>
      </c>
      <c r="C21" s="65">
        <v>7</v>
      </c>
      <c r="D21" s="59" t="s">
        <v>1862</v>
      </c>
      <c r="E21" s="59" t="s">
        <v>1863</v>
      </c>
      <c r="F21" s="60" t="s">
        <v>151</v>
      </c>
      <c r="G21" s="60" t="s">
        <v>1851</v>
      </c>
      <c r="H21" s="60"/>
      <c r="I21" s="351"/>
      <c r="J21" s="352"/>
      <c r="K21" s="351"/>
      <c r="L21" s="352"/>
      <c r="M21" s="353"/>
      <c r="N21" s="354"/>
      <c r="O21" s="355"/>
      <c r="P21" s="356"/>
      <c r="Q21" s="351"/>
      <c r="R21" s="352"/>
      <c r="S21" s="351"/>
      <c r="T21" s="352"/>
      <c r="U21" s="64" t="s">
        <v>1879</v>
      </c>
      <c r="V21" s="62"/>
      <c r="W21" s="41"/>
    </row>
    <row r="22" spans="1:23" ht="28.5" customHeight="1">
      <c r="A22" s="38"/>
      <c r="B22" s="66">
        <v>16</v>
      </c>
      <c r="C22" s="67">
        <v>8</v>
      </c>
      <c r="D22" s="68" t="s">
        <v>139</v>
      </c>
      <c r="E22" s="69" t="s">
        <v>1864</v>
      </c>
      <c r="F22" s="70" t="s">
        <v>1854</v>
      </c>
      <c r="G22" s="70">
        <v>1</v>
      </c>
      <c r="H22" s="71"/>
      <c r="I22" s="349"/>
      <c r="J22" s="350"/>
      <c r="K22" s="349"/>
      <c r="L22" s="350"/>
      <c r="M22" s="357"/>
      <c r="N22" s="358"/>
      <c r="O22" s="359"/>
      <c r="P22" s="360"/>
      <c r="Q22" s="349"/>
      <c r="R22" s="350"/>
      <c r="S22" s="349"/>
      <c r="T22" s="350"/>
      <c r="U22" s="72" t="s">
        <v>1880</v>
      </c>
      <c r="V22" s="73"/>
      <c r="W22" s="41"/>
    </row>
    <row r="23" spans="1:23" ht="7.5" customHeight="1" thickBot="1">
      <c r="A23" s="74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V23" s="75"/>
      <c r="W23" s="77"/>
    </row>
    <row r="24" spans="1:23">
      <c r="U24" s="78"/>
    </row>
    <row r="25" spans="1:23">
      <c r="U25" s="78"/>
    </row>
    <row r="26" spans="1:23">
      <c r="U26" s="78"/>
    </row>
    <row r="27" spans="1:23">
      <c r="U27" s="78"/>
    </row>
    <row r="28" spans="1:23">
      <c r="U28" s="78"/>
    </row>
    <row r="29" spans="1:23">
      <c r="U29" s="78"/>
    </row>
    <row r="30" spans="1:23">
      <c r="U30" s="78"/>
    </row>
    <row r="31" spans="1:23">
      <c r="U31" s="78"/>
    </row>
    <row r="32" spans="1:23">
      <c r="U32" s="78"/>
    </row>
    <row r="33" spans="21:21">
      <c r="U33" s="78"/>
    </row>
    <row r="34" spans="21:21">
      <c r="U34" s="78"/>
    </row>
    <row r="35" spans="21:21">
      <c r="U35" s="78"/>
    </row>
    <row r="36" spans="21:21">
      <c r="U36" s="78"/>
    </row>
    <row r="37" spans="21:21">
      <c r="U37" s="78"/>
    </row>
    <row r="38" spans="21:21">
      <c r="U38" s="78"/>
    </row>
    <row r="39" spans="21:21">
      <c r="U39" s="78"/>
    </row>
    <row r="40" spans="21:21">
      <c r="U40" s="78"/>
    </row>
    <row r="41" spans="21:21">
      <c r="U41" s="78"/>
    </row>
    <row r="42" spans="21:21">
      <c r="U42" s="78"/>
    </row>
    <row r="43" spans="21:21">
      <c r="U43" s="78"/>
    </row>
    <row r="44" spans="21:21">
      <c r="U44" s="78"/>
    </row>
    <row r="45" spans="21:21">
      <c r="U45" s="78"/>
    </row>
    <row r="46" spans="21:21">
      <c r="U46" s="78"/>
    </row>
    <row r="47" spans="21:21">
      <c r="U47" s="78"/>
    </row>
    <row r="48" spans="21:21">
      <c r="U48" s="78"/>
    </row>
    <row r="49" spans="21:21">
      <c r="U49" s="78"/>
    </row>
    <row r="50" spans="21:21">
      <c r="U50" s="78"/>
    </row>
    <row r="51" spans="21:21">
      <c r="U51" s="78"/>
    </row>
    <row r="52" spans="21:21">
      <c r="U52" s="78"/>
    </row>
    <row r="53" spans="21:21">
      <c r="U53" s="78"/>
    </row>
    <row r="54" spans="21:21">
      <c r="U54" s="78"/>
    </row>
    <row r="55" spans="21:21">
      <c r="U55" s="78"/>
    </row>
    <row r="56" spans="21:21">
      <c r="U56" s="78"/>
    </row>
    <row r="57" spans="21:21">
      <c r="U57" s="78"/>
    </row>
    <row r="58" spans="21:21">
      <c r="U58" s="78"/>
    </row>
    <row r="59" spans="21:21">
      <c r="U59" s="78"/>
    </row>
    <row r="60" spans="21:21">
      <c r="U60" s="78"/>
    </row>
    <row r="61" spans="21:21">
      <c r="U61" s="78"/>
    </row>
    <row r="62" spans="21:21">
      <c r="U62" s="78"/>
    </row>
    <row r="63" spans="21:21">
      <c r="U63" s="78"/>
    </row>
    <row r="64" spans="21:21">
      <c r="U64" s="78"/>
    </row>
    <row r="65" spans="21:21">
      <c r="U65" s="78"/>
    </row>
    <row r="66" spans="21:21">
      <c r="U66" s="78"/>
    </row>
    <row r="67" spans="21:21">
      <c r="U67" s="78"/>
    </row>
    <row r="68" spans="21:21">
      <c r="U68" s="78"/>
    </row>
    <row r="69" spans="21:21">
      <c r="U69" s="78"/>
    </row>
    <row r="70" spans="21:21">
      <c r="U70" s="78"/>
    </row>
    <row r="71" spans="21:21">
      <c r="U71" s="78"/>
    </row>
    <row r="72" spans="21:21">
      <c r="U72" s="78"/>
    </row>
    <row r="73" spans="21:21">
      <c r="U73" s="78"/>
    </row>
    <row r="74" spans="21:21">
      <c r="U74" s="78"/>
    </row>
    <row r="75" spans="21:21">
      <c r="U75" s="78"/>
    </row>
    <row r="76" spans="21:21">
      <c r="U76" s="78"/>
    </row>
    <row r="77" spans="21:21">
      <c r="U77" s="78"/>
    </row>
    <row r="78" spans="21:21">
      <c r="U78" s="78"/>
    </row>
    <row r="79" spans="21:21">
      <c r="U79" s="78"/>
    </row>
    <row r="80" spans="21:21">
      <c r="U80" s="78"/>
    </row>
    <row r="81" spans="21:21">
      <c r="U81" s="78"/>
    </row>
  </sheetData>
  <mergeCells count="96">
    <mergeCell ref="S8:T8"/>
    <mergeCell ref="I7:J7"/>
    <mergeCell ref="K7:L7"/>
    <mergeCell ref="M7:N7"/>
    <mergeCell ref="O7:P7"/>
    <mergeCell ref="Q7:R7"/>
    <mergeCell ref="S7:T7"/>
    <mergeCell ref="I8:J8"/>
    <mergeCell ref="K8:L8"/>
    <mergeCell ref="M8:N8"/>
    <mergeCell ref="O8:P8"/>
    <mergeCell ref="Q8:R8"/>
    <mergeCell ref="S10:T10"/>
    <mergeCell ref="I9:J9"/>
    <mergeCell ref="K9:L9"/>
    <mergeCell ref="M9:N9"/>
    <mergeCell ref="O9:P9"/>
    <mergeCell ref="Q9:R9"/>
    <mergeCell ref="S9:T9"/>
    <mergeCell ref="I10:J10"/>
    <mergeCell ref="K10:L10"/>
    <mergeCell ref="M10:N10"/>
    <mergeCell ref="O10:P10"/>
    <mergeCell ref="Q10:R10"/>
    <mergeCell ref="S12:T12"/>
    <mergeCell ref="I11:J11"/>
    <mergeCell ref="K11:L11"/>
    <mergeCell ref="M11:N11"/>
    <mergeCell ref="O11:P11"/>
    <mergeCell ref="Q11:R11"/>
    <mergeCell ref="S11:T11"/>
    <mergeCell ref="I12:J12"/>
    <mergeCell ref="K12:L12"/>
    <mergeCell ref="M12:N12"/>
    <mergeCell ref="O12:P12"/>
    <mergeCell ref="Q12:R12"/>
    <mergeCell ref="S14:T14"/>
    <mergeCell ref="I13:J13"/>
    <mergeCell ref="K13:L13"/>
    <mergeCell ref="M13:N13"/>
    <mergeCell ref="O13:P13"/>
    <mergeCell ref="Q13:R13"/>
    <mergeCell ref="S13:T13"/>
    <mergeCell ref="I14:J14"/>
    <mergeCell ref="K14:L14"/>
    <mergeCell ref="M14:N14"/>
    <mergeCell ref="O14:P14"/>
    <mergeCell ref="Q14:R14"/>
    <mergeCell ref="S16:T16"/>
    <mergeCell ref="I15:J15"/>
    <mergeCell ref="K15:L15"/>
    <mergeCell ref="M15:N15"/>
    <mergeCell ref="O15:P15"/>
    <mergeCell ref="Q15:R15"/>
    <mergeCell ref="S15:T15"/>
    <mergeCell ref="I16:J16"/>
    <mergeCell ref="K16:L16"/>
    <mergeCell ref="M16:N16"/>
    <mergeCell ref="O16:P16"/>
    <mergeCell ref="Q16:R16"/>
    <mergeCell ref="S18:T18"/>
    <mergeCell ref="I17:J17"/>
    <mergeCell ref="K17:L17"/>
    <mergeCell ref="M17:N17"/>
    <mergeCell ref="O17:P17"/>
    <mergeCell ref="Q17:R17"/>
    <mergeCell ref="S17:T17"/>
    <mergeCell ref="I18:J18"/>
    <mergeCell ref="K18:L18"/>
    <mergeCell ref="M18:N18"/>
    <mergeCell ref="O18:P18"/>
    <mergeCell ref="Q18:R18"/>
    <mergeCell ref="S20:T20"/>
    <mergeCell ref="I19:J19"/>
    <mergeCell ref="K19:L19"/>
    <mergeCell ref="M19:N19"/>
    <mergeCell ref="O19:P19"/>
    <mergeCell ref="Q19:R19"/>
    <mergeCell ref="S19:T19"/>
    <mergeCell ref="I20:J20"/>
    <mergeCell ref="K20:L20"/>
    <mergeCell ref="M20:N20"/>
    <mergeCell ref="O20:P20"/>
    <mergeCell ref="Q20:R20"/>
    <mergeCell ref="S22:T22"/>
    <mergeCell ref="I21:J21"/>
    <mergeCell ref="K21:L21"/>
    <mergeCell ref="M21:N21"/>
    <mergeCell ref="O21:P21"/>
    <mergeCell ref="Q21:R21"/>
    <mergeCell ref="S21:T21"/>
    <mergeCell ref="I22:J22"/>
    <mergeCell ref="K22:L22"/>
    <mergeCell ref="M22:N22"/>
    <mergeCell ref="O22:P22"/>
    <mergeCell ref="Q22:R22"/>
  </mergeCells>
  <phoneticPr fontId="1"/>
  <pageMargins left="0.47" right="0.27559055118110237" top="0.42" bottom="0.35433070866141736" header="0.55000000000000004" footer="0.19685039370078741"/>
  <pageSetup paperSize="9" scale="76" fitToHeight="0" orientation="landscape" r:id="rId1"/>
  <headerFooter alignWithMargins="0">
    <oddHeader xml:space="preserve">&amp;R&amp;14&amp;P／&amp;N     </oddHead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D16"/>
  <sheetViews>
    <sheetView workbookViewId="0">
      <selection sqref="A1:BH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39</v>
      </c>
      <c r="C2" s="1" t="s">
        <v>1959</v>
      </c>
      <c r="D2" s="1" t="s">
        <v>36</v>
      </c>
    </row>
    <row r="3" spans="2:4">
      <c r="B3" s="1" t="s">
        <v>37</v>
      </c>
      <c r="C3" s="1"/>
      <c r="D3" s="1" t="s">
        <v>38</v>
      </c>
    </row>
    <row r="4" spans="2:4">
      <c r="B4" s="1" t="s">
        <v>141</v>
      </c>
      <c r="C4" s="1" t="s">
        <v>143</v>
      </c>
      <c r="D4" s="1" t="s">
        <v>142</v>
      </c>
    </row>
    <row r="5" spans="2:4">
      <c r="B5" s="1" t="s">
        <v>1962</v>
      </c>
      <c r="C5" s="1" t="s">
        <v>1964</v>
      </c>
      <c r="D5" s="1" t="s">
        <v>1963</v>
      </c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4:B53"/>
  <sheetViews>
    <sheetView topLeftCell="B1" workbookViewId="0">
      <selection sqref="A1:BH4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1757</v>
      </c>
    </row>
    <row r="6" spans="2:2">
      <c r="B6" s="1"/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F5"/>
  <sheetViews>
    <sheetView workbookViewId="0">
      <selection activeCell="A4" sqref="A4:XFD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152</v>
      </c>
    </row>
    <row r="2" spans="2:6">
      <c r="B2" s="1" t="s">
        <v>1958</v>
      </c>
      <c r="C2" s="1"/>
      <c r="D2" s="1" t="s">
        <v>414</v>
      </c>
      <c r="E2" s="1" t="s">
        <v>1961</v>
      </c>
      <c r="F2" s="1" t="s">
        <v>662</v>
      </c>
    </row>
    <row r="3" spans="2:6">
      <c r="B3" s="1"/>
      <c r="C3" s="1"/>
      <c r="D3" s="1"/>
      <c r="E3" s="1"/>
      <c r="F3" s="1"/>
    </row>
    <row r="4" spans="2:6">
      <c r="B4" s="1" t="s">
        <v>1756</v>
      </c>
      <c r="C4" s="1"/>
      <c r="D4" s="1" t="s">
        <v>414</v>
      </c>
      <c r="E4" s="1" t="s">
        <v>1960</v>
      </c>
      <c r="F4" s="1" t="s">
        <v>662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CV189"/>
  <sheetViews>
    <sheetView showGridLines="0" view="pageBreakPreview" topLeftCell="A97" zoomScaleNormal="75" zoomScaleSheetLayoutView="100" workbookViewId="0">
      <selection activeCell="O101" sqref="O101"/>
    </sheetView>
  </sheetViews>
  <sheetFormatPr defaultRowHeight="15" customHeight="1"/>
  <cols>
    <col min="1" max="1" width="1.625" style="80" customWidth="1"/>
    <col min="2" max="56" width="3.125" style="80" customWidth="1"/>
    <col min="57" max="57" width="1.625" style="80" customWidth="1"/>
    <col min="58" max="58" width="3.5" style="80" customWidth="1"/>
    <col min="59" max="256" width="9" style="80"/>
    <col min="257" max="257" width="1.625" style="80" customWidth="1"/>
    <col min="258" max="312" width="3.125" style="80" customWidth="1"/>
    <col min="313" max="313" width="1.625" style="80" customWidth="1"/>
    <col min="314" max="314" width="3.5" style="80" customWidth="1"/>
    <col min="315" max="512" width="9" style="80"/>
    <col min="513" max="513" width="1.625" style="80" customWidth="1"/>
    <col min="514" max="568" width="3.125" style="80" customWidth="1"/>
    <col min="569" max="569" width="1.625" style="80" customWidth="1"/>
    <col min="570" max="570" width="3.5" style="80" customWidth="1"/>
    <col min="571" max="768" width="9" style="80"/>
    <col min="769" max="769" width="1.625" style="80" customWidth="1"/>
    <col min="770" max="824" width="3.125" style="80" customWidth="1"/>
    <col min="825" max="825" width="1.625" style="80" customWidth="1"/>
    <col min="826" max="826" width="3.5" style="80" customWidth="1"/>
    <col min="827" max="1024" width="9" style="80"/>
    <col min="1025" max="1025" width="1.625" style="80" customWidth="1"/>
    <col min="1026" max="1080" width="3.125" style="80" customWidth="1"/>
    <col min="1081" max="1081" width="1.625" style="80" customWidth="1"/>
    <col min="1082" max="1082" width="3.5" style="80" customWidth="1"/>
    <col min="1083" max="1280" width="9" style="80"/>
    <col min="1281" max="1281" width="1.625" style="80" customWidth="1"/>
    <col min="1282" max="1336" width="3.125" style="80" customWidth="1"/>
    <col min="1337" max="1337" width="1.625" style="80" customWidth="1"/>
    <col min="1338" max="1338" width="3.5" style="80" customWidth="1"/>
    <col min="1339" max="1536" width="9" style="80"/>
    <col min="1537" max="1537" width="1.625" style="80" customWidth="1"/>
    <col min="1538" max="1592" width="3.125" style="80" customWidth="1"/>
    <col min="1593" max="1593" width="1.625" style="80" customWidth="1"/>
    <col min="1594" max="1594" width="3.5" style="80" customWidth="1"/>
    <col min="1595" max="1792" width="9" style="80"/>
    <col min="1793" max="1793" width="1.625" style="80" customWidth="1"/>
    <col min="1794" max="1848" width="3.125" style="80" customWidth="1"/>
    <col min="1849" max="1849" width="1.625" style="80" customWidth="1"/>
    <col min="1850" max="1850" width="3.5" style="80" customWidth="1"/>
    <col min="1851" max="2048" width="9" style="80"/>
    <col min="2049" max="2049" width="1.625" style="80" customWidth="1"/>
    <col min="2050" max="2104" width="3.125" style="80" customWidth="1"/>
    <col min="2105" max="2105" width="1.625" style="80" customWidth="1"/>
    <col min="2106" max="2106" width="3.5" style="80" customWidth="1"/>
    <col min="2107" max="2304" width="9" style="80"/>
    <col min="2305" max="2305" width="1.625" style="80" customWidth="1"/>
    <col min="2306" max="2360" width="3.125" style="80" customWidth="1"/>
    <col min="2361" max="2361" width="1.625" style="80" customWidth="1"/>
    <col min="2362" max="2362" width="3.5" style="80" customWidth="1"/>
    <col min="2363" max="2560" width="9" style="80"/>
    <col min="2561" max="2561" width="1.625" style="80" customWidth="1"/>
    <col min="2562" max="2616" width="3.125" style="80" customWidth="1"/>
    <col min="2617" max="2617" width="1.625" style="80" customWidth="1"/>
    <col min="2618" max="2618" width="3.5" style="80" customWidth="1"/>
    <col min="2619" max="2816" width="9" style="80"/>
    <col min="2817" max="2817" width="1.625" style="80" customWidth="1"/>
    <col min="2818" max="2872" width="3.125" style="80" customWidth="1"/>
    <col min="2873" max="2873" width="1.625" style="80" customWidth="1"/>
    <col min="2874" max="2874" width="3.5" style="80" customWidth="1"/>
    <col min="2875" max="3072" width="9" style="80"/>
    <col min="3073" max="3073" width="1.625" style="80" customWidth="1"/>
    <col min="3074" max="3128" width="3.125" style="80" customWidth="1"/>
    <col min="3129" max="3129" width="1.625" style="80" customWidth="1"/>
    <col min="3130" max="3130" width="3.5" style="80" customWidth="1"/>
    <col min="3131" max="3328" width="9" style="80"/>
    <col min="3329" max="3329" width="1.625" style="80" customWidth="1"/>
    <col min="3330" max="3384" width="3.125" style="80" customWidth="1"/>
    <col min="3385" max="3385" width="1.625" style="80" customWidth="1"/>
    <col min="3386" max="3386" width="3.5" style="80" customWidth="1"/>
    <col min="3387" max="3584" width="9" style="80"/>
    <col min="3585" max="3585" width="1.625" style="80" customWidth="1"/>
    <col min="3586" max="3640" width="3.125" style="80" customWidth="1"/>
    <col min="3641" max="3641" width="1.625" style="80" customWidth="1"/>
    <col min="3642" max="3642" width="3.5" style="80" customWidth="1"/>
    <col min="3643" max="3840" width="9" style="80"/>
    <col min="3841" max="3841" width="1.625" style="80" customWidth="1"/>
    <col min="3842" max="3896" width="3.125" style="80" customWidth="1"/>
    <col min="3897" max="3897" width="1.625" style="80" customWidth="1"/>
    <col min="3898" max="3898" width="3.5" style="80" customWidth="1"/>
    <col min="3899" max="4096" width="9" style="80"/>
    <col min="4097" max="4097" width="1.625" style="80" customWidth="1"/>
    <col min="4098" max="4152" width="3.125" style="80" customWidth="1"/>
    <col min="4153" max="4153" width="1.625" style="80" customWidth="1"/>
    <col min="4154" max="4154" width="3.5" style="80" customWidth="1"/>
    <col min="4155" max="4352" width="9" style="80"/>
    <col min="4353" max="4353" width="1.625" style="80" customWidth="1"/>
    <col min="4354" max="4408" width="3.125" style="80" customWidth="1"/>
    <col min="4409" max="4409" width="1.625" style="80" customWidth="1"/>
    <col min="4410" max="4410" width="3.5" style="80" customWidth="1"/>
    <col min="4411" max="4608" width="9" style="80"/>
    <col min="4609" max="4609" width="1.625" style="80" customWidth="1"/>
    <col min="4610" max="4664" width="3.125" style="80" customWidth="1"/>
    <col min="4665" max="4665" width="1.625" style="80" customWidth="1"/>
    <col min="4666" max="4666" width="3.5" style="80" customWidth="1"/>
    <col min="4667" max="4864" width="9" style="80"/>
    <col min="4865" max="4865" width="1.625" style="80" customWidth="1"/>
    <col min="4866" max="4920" width="3.125" style="80" customWidth="1"/>
    <col min="4921" max="4921" width="1.625" style="80" customWidth="1"/>
    <col min="4922" max="4922" width="3.5" style="80" customWidth="1"/>
    <col min="4923" max="5120" width="9" style="80"/>
    <col min="5121" max="5121" width="1.625" style="80" customWidth="1"/>
    <col min="5122" max="5176" width="3.125" style="80" customWidth="1"/>
    <col min="5177" max="5177" width="1.625" style="80" customWidth="1"/>
    <col min="5178" max="5178" width="3.5" style="80" customWidth="1"/>
    <col min="5179" max="5376" width="9" style="80"/>
    <col min="5377" max="5377" width="1.625" style="80" customWidth="1"/>
    <col min="5378" max="5432" width="3.125" style="80" customWidth="1"/>
    <col min="5433" max="5433" width="1.625" style="80" customWidth="1"/>
    <col min="5434" max="5434" width="3.5" style="80" customWidth="1"/>
    <col min="5435" max="5632" width="9" style="80"/>
    <col min="5633" max="5633" width="1.625" style="80" customWidth="1"/>
    <col min="5634" max="5688" width="3.125" style="80" customWidth="1"/>
    <col min="5689" max="5689" width="1.625" style="80" customWidth="1"/>
    <col min="5690" max="5690" width="3.5" style="80" customWidth="1"/>
    <col min="5691" max="5888" width="9" style="80"/>
    <col min="5889" max="5889" width="1.625" style="80" customWidth="1"/>
    <col min="5890" max="5944" width="3.125" style="80" customWidth="1"/>
    <col min="5945" max="5945" width="1.625" style="80" customWidth="1"/>
    <col min="5946" max="5946" width="3.5" style="80" customWidth="1"/>
    <col min="5947" max="6144" width="9" style="80"/>
    <col min="6145" max="6145" width="1.625" style="80" customWidth="1"/>
    <col min="6146" max="6200" width="3.125" style="80" customWidth="1"/>
    <col min="6201" max="6201" width="1.625" style="80" customWidth="1"/>
    <col min="6202" max="6202" width="3.5" style="80" customWidth="1"/>
    <col min="6203" max="6400" width="9" style="80"/>
    <col min="6401" max="6401" width="1.625" style="80" customWidth="1"/>
    <col min="6402" max="6456" width="3.125" style="80" customWidth="1"/>
    <col min="6457" max="6457" width="1.625" style="80" customWidth="1"/>
    <col min="6458" max="6458" width="3.5" style="80" customWidth="1"/>
    <col min="6459" max="6656" width="9" style="80"/>
    <col min="6657" max="6657" width="1.625" style="80" customWidth="1"/>
    <col min="6658" max="6712" width="3.125" style="80" customWidth="1"/>
    <col min="6713" max="6713" width="1.625" style="80" customWidth="1"/>
    <col min="6714" max="6714" width="3.5" style="80" customWidth="1"/>
    <col min="6715" max="6912" width="9" style="80"/>
    <col min="6913" max="6913" width="1.625" style="80" customWidth="1"/>
    <col min="6914" max="6968" width="3.125" style="80" customWidth="1"/>
    <col min="6969" max="6969" width="1.625" style="80" customWidth="1"/>
    <col min="6970" max="6970" width="3.5" style="80" customWidth="1"/>
    <col min="6971" max="7168" width="9" style="80"/>
    <col min="7169" max="7169" width="1.625" style="80" customWidth="1"/>
    <col min="7170" max="7224" width="3.125" style="80" customWidth="1"/>
    <col min="7225" max="7225" width="1.625" style="80" customWidth="1"/>
    <col min="7226" max="7226" width="3.5" style="80" customWidth="1"/>
    <col min="7227" max="7424" width="9" style="80"/>
    <col min="7425" max="7425" width="1.625" style="80" customWidth="1"/>
    <col min="7426" max="7480" width="3.125" style="80" customWidth="1"/>
    <col min="7481" max="7481" width="1.625" style="80" customWidth="1"/>
    <col min="7482" max="7482" width="3.5" style="80" customWidth="1"/>
    <col min="7483" max="7680" width="9" style="80"/>
    <col min="7681" max="7681" width="1.625" style="80" customWidth="1"/>
    <col min="7682" max="7736" width="3.125" style="80" customWidth="1"/>
    <col min="7737" max="7737" width="1.625" style="80" customWidth="1"/>
    <col min="7738" max="7738" width="3.5" style="80" customWidth="1"/>
    <col min="7739" max="7936" width="9" style="80"/>
    <col min="7937" max="7937" width="1.625" style="80" customWidth="1"/>
    <col min="7938" max="7992" width="3.125" style="80" customWidth="1"/>
    <col min="7993" max="7993" width="1.625" style="80" customWidth="1"/>
    <col min="7994" max="7994" width="3.5" style="80" customWidth="1"/>
    <col min="7995" max="8192" width="9" style="80"/>
    <col min="8193" max="8193" width="1.625" style="80" customWidth="1"/>
    <col min="8194" max="8248" width="3.125" style="80" customWidth="1"/>
    <col min="8249" max="8249" width="1.625" style="80" customWidth="1"/>
    <col min="8250" max="8250" width="3.5" style="80" customWidth="1"/>
    <col min="8251" max="8448" width="9" style="80"/>
    <col min="8449" max="8449" width="1.625" style="80" customWidth="1"/>
    <col min="8450" max="8504" width="3.125" style="80" customWidth="1"/>
    <col min="8505" max="8505" width="1.625" style="80" customWidth="1"/>
    <col min="8506" max="8506" width="3.5" style="80" customWidth="1"/>
    <col min="8507" max="8704" width="9" style="80"/>
    <col min="8705" max="8705" width="1.625" style="80" customWidth="1"/>
    <col min="8706" max="8760" width="3.125" style="80" customWidth="1"/>
    <col min="8761" max="8761" width="1.625" style="80" customWidth="1"/>
    <col min="8762" max="8762" width="3.5" style="80" customWidth="1"/>
    <col min="8763" max="8960" width="9" style="80"/>
    <col min="8961" max="8961" width="1.625" style="80" customWidth="1"/>
    <col min="8962" max="9016" width="3.125" style="80" customWidth="1"/>
    <col min="9017" max="9017" width="1.625" style="80" customWidth="1"/>
    <col min="9018" max="9018" width="3.5" style="80" customWidth="1"/>
    <col min="9019" max="9216" width="9" style="80"/>
    <col min="9217" max="9217" width="1.625" style="80" customWidth="1"/>
    <col min="9218" max="9272" width="3.125" style="80" customWidth="1"/>
    <col min="9273" max="9273" width="1.625" style="80" customWidth="1"/>
    <col min="9274" max="9274" width="3.5" style="80" customWidth="1"/>
    <col min="9275" max="9472" width="9" style="80"/>
    <col min="9473" max="9473" width="1.625" style="80" customWidth="1"/>
    <col min="9474" max="9528" width="3.125" style="80" customWidth="1"/>
    <col min="9529" max="9529" width="1.625" style="80" customWidth="1"/>
    <col min="9530" max="9530" width="3.5" style="80" customWidth="1"/>
    <col min="9531" max="9728" width="9" style="80"/>
    <col min="9729" max="9729" width="1.625" style="80" customWidth="1"/>
    <col min="9730" max="9784" width="3.125" style="80" customWidth="1"/>
    <col min="9785" max="9785" width="1.625" style="80" customWidth="1"/>
    <col min="9786" max="9786" width="3.5" style="80" customWidth="1"/>
    <col min="9787" max="9984" width="9" style="80"/>
    <col min="9985" max="9985" width="1.625" style="80" customWidth="1"/>
    <col min="9986" max="10040" width="3.125" style="80" customWidth="1"/>
    <col min="10041" max="10041" width="1.625" style="80" customWidth="1"/>
    <col min="10042" max="10042" width="3.5" style="80" customWidth="1"/>
    <col min="10043" max="10240" width="9" style="80"/>
    <col min="10241" max="10241" width="1.625" style="80" customWidth="1"/>
    <col min="10242" max="10296" width="3.125" style="80" customWidth="1"/>
    <col min="10297" max="10297" width="1.625" style="80" customWidth="1"/>
    <col min="10298" max="10298" width="3.5" style="80" customWidth="1"/>
    <col min="10299" max="10496" width="9" style="80"/>
    <col min="10497" max="10497" width="1.625" style="80" customWidth="1"/>
    <col min="10498" max="10552" width="3.125" style="80" customWidth="1"/>
    <col min="10553" max="10553" width="1.625" style="80" customWidth="1"/>
    <col min="10554" max="10554" width="3.5" style="80" customWidth="1"/>
    <col min="10555" max="10752" width="9" style="80"/>
    <col min="10753" max="10753" width="1.625" style="80" customWidth="1"/>
    <col min="10754" max="10808" width="3.125" style="80" customWidth="1"/>
    <col min="10809" max="10809" width="1.625" style="80" customWidth="1"/>
    <col min="10810" max="10810" width="3.5" style="80" customWidth="1"/>
    <col min="10811" max="11008" width="9" style="80"/>
    <col min="11009" max="11009" width="1.625" style="80" customWidth="1"/>
    <col min="11010" max="11064" width="3.125" style="80" customWidth="1"/>
    <col min="11065" max="11065" width="1.625" style="80" customWidth="1"/>
    <col min="11066" max="11066" width="3.5" style="80" customWidth="1"/>
    <col min="11067" max="11264" width="9" style="80"/>
    <col min="11265" max="11265" width="1.625" style="80" customWidth="1"/>
    <col min="11266" max="11320" width="3.125" style="80" customWidth="1"/>
    <col min="11321" max="11321" width="1.625" style="80" customWidth="1"/>
    <col min="11322" max="11322" width="3.5" style="80" customWidth="1"/>
    <col min="11323" max="11520" width="9" style="80"/>
    <col min="11521" max="11521" width="1.625" style="80" customWidth="1"/>
    <col min="11522" max="11576" width="3.125" style="80" customWidth="1"/>
    <col min="11577" max="11577" width="1.625" style="80" customWidth="1"/>
    <col min="11578" max="11578" width="3.5" style="80" customWidth="1"/>
    <col min="11579" max="11776" width="9" style="80"/>
    <col min="11777" max="11777" width="1.625" style="80" customWidth="1"/>
    <col min="11778" max="11832" width="3.125" style="80" customWidth="1"/>
    <col min="11833" max="11833" width="1.625" style="80" customWidth="1"/>
    <col min="11834" max="11834" width="3.5" style="80" customWidth="1"/>
    <col min="11835" max="12032" width="9" style="80"/>
    <col min="12033" max="12033" width="1.625" style="80" customWidth="1"/>
    <col min="12034" max="12088" width="3.125" style="80" customWidth="1"/>
    <col min="12089" max="12089" width="1.625" style="80" customWidth="1"/>
    <col min="12090" max="12090" width="3.5" style="80" customWidth="1"/>
    <col min="12091" max="12288" width="9" style="80"/>
    <col min="12289" max="12289" width="1.625" style="80" customWidth="1"/>
    <col min="12290" max="12344" width="3.125" style="80" customWidth="1"/>
    <col min="12345" max="12345" width="1.625" style="80" customWidth="1"/>
    <col min="12346" max="12346" width="3.5" style="80" customWidth="1"/>
    <col min="12347" max="12544" width="9" style="80"/>
    <col min="12545" max="12545" width="1.625" style="80" customWidth="1"/>
    <col min="12546" max="12600" width="3.125" style="80" customWidth="1"/>
    <col min="12601" max="12601" width="1.625" style="80" customWidth="1"/>
    <col min="12602" max="12602" width="3.5" style="80" customWidth="1"/>
    <col min="12603" max="12800" width="9" style="80"/>
    <col min="12801" max="12801" width="1.625" style="80" customWidth="1"/>
    <col min="12802" max="12856" width="3.125" style="80" customWidth="1"/>
    <col min="12857" max="12857" width="1.625" style="80" customWidth="1"/>
    <col min="12858" max="12858" width="3.5" style="80" customWidth="1"/>
    <col min="12859" max="13056" width="9" style="80"/>
    <col min="13057" max="13057" width="1.625" style="80" customWidth="1"/>
    <col min="13058" max="13112" width="3.125" style="80" customWidth="1"/>
    <col min="13113" max="13113" width="1.625" style="80" customWidth="1"/>
    <col min="13114" max="13114" width="3.5" style="80" customWidth="1"/>
    <col min="13115" max="13312" width="9" style="80"/>
    <col min="13313" max="13313" width="1.625" style="80" customWidth="1"/>
    <col min="13314" max="13368" width="3.125" style="80" customWidth="1"/>
    <col min="13369" max="13369" width="1.625" style="80" customWidth="1"/>
    <col min="13370" max="13370" width="3.5" style="80" customWidth="1"/>
    <col min="13371" max="13568" width="9" style="80"/>
    <col min="13569" max="13569" width="1.625" style="80" customWidth="1"/>
    <col min="13570" max="13624" width="3.125" style="80" customWidth="1"/>
    <col min="13625" max="13625" width="1.625" style="80" customWidth="1"/>
    <col min="13626" max="13626" width="3.5" style="80" customWidth="1"/>
    <col min="13627" max="13824" width="9" style="80"/>
    <col min="13825" max="13825" width="1.625" style="80" customWidth="1"/>
    <col min="13826" max="13880" width="3.125" style="80" customWidth="1"/>
    <col min="13881" max="13881" width="1.625" style="80" customWidth="1"/>
    <col min="13882" max="13882" width="3.5" style="80" customWidth="1"/>
    <col min="13883" max="14080" width="9" style="80"/>
    <col min="14081" max="14081" width="1.625" style="80" customWidth="1"/>
    <col min="14082" max="14136" width="3.125" style="80" customWidth="1"/>
    <col min="14137" max="14137" width="1.625" style="80" customWidth="1"/>
    <col min="14138" max="14138" width="3.5" style="80" customWidth="1"/>
    <col min="14139" max="14336" width="9" style="80"/>
    <col min="14337" max="14337" width="1.625" style="80" customWidth="1"/>
    <col min="14338" max="14392" width="3.125" style="80" customWidth="1"/>
    <col min="14393" max="14393" width="1.625" style="80" customWidth="1"/>
    <col min="14394" max="14394" width="3.5" style="80" customWidth="1"/>
    <col min="14395" max="14592" width="9" style="80"/>
    <col min="14593" max="14593" width="1.625" style="80" customWidth="1"/>
    <col min="14594" max="14648" width="3.125" style="80" customWidth="1"/>
    <col min="14649" max="14649" width="1.625" style="80" customWidth="1"/>
    <col min="14650" max="14650" width="3.5" style="80" customWidth="1"/>
    <col min="14651" max="14848" width="9" style="80"/>
    <col min="14849" max="14849" width="1.625" style="80" customWidth="1"/>
    <col min="14850" max="14904" width="3.125" style="80" customWidth="1"/>
    <col min="14905" max="14905" width="1.625" style="80" customWidth="1"/>
    <col min="14906" max="14906" width="3.5" style="80" customWidth="1"/>
    <col min="14907" max="15104" width="9" style="80"/>
    <col min="15105" max="15105" width="1.625" style="80" customWidth="1"/>
    <col min="15106" max="15160" width="3.125" style="80" customWidth="1"/>
    <col min="15161" max="15161" width="1.625" style="80" customWidth="1"/>
    <col min="15162" max="15162" width="3.5" style="80" customWidth="1"/>
    <col min="15163" max="15360" width="9" style="80"/>
    <col min="15361" max="15361" width="1.625" style="80" customWidth="1"/>
    <col min="15362" max="15416" width="3.125" style="80" customWidth="1"/>
    <col min="15417" max="15417" width="1.625" style="80" customWidth="1"/>
    <col min="15418" max="15418" width="3.5" style="80" customWidth="1"/>
    <col min="15419" max="15616" width="9" style="80"/>
    <col min="15617" max="15617" width="1.625" style="80" customWidth="1"/>
    <col min="15618" max="15672" width="3.125" style="80" customWidth="1"/>
    <col min="15673" max="15673" width="1.625" style="80" customWidth="1"/>
    <col min="15674" max="15674" width="3.5" style="80" customWidth="1"/>
    <col min="15675" max="15872" width="9" style="80"/>
    <col min="15873" max="15873" width="1.625" style="80" customWidth="1"/>
    <col min="15874" max="15928" width="3.125" style="80" customWidth="1"/>
    <col min="15929" max="15929" width="1.625" style="80" customWidth="1"/>
    <col min="15930" max="15930" width="3.5" style="80" customWidth="1"/>
    <col min="15931" max="16128" width="9" style="80"/>
    <col min="16129" max="16129" width="1.625" style="80" customWidth="1"/>
    <col min="16130" max="16184" width="3.125" style="80" customWidth="1"/>
    <col min="16185" max="16185" width="1.625" style="80" customWidth="1"/>
    <col min="16186" max="16186" width="3.5" style="80" customWidth="1"/>
    <col min="16187" max="16384" width="9" style="80"/>
  </cols>
  <sheetData>
    <row r="1" spans="1:100" ht="15" customHeight="1">
      <c r="A1" s="382" t="s">
        <v>481</v>
      </c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V1" s="368" t="s">
        <v>7</v>
      </c>
      <c r="W1" s="368"/>
      <c r="X1" s="368"/>
      <c r="Y1" s="368"/>
      <c r="Z1" s="368"/>
      <c r="AA1" s="384" t="s">
        <v>482</v>
      </c>
      <c r="AB1" s="385"/>
      <c r="AC1" s="385"/>
      <c r="AD1" s="385"/>
      <c r="AE1" s="385"/>
      <c r="AF1" s="385"/>
      <c r="AG1" s="385"/>
      <c r="AH1" s="385"/>
      <c r="AI1" s="385"/>
      <c r="AJ1" s="385"/>
      <c r="AK1" s="385"/>
      <c r="AL1" s="385"/>
      <c r="AM1" s="385"/>
      <c r="AN1" s="385"/>
      <c r="AO1" s="386"/>
      <c r="AP1" s="81"/>
      <c r="AQ1" s="368" t="s">
        <v>8</v>
      </c>
      <c r="AR1" s="368"/>
      <c r="AS1" s="368"/>
      <c r="AT1" s="368"/>
      <c r="AU1" s="368"/>
      <c r="AV1" s="367"/>
      <c r="AW1" s="368"/>
      <c r="AX1" s="368"/>
      <c r="AY1" s="368"/>
      <c r="AZ1" s="368"/>
      <c r="BA1" s="368"/>
      <c r="BB1" s="368"/>
      <c r="BC1" s="368"/>
      <c r="BD1" s="368"/>
      <c r="BE1" s="368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</row>
    <row r="2" spans="1:100" ht="15" customHeight="1">
      <c r="A2" s="383"/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V2" s="368"/>
      <c r="W2" s="368"/>
      <c r="X2" s="368"/>
      <c r="Y2" s="368"/>
      <c r="Z2" s="368"/>
      <c r="AA2" s="387"/>
      <c r="AB2" s="388"/>
      <c r="AC2" s="388"/>
      <c r="AD2" s="388"/>
      <c r="AE2" s="388"/>
      <c r="AF2" s="388"/>
      <c r="AG2" s="388"/>
      <c r="AH2" s="388"/>
      <c r="AI2" s="388"/>
      <c r="AJ2" s="388"/>
      <c r="AK2" s="388"/>
      <c r="AL2" s="388"/>
      <c r="AM2" s="388"/>
      <c r="AN2" s="388"/>
      <c r="AO2" s="389"/>
      <c r="AP2" s="81"/>
      <c r="AQ2" s="368"/>
      <c r="AR2" s="368"/>
      <c r="AS2" s="368"/>
      <c r="AT2" s="368"/>
      <c r="AU2" s="368"/>
      <c r="AV2" s="368"/>
      <c r="AW2" s="368"/>
      <c r="AX2" s="368"/>
      <c r="AY2" s="368"/>
      <c r="AZ2" s="368"/>
      <c r="BA2" s="368"/>
      <c r="BB2" s="368"/>
      <c r="BC2" s="368"/>
      <c r="BD2" s="368"/>
      <c r="BE2" s="368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</row>
    <row r="3" spans="1:100" ht="15" customHeight="1">
      <c r="A3" s="383"/>
      <c r="B3" s="383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V3" s="368" t="s">
        <v>483</v>
      </c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81"/>
      <c r="AQ3" s="368" t="s">
        <v>10</v>
      </c>
      <c r="AR3" s="368"/>
      <c r="AS3" s="368"/>
      <c r="AT3" s="368"/>
      <c r="AU3" s="368"/>
      <c r="AV3" s="367"/>
      <c r="AW3" s="368"/>
      <c r="AX3" s="368"/>
      <c r="AY3" s="368"/>
      <c r="AZ3" s="368"/>
      <c r="BA3" s="368"/>
      <c r="BB3" s="368"/>
      <c r="BC3" s="368"/>
      <c r="BD3" s="368"/>
      <c r="BE3" s="368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82"/>
      <c r="CJ3" s="82"/>
      <c r="CK3" s="82"/>
      <c r="CL3" s="82"/>
      <c r="CM3" s="82"/>
      <c r="CN3" s="82"/>
      <c r="CO3" s="82"/>
      <c r="CP3" s="82"/>
      <c r="CQ3" s="82"/>
      <c r="CR3" s="82"/>
      <c r="CS3" s="82"/>
      <c r="CT3" s="82"/>
      <c r="CU3" s="82"/>
      <c r="CV3" s="82"/>
    </row>
    <row r="4" spans="1:100" ht="15" customHeight="1">
      <c r="A4" s="383"/>
      <c r="B4" s="383"/>
      <c r="C4" s="383"/>
      <c r="D4" s="383"/>
      <c r="E4" s="383"/>
      <c r="F4" s="383"/>
      <c r="G4" s="383"/>
      <c r="H4" s="383"/>
      <c r="I4" s="383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3"/>
      <c r="V4" s="368"/>
      <c r="W4" s="368"/>
      <c r="X4" s="368"/>
      <c r="Y4" s="368"/>
      <c r="Z4" s="368"/>
      <c r="AA4" s="368"/>
      <c r="AB4" s="368"/>
      <c r="AC4" s="368"/>
      <c r="AD4" s="368"/>
      <c r="AE4" s="368"/>
      <c r="AF4" s="368"/>
      <c r="AG4" s="368"/>
      <c r="AH4" s="368"/>
      <c r="AI4" s="368"/>
      <c r="AJ4" s="368"/>
      <c r="AK4" s="368"/>
      <c r="AL4" s="368"/>
      <c r="AM4" s="368"/>
      <c r="AN4" s="368"/>
      <c r="AO4" s="368"/>
      <c r="AP4" s="81"/>
      <c r="AQ4" s="368"/>
      <c r="AR4" s="368"/>
      <c r="AS4" s="368"/>
      <c r="AT4" s="368"/>
      <c r="AU4" s="368"/>
      <c r="AV4" s="368"/>
      <c r="AW4" s="368"/>
      <c r="AX4" s="368"/>
      <c r="AY4" s="368"/>
      <c r="AZ4" s="368"/>
      <c r="BA4" s="368"/>
      <c r="BB4" s="368"/>
      <c r="BC4" s="368"/>
      <c r="BD4" s="368"/>
      <c r="BE4" s="368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</row>
    <row r="5" spans="1:100" ht="15" customHeight="1"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  <c r="CD5" s="82"/>
      <c r="CE5" s="82"/>
      <c r="CF5" s="82"/>
      <c r="CG5" s="82"/>
      <c r="CH5" s="82"/>
      <c r="CI5" s="82"/>
      <c r="CJ5" s="82"/>
      <c r="CK5" s="82"/>
      <c r="CL5" s="82"/>
      <c r="CM5" s="82"/>
      <c r="CN5" s="82"/>
      <c r="CO5" s="82"/>
      <c r="CP5" s="82"/>
      <c r="CQ5" s="82"/>
      <c r="CR5" s="82"/>
      <c r="CS5" s="82"/>
      <c r="CT5" s="82"/>
      <c r="CU5" s="82"/>
      <c r="CV5" s="82"/>
    </row>
    <row r="6" spans="1:100" s="86" customFormat="1" ht="10.5" customHeight="1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5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</row>
    <row r="7" spans="1:100" ht="15" customHeight="1">
      <c r="A7" s="87"/>
      <c r="B7" s="372" t="s">
        <v>484</v>
      </c>
      <c r="C7" s="373"/>
      <c r="D7" s="373"/>
      <c r="E7" s="374" t="s">
        <v>485</v>
      </c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6"/>
      <c r="S7" s="377" t="s">
        <v>486</v>
      </c>
      <c r="T7" s="378"/>
      <c r="U7" s="376"/>
      <c r="V7" s="374" t="s">
        <v>487</v>
      </c>
      <c r="W7" s="375"/>
      <c r="X7" s="375"/>
      <c r="Y7" s="375"/>
      <c r="Z7" s="375"/>
      <c r="AA7" s="375"/>
      <c r="AB7" s="375"/>
      <c r="AC7" s="375"/>
      <c r="AD7" s="375"/>
      <c r="AE7" s="375"/>
      <c r="AF7" s="375"/>
      <c r="AG7" s="375"/>
      <c r="AH7" s="375"/>
      <c r="AI7" s="375"/>
      <c r="AJ7" s="375"/>
      <c r="AK7" s="375"/>
      <c r="AL7" s="375"/>
      <c r="AM7" s="375"/>
      <c r="AN7" s="375"/>
      <c r="AO7" s="375"/>
      <c r="AP7" s="375"/>
      <c r="AQ7" s="375"/>
      <c r="AR7" s="375"/>
      <c r="AS7" s="375"/>
      <c r="AT7" s="376"/>
      <c r="AU7" s="379" t="s">
        <v>488</v>
      </c>
      <c r="AV7" s="380"/>
      <c r="AW7" s="380"/>
      <c r="AX7" s="380"/>
      <c r="AY7" s="380"/>
      <c r="AZ7" s="380"/>
      <c r="BA7" s="381"/>
      <c r="BB7" s="369" t="s">
        <v>489</v>
      </c>
      <c r="BC7" s="370"/>
      <c r="BD7" s="371"/>
      <c r="BE7" s="88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</row>
    <row r="8" spans="1:100" s="86" customFormat="1" ht="15" customHeight="1">
      <c r="A8" s="90"/>
      <c r="B8" s="91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3"/>
      <c r="BA8" s="93"/>
      <c r="BB8" s="93"/>
      <c r="BC8" s="93"/>
      <c r="BD8" s="94"/>
      <c r="BE8" s="95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</row>
    <row r="9" spans="1:100" s="86" customFormat="1" ht="15" customHeight="1">
      <c r="A9" s="90"/>
      <c r="B9" s="91"/>
      <c r="C9" s="96"/>
      <c r="D9" s="97"/>
      <c r="E9" s="97"/>
      <c r="F9" s="97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3"/>
      <c r="BA9" s="93"/>
      <c r="BB9" s="93"/>
      <c r="BC9" s="93"/>
      <c r="BD9" s="94"/>
      <c r="BE9" s="95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</row>
    <row r="10" spans="1:100" ht="15" customHeight="1">
      <c r="A10" s="87"/>
      <c r="B10" s="98" t="s">
        <v>490</v>
      </c>
      <c r="C10" s="99"/>
      <c r="D10" s="100"/>
      <c r="E10" s="101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99"/>
      <c r="BE10" s="88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89"/>
      <c r="CT10" s="89"/>
      <c r="CU10" s="89"/>
      <c r="CV10" s="89"/>
    </row>
    <row r="11" spans="1:100" s="81" customFormat="1" ht="15" customHeight="1">
      <c r="A11" s="102"/>
      <c r="B11" s="103"/>
      <c r="C11" s="103" t="s">
        <v>491</v>
      </c>
      <c r="D11" s="104"/>
      <c r="E11" s="92"/>
      <c r="F11" s="103" t="s">
        <v>492</v>
      </c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103"/>
      <c r="BE11" s="105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6"/>
      <c r="CC11" s="106"/>
      <c r="CD11" s="106"/>
      <c r="CE11" s="106"/>
      <c r="CF11" s="106"/>
      <c r="CG11" s="106"/>
      <c r="CH11" s="106"/>
      <c r="CI11" s="106"/>
      <c r="CJ11" s="106"/>
      <c r="CK11" s="106"/>
      <c r="CL11" s="106"/>
      <c r="CM11" s="106"/>
      <c r="CN11" s="106"/>
      <c r="CO11" s="106"/>
      <c r="CP11" s="106"/>
      <c r="CQ11" s="106"/>
      <c r="CR11" s="106"/>
      <c r="CS11" s="106"/>
      <c r="CT11" s="106"/>
      <c r="CU11" s="106"/>
      <c r="CV11" s="106"/>
    </row>
    <row r="12" spans="1:100" s="81" customFormat="1" ht="15" customHeight="1">
      <c r="A12" s="102"/>
      <c r="B12" s="103"/>
      <c r="C12" s="103"/>
      <c r="D12" s="104"/>
      <c r="E12" s="92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103"/>
      <c r="BE12" s="105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6"/>
      <c r="CC12" s="106"/>
      <c r="CD12" s="106"/>
      <c r="CE12" s="106"/>
      <c r="CF12" s="106"/>
      <c r="CG12" s="106"/>
      <c r="CH12" s="106"/>
      <c r="CI12" s="106"/>
      <c r="CJ12" s="106"/>
      <c r="CK12" s="106"/>
      <c r="CL12" s="106"/>
      <c r="CM12" s="106"/>
      <c r="CN12" s="106"/>
      <c r="CO12" s="106"/>
      <c r="CP12" s="106"/>
      <c r="CQ12" s="106"/>
      <c r="CR12" s="106"/>
      <c r="CS12" s="106"/>
      <c r="CT12" s="106"/>
      <c r="CU12" s="106"/>
      <c r="CV12" s="106"/>
    </row>
    <row r="13" spans="1:100" s="81" customFormat="1" ht="15" customHeight="1">
      <c r="A13" s="102"/>
      <c r="B13" s="98" t="s">
        <v>493</v>
      </c>
      <c r="C13" s="103"/>
      <c r="D13" s="104"/>
      <c r="E13" s="92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103"/>
      <c r="BE13" s="105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  <c r="CE13" s="106"/>
      <c r="CF13" s="106"/>
      <c r="CG13" s="106"/>
      <c r="CH13" s="106"/>
      <c r="CI13" s="106"/>
      <c r="CJ13" s="106"/>
      <c r="CK13" s="106"/>
      <c r="CL13" s="106"/>
      <c r="CM13" s="106"/>
      <c r="CN13" s="106"/>
      <c r="CO13" s="106"/>
      <c r="CP13" s="106"/>
      <c r="CQ13" s="106"/>
      <c r="CR13" s="106"/>
      <c r="CS13" s="106"/>
      <c r="CT13" s="106"/>
      <c r="CU13" s="106"/>
      <c r="CV13" s="106"/>
    </row>
    <row r="14" spans="1:100" s="86" customFormat="1" ht="15" customHeight="1">
      <c r="A14" s="90"/>
      <c r="C14" s="96"/>
      <c r="D14" s="97"/>
      <c r="E14" s="97" t="s">
        <v>494</v>
      </c>
      <c r="F14" s="97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3"/>
      <c r="BA14" s="93"/>
      <c r="BB14" s="93"/>
      <c r="BC14" s="93"/>
      <c r="BD14" s="94"/>
      <c r="BE14" s="95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</row>
    <row r="15" spans="1:100" s="81" customFormat="1" ht="15" customHeight="1">
      <c r="A15" s="102"/>
      <c r="B15" s="103"/>
      <c r="C15" s="103"/>
      <c r="D15" s="103"/>
      <c r="E15" s="103"/>
      <c r="F15" s="107" t="s">
        <v>495</v>
      </c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9"/>
      <c r="W15" s="110" t="s">
        <v>496</v>
      </c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9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103"/>
      <c r="BE15" s="105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</row>
    <row r="16" spans="1:100" s="112" customFormat="1" ht="15" customHeight="1">
      <c r="A16" s="111"/>
      <c r="E16" s="112">
        <v>1</v>
      </c>
      <c r="F16" s="113" t="s">
        <v>497</v>
      </c>
      <c r="G16" s="114"/>
      <c r="H16" s="114"/>
      <c r="I16" s="114"/>
      <c r="J16" s="114"/>
      <c r="K16" s="114"/>
      <c r="L16" s="114"/>
      <c r="M16" s="114"/>
      <c r="N16" s="115"/>
      <c r="O16" s="116" t="s">
        <v>498</v>
      </c>
      <c r="P16" s="114"/>
      <c r="Q16" s="114"/>
      <c r="R16" s="114"/>
      <c r="S16" s="114"/>
      <c r="T16" s="114"/>
      <c r="U16" s="114"/>
      <c r="V16" s="115"/>
      <c r="W16" s="117" t="s">
        <v>499</v>
      </c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5"/>
      <c r="BE16" s="118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J16" s="119"/>
      <c r="CK16" s="119"/>
      <c r="CL16" s="119"/>
      <c r="CM16" s="119"/>
      <c r="CN16" s="119"/>
      <c r="CO16" s="119"/>
      <c r="CP16" s="119"/>
      <c r="CQ16" s="119"/>
      <c r="CR16" s="119"/>
      <c r="CS16" s="119"/>
      <c r="CT16" s="119"/>
      <c r="CU16" s="119"/>
      <c r="CV16" s="119"/>
    </row>
    <row r="17" spans="1:100" s="112" customFormat="1" ht="15" customHeight="1">
      <c r="A17" s="111"/>
      <c r="E17" s="112">
        <v>2</v>
      </c>
      <c r="F17" s="113" t="s">
        <v>500</v>
      </c>
      <c r="G17" s="114"/>
      <c r="H17" s="114"/>
      <c r="I17" s="114"/>
      <c r="J17" s="114"/>
      <c r="K17" s="114"/>
      <c r="L17" s="114"/>
      <c r="M17" s="114"/>
      <c r="N17" s="115"/>
      <c r="O17" s="116" t="s">
        <v>501</v>
      </c>
      <c r="P17" s="114"/>
      <c r="Q17" s="114"/>
      <c r="R17" s="114"/>
      <c r="S17" s="114"/>
      <c r="T17" s="114"/>
      <c r="U17" s="114"/>
      <c r="V17" s="115"/>
      <c r="W17" s="120" t="s">
        <v>502</v>
      </c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5"/>
      <c r="BE17" s="118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J17" s="119"/>
      <c r="CK17" s="119"/>
      <c r="CL17" s="119"/>
      <c r="CM17" s="119"/>
      <c r="CN17" s="119"/>
      <c r="CO17" s="119"/>
      <c r="CP17" s="119"/>
      <c r="CQ17" s="119"/>
      <c r="CR17" s="119"/>
      <c r="CS17" s="119"/>
      <c r="CT17" s="119"/>
      <c r="CU17" s="119"/>
      <c r="CV17" s="119"/>
    </row>
    <row r="18" spans="1:100" s="112" customFormat="1" ht="15" customHeight="1">
      <c r="A18" s="111"/>
      <c r="E18" s="112">
        <v>3</v>
      </c>
      <c r="F18" s="113" t="s">
        <v>503</v>
      </c>
      <c r="G18" s="114"/>
      <c r="H18" s="114"/>
      <c r="I18" s="114"/>
      <c r="J18" s="114"/>
      <c r="K18" s="114"/>
      <c r="L18" s="114"/>
      <c r="M18" s="114"/>
      <c r="N18" s="115"/>
      <c r="O18" s="116" t="s">
        <v>504</v>
      </c>
      <c r="P18" s="114"/>
      <c r="Q18" s="114"/>
      <c r="R18" s="114"/>
      <c r="S18" s="114"/>
      <c r="T18" s="114"/>
      <c r="U18" s="114"/>
      <c r="V18" s="115"/>
      <c r="W18" s="120" t="s">
        <v>505</v>
      </c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5"/>
      <c r="BE18" s="118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J18" s="119"/>
      <c r="CK18" s="119"/>
      <c r="CL18" s="119"/>
      <c r="CM18" s="119"/>
      <c r="CN18" s="119"/>
      <c r="CO18" s="119"/>
      <c r="CP18" s="119"/>
      <c r="CQ18" s="119"/>
      <c r="CR18" s="119"/>
      <c r="CS18" s="119"/>
      <c r="CT18" s="119"/>
      <c r="CU18" s="119"/>
      <c r="CV18" s="119"/>
    </row>
    <row r="19" spans="1:100" s="112" customFormat="1" ht="15" customHeight="1">
      <c r="A19" s="111"/>
      <c r="E19" s="112">
        <v>4</v>
      </c>
      <c r="F19" s="113" t="s">
        <v>506</v>
      </c>
      <c r="G19" s="114"/>
      <c r="H19" s="114"/>
      <c r="I19" s="114"/>
      <c r="J19" s="114"/>
      <c r="K19" s="114"/>
      <c r="L19" s="114"/>
      <c r="M19" s="114"/>
      <c r="N19" s="115"/>
      <c r="O19" s="116" t="s">
        <v>507</v>
      </c>
      <c r="P19" s="114"/>
      <c r="Q19" s="114"/>
      <c r="R19" s="114"/>
      <c r="S19" s="114"/>
      <c r="T19" s="114"/>
      <c r="U19" s="114"/>
      <c r="V19" s="115"/>
      <c r="W19" s="120" t="s">
        <v>508</v>
      </c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5"/>
      <c r="BE19" s="118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J19" s="119"/>
      <c r="CK19" s="119"/>
      <c r="CL19" s="119"/>
      <c r="CM19" s="119"/>
      <c r="CN19" s="119"/>
      <c r="CO19" s="119"/>
      <c r="CP19" s="119"/>
      <c r="CQ19" s="119"/>
      <c r="CR19" s="119"/>
      <c r="CS19" s="119"/>
      <c r="CT19" s="119"/>
      <c r="CU19" s="119"/>
      <c r="CV19" s="119"/>
    </row>
    <row r="20" spans="1:100" s="112" customFormat="1" ht="15" customHeight="1">
      <c r="A20" s="111"/>
      <c r="E20" s="112">
        <v>5</v>
      </c>
      <c r="F20" s="113" t="s">
        <v>509</v>
      </c>
      <c r="G20" s="114"/>
      <c r="H20" s="114"/>
      <c r="I20" s="114"/>
      <c r="J20" s="114"/>
      <c r="K20" s="114"/>
      <c r="L20" s="114"/>
      <c r="M20" s="114"/>
      <c r="N20" s="115"/>
      <c r="O20" s="116" t="s">
        <v>510</v>
      </c>
      <c r="P20" s="114"/>
      <c r="Q20" s="114"/>
      <c r="R20" s="114"/>
      <c r="S20" s="114"/>
      <c r="T20" s="114"/>
      <c r="U20" s="114"/>
      <c r="V20" s="115"/>
      <c r="W20" s="121" t="s">
        <v>511</v>
      </c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5"/>
      <c r="BE20" s="118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J20" s="119"/>
      <c r="CK20" s="119"/>
      <c r="CL20" s="119"/>
      <c r="CM20" s="119"/>
      <c r="CN20" s="119"/>
      <c r="CO20" s="119"/>
      <c r="CP20" s="119"/>
      <c r="CQ20" s="119"/>
      <c r="CR20" s="119"/>
      <c r="CS20" s="119"/>
      <c r="CT20" s="119"/>
      <c r="CU20" s="119"/>
      <c r="CV20" s="119"/>
    </row>
    <row r="21" spans="1:100" s="112" customFormat="1" ht="15" customHeight="1">
      <c r="A21" s="111"/>
      <c r="E21" s="112">
        <v>6</v>
      </c>
      <c r="F21" s="113" t="s">
        <v>512</v>
      </c>
      <c r="G21" s="114"/>
      <c r="H21" s="114"/>
      <c r="I21" s="114"/>
      <c r="J21" s="114"/>
      <c r="K21" s="114"/>
      <c r="L21" s="114"/>
      <c r="M21" s="114"/>
      <c r="N21" s="115"/>
      <c r="O21" s="116" t="s">
        <v>513</v>
      </c>
      <c r="P21" s="114"/>
      <c r="Q21" s="114"/>
      <c r="R21" s="114"/>
      <c r="S21" s="114"/>
      <c r="T21" s="114"/>
      <c r="U21" s="114"/>
      <c r="V21" s="115"/>
      <c r="W21" s="120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5"/>
      <c r="BE21" s="118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J21" s="119"/>
      <c r="CK21" s="119"/>
      <c r="CL21" s="119"/>
      <c r="CM21" s="119"/>
      <c r="CN21" s="119"/>
      <c r="CO21" s="119"/>
      <c r="CP21" s="119"/>
      <c r="CQ21" s="119"/>
      <c r="CR21" s="119"/>
      <c r="CS21" s="119"/>
      <c r="CT21" s="119"/>
      <c r="CU21" s="119"/>
      <c r="CV21" s="119"/>
    </row>
    <row r="22" spans="1:100" s="112" customFormat="1" ht="15" customHeight="1">
      <c r="A22" s="111"/>
      <c r="E22" s="112">
        <v>7</v>
      </c>
      <c r="F22" s="113" t="s">
        <v>514</v>
      </c>
      <c r="G22" s="114"/>
      <c r="H22" s="114"/>
      <c r="I22" s="114"/>
      <c r="J22" s="114"/>
      <c r="K22" s="114"/>
      <c r="L22" s="114"/>
      <c r="M22" s="114"/>
      <c r="N22" s="115"/>
      <c r="O22" s="116" t="s">
        <v>515</v>
      </c>
      <c r="P22" s="114"/>
      <c r="Q22" s="114"/>
      <c r="R22" s="114"/>
      <c r="S22" s="114"/>
      <c r="T22" s="114"/>
      <c r="U22" s="114"/>
      <c r="V22" s="115"/>
      <c r="W22" s="120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5"/>
      <c r="BE22" s="118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J22" s="119"/>
      <c r="CK22" s="119"/>
      <c r="CL22" s="119"/>
      <c r="CM22" s="119"/>
      <c r="CN22" s="119"/>
      <c r="CO22" s="119"/>
      <c r="CP22" s="119"/>
      <c r="CQ22" s="119"/>
      <c r="CR22" s="119"/>
      <c r="CS22" s="119"/>
      <c r="CT22" s="119"/>
      <c r="CU22" s="119"/>
      <c r="CV22" s="119"/>
    </row>
    <row r="23" spans="1:100" s="112" customFormat="1" ht="15" customHeight="1">
      <c r="A23" s="111"/>
      <c r="E23" s="112">
        <v>8</v>
      </c>
      <c r="F23" s="122" t="s">
        <v>516</v>
      </c>
      <c r="G23" s="114"/>
      <c r="H23" s="114"/>
      <c r="I23" s="114"/>
      <c r="J23" s="114"/>
      <c r="K23" s="114"/>
      <c r="L23" s="114"/>
      <c r="M23" s="114"/>
      <c r="N23" s="115"/>
      <c r="O23" s="123" t="s">
        <v>517</v>
      </c>
      <c r="P23" s="114"/>
      <c r="Q23" s="114"/>
      <c r="R23" s="114"/>
      <c r="S23" s="114"/>
      <c r="T23" s="114"/>
      <c r="U23" s="114"/>
      <c r="V23" s="115"/>
      <c r="W23" s="120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5"/>
      <c r="BE23" s="118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J23" s="119"/>
      <c r="CK23" s="119"/>
      <c r="CL23" s="119"/>
      <c r="CM23" s="119"/>
      <c r="CN23" s="119"/>
      <c r="CO23" s="119"/>
      <c r="CP23" s="119"/>
      <c r="CQ23" s="119"/>
      <c r="CR23" s="119"/>
      <c r="CS23" s="119"/>
      <c r="CT23" s="119"/>
      <c r="CU23" s="119"/>
      <c r="CV23" s="119"/>
    </row>
    <row r="24" spans="1:100" s="81" customFormat="1" ht="15" customHeight="1">
      <c r="A24" s="102"/>
      <c r="B24" s="103"/>
      <c r="C24" s="103"/>
      <c r="D24" s="103"/>
      <c r="E24" s="112">
        <v>9</v>
      </c>
      <c r="F24" s="122" t="s">
        <v>518</v>
      </c>
      <c r="G24" s="114"/>
      <c r="H24" s="114"/>
      <c r="I24" s="114"/>
      <c r="J24" s="114"/>
      <c r="K24" s="114"/>
      <c r="L24" s="114"/>
      <c r="M24" s="114"/>
      <c r="N24" s="115"/>
      <c r="O24" s="122" t="s">
        <v>519</v>
      </c>
      <c r="P24" s="114"/>
      <c r="Q24" s="114"/>
      <c r="R24" s="114"/>
      <c r="S24" s="114"/>
      <c r="T24" s="114"/>
      <c r="U24" s="114"/>
      <c r="V24" s="115"/>
      <c r="W24" s="120"/>
      <c r="X24" s="114"/>
      <c r="Y24" s="114"/>
      <c r="Z24" s="114"/>
      <c r="AA24" s="114"/>
      <c r="AB24" s="114"/>
      <c r="AC24" s="114"/>
      <c r="AD24" s="114"/>
      <c r="AE24" s="114"/>
      <c r="AF24" s="114"/>
      <c r="AG24" s="114"/>
      <c r="AH24" s="114"/>
      <c r="AI24" s="114"/>
      <c r="AJ24" s="114"/>
      <c r="AK24" s="114"/>
      <c r="AL24" s="115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5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</row>
    <row r="25" spans="1:100" s="81" customFormat="1" ht="15" customHeight="1">
      <c r="A25" s="102"/>
      <c r="B25" s="103"/>
      <c r="C25" s="103"/>
      <c r="D25" s="103"/>
      <c r="E25" s="112">
        <v>10</v>
      </c>
      <c r="F25" s="122" t="s">
        <v>520</v>
      </c>
      <c r="G25" s="114"/>
      <c r="H25" s="114"/>
      <c r="I25" s="114"/>
      <c r="J25" s="114"/>
      <c r="K25" s="114"/>
      <c r="L25" s="114"/>
      <c r="M25" s="114"/>
      <c r="N25" s="115"/>
      <c r="O25" s="124" t="s">
        <v>521</v>
      </c>
      <c r="P25" s="125"/>
      <c r="Q25" s="125"/>
      <c r="R25" s="125"/>
      <c r="S25" s="125"/>
      <c r="T25" s="125"/>
      <c r="U25" s="125"/>
      <c r="V25" s="126"/>
      <c r="W25" s="120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5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5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</row>
    <row r="26" spans="1:100" s="81" customFormat="1" ht="15" customHeight="1">
      <c r="A26" s="102"/>
      <c r="B26" s="103"/>
      <c r="C26" s="103"/>
      <c r="D26" s="103"/>
      <c r="E26" s="112">
        <v>11</v>
      </c>
      <c r="F26" s="122" t="s">
        <v>522</v>
      </c>
      <c r="G26" s="114"/>
      <c r="H26" s="114"/>
      <c r="I26" s="114"/>
      <c r="J26" s="114"/>
      <c r="K26" s="114"/>
      <c r="L26" s="114"/>
      <c r="M26" s="114"/>
      <c r="N26" s="115"/>
      <c r="O26" s="127" t="s">
        <v>523</v>
      </c>
      <c r="P26" s="125"/>
      <c r="Q26" s="125"/>
      <c r="R26" s="125"/>
      <c r="S26" s="125"/>
      <c r="T26" s="125"/>
      <c r="U26" s="125"/>
      <c r="V26" s="126"/>
      <c r="W26" s="120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5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5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</row>
    <row r="27" spans="1:100" s="81" customFormat="1" ht="15" customHeight="1">
      <c r="A27" s="102"/>
      <c r="B27" s="103"/>
      <c r="C27" s="103"/>
      <c r="D27" s="103"/>
      <c r="E27" s="112">
        <v>12</v>
      </c>
      <c r="F27" s="122" t="s">
        <v>524</v>
      </c>
      <c r="G27" s="114"/>
      <c r="H27" s="114"/>
      <c r="I27" s="114"/>
      <c r="J27" s="114"/>
      <c r="K27" s="114"/>
      <c r="L27" s="114"/>
      <c r="M27" s="114"/>
      <c r="N27" s="115"/>
      <c r="O27" s="127" t="s">
        <v>525</v>
      </c>
      <c r="P27" s="125"/>
      <c r="Q27" s="125"/>
      <c r="R27" s="125"/>
      <c r="S27" s="125"/>
      <c r="T27" s="125"/>
      <c r="U27" s="125"/>
      <c r="V27" s="126"/>
      <c r="W27" s="120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5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5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</row>
    <row r="28" spans="1:100" s="112" customFormat="1" ht="15" customHeight="1">
      <c r="A28" s="111"/>
      <c r="E28" s="112">
        <v>13</v>
      </c>
      <c r="F28" s="113" t="s">
        <v>526</v>
      </c>
      <c r="G28" s="114"/>
      <c r="H28" s="114"/>
      <c r="I28" s="114"/>
      <c r="J28" s="114"/>
      <c r="K28" s="114"/>
      <c r="L28" s="114"/>
      <c r="M28" s="114"/>
      <c r="N28" s="115"/>
      <c r="O28" s="116" t="s">
        <v>527</v>
      </c>
      <c r="P28" s="114"/>
      <c r="Q28" s="114"/>
      <c r="R28" s="114"/>
      <c r="S28" s="114"/>
      <c r="T28" s="114"/>
      <c r="U28" s="114"/>
      <c r="V28" s="115"/>
      <c r="W28" s="117" t="s">
        <v>528</v>
      </c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5"/>
      <c r="BE28" s="118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  <c r="CN28" s="119"/>
      <c r="CO28" s="119"/>
      <c r="CP28" s="119"/>
      <c r="CQ28" s="119"/>
      <c r="CR28" s="119"/>
      <c r="CS28" s="119"/>
      <c r="CT28" s="119"/>
      <c r="CU28" s="119"/>
      <c r="CV28" s="119"/>
    </row>
    <row r="29" spans="1:100" s="112" customFormat="1" ht="15" customHeight="1">
      <c r="A29" s="111"/>
      <c r="E29" s="112">
        <v>14</v>
      </c>
      <c r="F29" s="113" t="s">
        <v>529</v>
      </c>
      <c r="G29" s="114"/>
      <c r="H29" s="114"/>
      <c r="I29" s="114"/>
      <c r="J29" s="114"/>
      <c r="K29" s="114"/>
      <c r="L29" s="114"/>
      <c r="M29" s="114"/>
      <c r="N29" s="115"/>
      <c r="O29" s="116" t="s">
        <v>530</v>
      </c>
      <c r="P29" s="114"/>
      <c r="Q29" s="114"/>
      <c r="R29" s="114"/>
      <c r="S29" s="114"/>
      <c r="T29" s="114"/>
      <c r="U29" s="114"/>
      <c r="V29" s="115"/>
      <c r="W29" s="120" t="s">
        <v>531</v>
      </c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5"/>
      <c r="BE29" s="118"/>
      <c r="BG29" s="119"/>
      <c r="BH29" s="119"/>
      <c r="BI29" s="119"/>
      <c r="BJ29" s="119"/>
      <c r="BK29" s="119"/>
      <c r="BL29" s="119"/>
      <c r="BM29" s="119"/>
      <c r="BN29" s="119"/>
      <c r="BO29" s="119"/>
      <c r="BP29" s="119"/>
      <c r="BQ29" s="119"/>
      <c r="BR29" s="119"/>
      <c r="BS29" s="119"/>
      <c r="BT29" s="119"/>
      <c r="BU29" s="119"/>
      <c r="BV29" s="119"/>
      <c r="BW29" s="119"/>
      <c r="BX29" s="119"/>
      <c r="BY29" s="119"/>
      <c r="BZ29" s="119"/>
      <c r="CA29" s="119"/>
      <c r="CB29" s="119"/>
      <c r="CC29" s="119"/>
      <c r="CD29" s="119"/>
      <c r="CE29" s="119"/>
      <c r="CF29" s="119"/>
      <c r="CG29" s="119"/>
      <c r="CH29" s="119"/>
      <c r="CI29" s="119"/>
      <c r="CJ29" s="119"/>
      <c r="CK29" s="119"/>
      <c r="CL29" s="119"/>
      <c r="CM29" s="119"/>
      <c r="CN29" s="119"/>
      <c r="CO29" s="119"/>
      <c r="CP29" s="119"/>
      <c r="CQ29" s="119"/>
      <c r="CR29" s="119"/>
      <c r="CS29" s="119"/>
      <c r="CT29" s="119"/>
      <c r="CU29" s="119"/>
      <c r="CV29" s="119"/>
    </row>
    <row r="30" spans="1:100" s="112" customFormat="1" ht="15" customHeight="1">
      <c r="A30" s="111"/>
      <c r="E30" s="112">
        <v>15</v>
      </c>
      <c r="F30" s="128" t="s">
        <v>532</v>
      </c>
      <c r="G30" s="114"/>
      <c r="H30" s="114"/>
      <c r="I30" s="114"/>
      <c r="J30" s="114"/>
      <c r="K30" s="114"/>
      <c r="L30" s="114"/>
      <c r="M30" s="114"/>
      <c r="N30" s="115"/>
      <c r="O30" s="116" t="s">
        <v>533</v>
      </c>
      <c r="P30" s="114"/>
      <c r="Q30" s="114"/>
      <c r="R30" s="114"/>
      <c r="S30" s="114"/>
      <c r="T30" s="114"/>
      <c r="U30" s="114"/>
      <c r="V30" s="115"/>
      <c r="W30" s="117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5"/>
      <c r="BE30" s="118"/>
      <c r="BG30" s="119"/>
      <c r="BH30" s="119"/>
      <c r="BI30" s="119"/>
      <c r="BJ30" s="119"/>
      <c r="BK30" s="119"/>
      <c r="BL30" s="119"/>
      <c r="BM30" s="119"/>
      <c r="BN30" s="119"/>
      <c r="BO30" s="119"/>
      <c r="BP30" s="119"/>
      <c r="BQ30" s="119"/>
      <c r="BR30" s="119"/>
      <c r="BS30" s="119"/>
      <c r="BT30" s="119"/>
      <c r="BU30" s="119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19"/>
      <c r="CL30" s="119"/>
      <c r="CM30" s="119"/>
      <c r="CN30" s="119"/>
      <c r="CO30" s="119"/>
      <c r="CP30" s="119"/>
      <c r="CQ30" s="119"/>
      <c r="CR30" s="119"/>
      <c r="CS30" s="119"/>
      <c r="CT30" s="119"/>
      <c r="CU30" s="119"/>
      <c r="CV30" s="119"/>
    </row>
    <row r="31" spans="1:100" s="112" customFormat="1" ht="15" customHeight="1">
      <c r="A31" s="111"/>
      <c r="E31" s="112">
        <v>16</v>
      </c>
      <c r="F31" s="128" t="s">
        <v>534</v>
      </c>
      <c r="G31" s="114"/>
      <c r="H31" s="114"/>
      <c r="I31" s="114"/>
      <c r="J31" s="114"/>
      <c r="K31" s="114"/>
      <c r="L31" s="114"/>
      <c r="M31" s="114"/>
      <c r="N31" s="115"/>
      <c r="O31" s="116" t="s">
        <v>535</v>
      </c>
      <c r="P31" s="114"/>
      <c r="Q31" s="114"/>
      <c r="R31" s="114"/>
      <c r="S31" s="114"/>
      <c r="T31" s="114"/>
      <c r="U31" s="114"/>
      <c r="V31" s="115"/>
      <c r="W31" s="120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5"/>
      <c r="BE31" s="118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19"/>
      <c r="CL31" s="119"/>
      <c r="CM31" s="119"/>
      <c r="CN31" s="119"/>
      <c r="CO31" s="119"/>
      <c r="CP31" s="119"/>
      <c r="CQ31" s="119"/>
      <c r="CR31" s="119"/>
      <c r="CS31" s="119"/>
      <c r="CT31" s="119"/>
      <c r="CU31" s="119"/>
      <c r="CV31" s="119"/>
    </row>
    <row r="32" spans="1:100" s="112" customFormat="1" ht="15" customHeight="1">
      <c r="A32" s="111"/>
      <c r="E32" s="112">
        <v>17</v>
      </c>
      <c r="F32" s="128" t="s">
        <v>20</v>
      </c>
      <c r="G32" s="114"/>
      <c r="H32" s="114"/>
      <c r="I32" s="114"/>
      <c r="J32" s="114"/>
      <c r="K32" s="114"/>
      <c r="L32" s="114"/>
      <c r="M32" s="114"/>
      <c r="N32" s="115"/>
      <c r="O32" s="116" t="s">
        <v>536</v>
      </c>
      <c r="P32" s="114"/>
      <c r="Q32" s="114"/>
      <c r="R32" s="114"/>
      <c r="S32" s="114"/>
      <c r="T32" s="114"/>
      <c r="U32" s="114"/>
      <c r="V32" s="115"/>
      <c r="W32" s="120" t="s">
        <v>502</v>
      </c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5"/>
      <c r="BE32" s="118"/>
      <c r="BG32" s="119"/>
      <c r="BH32" s="119"/>
      <c r="BI32" s="119"/>
      <c r="BJ32" s="119"/>
      <c r="BK32" s="119"/>
      <c r="BL32" s="119"/>
      <c r="BM32" s="119"/>
      <c r="BN32" s="119"/>
      <c r="BO32" s="119"/>
      <c r="BP32" s="119"/>
      <c r="BQ32" s="119"/>
      <c r="BR32" s="119"/>
      <c r="BS32" s="119"/>
      <c r="BT32" s="119"/>
      <c r="BU32" s="119"/>
      <c r="BV32" s="119"/>
      <c r="BW32" s="119"/>
      <c r="BX32" s="119"/>
      <c r="BY32" s="119"/>
      <c r="BZ32" s="119"/>
      <c r="CA32" s="119"/>
      <c r="CB32" s="119"/>
      <c r="CC32" s="119"/>
      <c r="CD32" s="119"/>
      <c r="CE32" s="119"/>
      <c r="CF32" s="119"/>
      <c r="CG32" s="119"/>
      <c r="CH32" s="119"/>
      <c r="CI32" s="119"/>
      <c r="CJ32" s="119"/>
      <c r="CK32" s="119"/>
      <c r="CL32" s="119"/>
      <c r="CM32" s="119"/>
      <c r="CN32" s="119"/>
      <c r="CO32" s="119"/>
      <c r="CP32" s="119"/>
      <c r="CQ32" s="119"/>
      <c r="CR32" s="119"/>
      <c r="CS32" s="119"/>
      <c r="CT32" s="119"/>
      <c r="CU32" s="119"/>
      <c r="CV32" s="119"/>
    </row>
    <row r="33" spans="1:100" s="112" customFormat="1" ht="15" customHeight="1">
      <c r="A33" s="111"/>
      <c r="E33" s="112">
        <v>18</v>
      </c>
      <c r="F33" s="113" t="s">
        <v>49</v>
      </c>
      <c r="G33" s="114"/>
      <c r="H33" s="114"/>
      <c r="I33" s="114"/>
      <c r="J33" s="114"/>
      <c r="K33" s="114"/>
      <c r="L33" s="114"/>
      <c r="M33" s="114"/>
      <c r="N33" s="115"/>
      <c r="O33" s="116" t="s">
        <v>537</v>
      </c>
      <c r="P33" s="114"/>
      <c r="Q33" s="114"/>
      <c r="R33" s="114"/>
      <c r="S33" s="114"/>
      <c r="T33" s="114"/>
      <c r="U33" s="114"/>
      <c r="V33" s="115"/>
      <c r="W33" s="120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5"/>
      <c r="BE33" s="118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19"/>
      <c r="BZ33" s="119"/>
      <c r="CA33" s="119"/>
      <c r="CB33" s="119"/>
      <c r="CC33" s="119"/>
      <c r="CD33" s="119"/>
      <c r="CE33" s="119"/>
      <c r="CF33" s="119"/>
      <c r="CG33" s="119"/>
      <c r="CH33" s="119"/>
      <c r="CI33" s="119"/>
      <c r="CJ33" s="119"/>
      <c r="CK33" s="119"/>
      <c r="CL33" s="119"/>
      <c r="CM33" s="119"/>
      <c r="CN33" s="119"/>
      <c r="CO33" s="119"/>
      <c r="CP33" s="119"/>
      <c r="CQ33" s="119"/>
      <c r="CR33" s="119"/>
      <c r="CS33" s="119"/>
      <c r="CT33" s="119"/>
      <c r="CU33" s="119"/>
      <c r="CV33" s="119"/>
    </row>
    <row r="34" spans="1:100" s="112" customFormat="1" ht="15" customHeight="1">
      <c r="A34" s="111"/>
      <c r="E34" s="112">
        <v>19</v>
      </c>
      <c r="F34" s="113" t="s">
        <v>51</v>
      </c>
      <c r="G34" s="114"/>
      <c r="H34" s="114"/>
      <c r="I34" s="114"/>
      <c r="J34" s="114"/>
      <c r="K34" s="114"/>
      <c r="L34" s="114"/>
      <c r="M34" s="114"/>
      <c r="N34" s="115"/>
      <c r="O34" s="116" t="s">
        <v>538</v>
      </c>
      <c r="P34" s="114"/>
      <c r="Q34" s="114"/>
      <c r="R34" s="114"/>
      <c r="S34" s="114"/>
      <c r="T34" s="114"/>
      <c r="U34" s="114"/>
      <c r="V34" s="115"/>
      <c r="W34" s="121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5"/>
      <c r="BE34" s="118"/>
      <c r="BG34" s="119"/>
      <c r="BH34" s="119"/>
      <c r="BI34" s="119"/>
      <c r="BJ34" s="119"/>
      <c r="BK34" s="119"/>
      <c r="BL34" s="119"/>
      <c r="BM34" s="119"/>
      <c r="BN34" s="119"/>
      <c r="BO34" s="119"/>
      <c r="BP34" s="119"/>
      <c r="BQ34" s="119"/>
      <c r="BR34" s="119"/>
      <c r="BS34" s="119"/>
      <c r="BT34" s="119"/>
      <c r="BU34" s="119"/>
      <c r="BV34" s="119"/>
      <c r="BW34" s="119"/>
      <c r="BX34" s="119"/>
      <c r="BY34" s="119"/>
      <c r="BZ34" s="119"/>
      <c r="CA34" s="119"/>
      <c r="CB34" s="119"/>
      <c r="CC34" s="119"/>
      <c r="CD34" s="119"/>
      <c r="CE34" s="119"/>
      <c r="CF34" s="119"/>
      <c r="CG34" s="119"/>
      <c r="CH34" s="119"/>
      <c r="CI34" s="119"/>
      <c r="CJ34" s="119"/>
      <c r="CK34" s="119"/>
      <c r="CL34" s="119"/>
      <c r="CM34" s="119"/>
      <c r="CN34" s="119"/>
      <c r="CO34" s="119"/>
      <c r="CP34" s="119"/>
      <c r="CQ34" s="119"/>
      <c r="CR34" s="119"/>
      <c r="CS34" s="119"/>
      <c r="CT34" s="119"/>
      <c r="CU34" s="119"/>
      <c r="CV34" s="119"/>
    </row>
    <row r="35" spans="1:100" s="112" customFormat="1" ht="15" customHeight="1">
      <c r="A35" s="111"/>
      <c r="E35" s="112">
        <v>20</v>
      </c>
      <c r="F35" s="113" t="s">
        <v>539</v>
      </c>
      <c r="G35" s="114"/>
      <c r="H35" s="114"/>
      <c r="I35" s="114"/>
      <c r="J35" s="114"/>
      <c r="K35" s="114"/>
      <c r="L35" s="114"/>
      <c r="M35" s="114"/>
      <c r="N35" s="115"/>
      <c r="O35" s="116" t="s">
        <v>540</v>
      </c>
      <c r="P35" s="114"/>
      <c r="Q35" s="114"/>
      <c r="R35" s="114"/>
      <c r="S35" s="114"/>
      <c r="T35" s="114"/>
      <c r="U35" s="114"/>
      <c r="V35" s="115"/>
      <c r="W35" s="120" t="s">
        <v>502</v>
      </c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5"/>
      <c r="BE35" s="118"/>
      <c r="BG35" s="119"/>
      <c r="BH35" s="119"/>
      <c r="BI35" s="119"/>
      <c r="BJ35" s="119"/>
      <c r="BK35" s="119"/>
      <c r="BL35" s="119"/>
      <c r="BM35" s="119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19"/>
      <c r="CL35" s="119"/>
      <c r="CM35" s="119"/>
      <c r="CN35" s="119"/>
      <c r="CO35" s="119"/>
      <c r="CP35" s="119"/>
      <c r="CQ35" s="119"/>
      <c r="CR35" s="119"/>
      <c r="CS35" s="119"/>
      <c r="CT35" s="119"/>
      <c r="CU35" s="119"/>
      <c r="CV35" s="119"/>
    </row>
    <row r="36" spans="1:100" s="112" customFormat="1" ht="15" customHeight="1">
      <c r="A36" s="111"/>
      <c r="E36" s="112">
        <v>21</v>
      </c>
      <c r="F36" s="113" t="s">
        <v>52</v>
      </c>
      <c r="G36" s="114"/>
      <c r="H36" s="114"/>
      <c r="I36" s="114"/>
      <c r="J36" s="114"/>
      <c r="K36" s="114"/>
      <c r="L36" s="114"/>
      <c r="M36" s="114"/>
      <c r="N36" s="115"/>
      <c r="O36" s="116" t="s">
        <v>541</v>
      </c>
      <c r="P36" s="114"/>
      <c r="Q36" s="114"/>
      <c r="R36" s="114"/>
      <c r="S36" s="114"/>
      <c r="T36" s="114"/>
      <c r="U36" s="114"/>
      <c r="V36" s="115"/>
      <c r="W36" s="121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5"/>
      <c r="BE36" s="118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19"/>
      <c r="CA36" s="119"/>
      <c r="CB36" s="119"/>
      <c r="CC36" s="119"/>
      <c r="CD36" s="119"/>
      <c r="CE36" s="119"/>
      <c r="CF36" s="119"/>
      <c r="CG36" s="119"/>
      <c r="CH36" s="119"/>
      <c r="CI36" s="119"/>
      <c r="CJ36" s="119"/>
      <c r="CK36" s="119"/>
      <c r="CL36" s="119"/>
      <c r="CM36" s="119"/>
      <c r="CN36" s="119"/>
      <c r="CO36" s="119"/>
      <c r="CP36" s="119"/>
      <c r="CQ36" s="119"/>
      <c r="CR36" s="119"/>
      <c r="CS36" s="119"/>
      <c r="CT36" s="119"/>
      <c r="CU36" s="119"/>
      <c r="CV36" s="119"/>
    </row>
    <row r="37" spans="1:100" s="112" customFormat="1" ht="15" customHeight="1">
      <c r="A37" s="111"/>
      <c r="E37" s="112">
        <v>22</v>
      </c>
      <c r="F37" s="122" t="s">
        <v>542</v>
      </c>
      <c r="G37" s="114"/>
      <c r="H37" s="114"/>
      <c r="I37" s="114"/>
      <c r="J37" s="114"/>
      <c r="K37" s="114"/>
      <c r="L37" s="114"/>
      <c r="M37" s="114"/>
      <c r="N37" s="115"/>
      <c r="O37" s="123" t="s">
        <v>543</v>
      </c>
      <c r="P37" s="114"/>
      <c r="Q37" s="114"/>
      <c r="R37" s="114"/>
      <c r="S37" s="114"/>
      <c r="T37" s="114"/>
      <c r="U37" s="114"/>
      <c r="V37" s="115"/>
      <c r="W37" s="120" t="s">
        <v>502</v>
      </c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5"/>
      <c r="BE37" s="118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19"/>
      <c r="CL37" s="119"/>
      <c r="CM37" s="119"/>
      <c r="CN37" s="119"/>
      <c r="CO37" s="119"/>
      <c r="CP37" s="119"/>
      <c r="CQ37" s="119"/>
      <c r="CR37" s="119"/>
      <c r="CS37" s="119"/>
      <c r="CT37" s="119"/>
      <c r="CU37" s="119"/>
      <c r="CV37" s="119"/>
    </row>
    <row r="38" spans="1:100" s="81" customFormat="1" ht="15" customHeight="1">
      <c r="A38" s="102"/>
      <c r="B38" s="103"/>
      <c r="C38" s="103"/>
      <c r="D38" s="103"/>
      <c r="E38" s="112">
        <v>23</v>
      </c>
      <c r="F38" s="122" t="s">
        <v>544</v>
      </c>
      <c r="G38" s="114"/>
      <c r="H38" s="114"/>
      <c r="I38" s="114"/>
      <c r="J38" s="114"/>
      <c r="K38" s="114"/>
      <c r="L38" s="114"/>
      <c r="M38" s="114"/>
      <c r="N38" s="115"/>
      <c r="O38" s="122" t="s">
        <v>545</v>
      </c>
      <c r="P38" s="114"/>
      <c r="Q38" s="114"/>
      <c r="R38" s="114"/>
      <c r="S38" s="114"/>
      <c r="T38" s="114"/>
      <c r="U38" s="114"/>
      <c r="V38" s="115"/>
      <c r="W38" s="120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5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5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</row>
    <row r="39" spans="1:100" s="81" customFormat="1" ht="15" customHeight="1">
      <c r="A39" s="102"/>
      <c r="B39" s="103"/>
      <c r="C39" s="103"/>
      <c r="D39" s="103"/>
      <c r="E39" s="112">
        <v>24</v>
      </c>
      <c r="F39" s="122" t="s">
        <v>546</v>
      </c>
      <c r="G39" s="114"/>
      <c r="H39" s="114"/>
      <c r="I39" s="114"/>
      <c r="J39" s="114"/>
      <c r="K39" s="114"/>
      <c r="L39" s="114"/>
      <c r="M39" s="114"/>
      <c r="N39" s="115"/>
      <c r="O39" s="129" t="s">
        <v>547</v>
      </c>
      <c r="P39" s="114"/>
      <c r="Q39" s="114"/>
      <c r="R39" s="114"/>
      <c r="S39" s="114"/>
      <c r="T39" s="114"/>
      <c r="U39" s="114"/>
      <c r="V39" s="115"/>
      <c r="W39" s="120" t="s">
        <v>502</v>
      </c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5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5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</row>
    <row r="40" spans="1:100" s="81" customFormat="1" ht="15" customHeight="1">
      <c r="A40" s="102"/>
      <c r="B40" s="103"/>
      <c r="C40" s="103"/>
      <c r="D40" s="103"/>
      <c r="E40" s="112">
        <v>25</v>
      </c>
      <c r="F40" s="122" t="s">
        <v>548</v>
      </c>
      <c r="G40" s="114"/>
      <c r="H40" s="114"/>
      <c r="I40" s="114"/>
      <c r="J40" s="114"/>
      <c r="K40" s="114"/>
      <c r="L40" s="114"/>
      <c r="M40" s="114"/>
      <c r="N40" s="115"/>
      <c r="O40" s="123" t="s">
        <v>549</v>
      </c>
      <c r="P40" s="114"/>
      <c r="Q40" s="114"/>
      <c r="R40" s="114"/>
      <c r="S40" s="114"/>
      <c r="T40" s="114"/>
      <c r="U40" s="114"/>
      <c r="V40" s="115"/>
      <c r="W40" s="120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5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5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</row>
    <row r="41" spans="1:100" s="81" customFormat="1" ht="15" customHeight="1">
      <c r="A41" s="102"/>
      <c r="B41" s="103"/>
      <c r="C41" s="103"/>
      <c r="D41" s="103"/>
      <c r="E41" s="112">
        <v>26</v>
      </c>
      <c r="F41" s="122" t="s">
        <v>550</v>
      </c>
      <c r="G41" s="114"/>
      <c r="H41" s="114"/>
      <c r="I41" s="114"/>
      <c r="J41" s="114"/>
      <c r="K41" s="114"/>
      <c r="L41" s="114"/>
      <c r="M41" s="114"/>
      <c r="N41" s="115"/>
      <c r="O41" s="123" t="s">
        <v>551</v>
      </c>
      <c r="P41" s="114"/>
      <c r="Q41" s="114"/>
      <c r="R41" s="114"/>
      <c r="S41" s="114"/>
      <c r="T41" s="114"/>
      <c r="U41" s="114"/>
      <c r="V41" s="115"/>
      <c r="W41" s="120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5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5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</row>
    <row r="42" spans="1:100" s="112" customFormat="1" ht="15" customHeight="1">
      <c r="A42" s="111"/>
      <c r="E42" s="112">
        <v>27</v>
      </c>
      <c r="F42" s="128" t="s">
        <v>552</v>
      </c>
      <c r="G42" s="114"/>
      <c r="H42" s="114"/>
      <c r="I42" s="114"/>
      <c r="J42" s="114"/>
      <c r="K42" s="114"/>
      <c r="L42" s="114"/>
      <c r="M42" s="114"/>
      <c r="N42" s="115"/>
      <c r="O42" s="116" t="s">
        <v>553</v>
      </c>
      <c r="P42" s="114"/>
      <c r="Q42" s="114"/>
      <c r="R42" s="114"/>
      <c r="S42" s="114"/>
      <c r="T42" s="114"/>
      <c r="U42" s="114"/>
      <c r="V42" s="115"/>
      <c r="W42" s="117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5"/>
      <c r="BE42" s="118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</row>
    <row r="43" spans="1:100" s="112" customFormat="1" ht="15" customHeight="1">
      <c r="A43" s="111"/>
      <c r="E43" s="112">
        <v>28</v>
      </c>
      <c r="F43" s="128" t="s">
        <v>554</v>
      </c>
      <c r="G43" s="114"/>
      <c r="H43" s="114"/>
      <c r="I43" s="114"/>
      <c r="J43" s="114"/>
      <c r="K43" s="114"/>
      <c r="L43" s="114"/>
      <c r="M43" s="114"/>
      <c r="N43" s="115"/>
      <c r="O43" s="116" t="s">
        <v>555</v>
      </c>
      <c r="P43" s="114"/>
      <c r="Q43" s="114"/>
      <c r="R43" s="114"/>
      <c r="S43" s="114"/>
      <c r="T43" s="114"/>
      <c r="U43" s="114"/>
      <c r="V43" s="115"/>
      <c r="W43" s="120" t="s">
        <v>502</v>
      </c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5"/>
      <c r="BE43" s="118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19"/>
      <c r="CL43" s="119"/>
      <c r="CM43" s="119"/>
      <c r="CN43" s="119"/>
      <c r="CO43" s="119"/>
      <c r="CP43" s="119"/>
      <c r="CQ43" s="119"/>
      <c r="CR43" s="119"/>
      <c r="CS43" s="119"/>
      <c r="CT43" s="119"/>
      <c r="CU43" s="119"/>
      <c r="CV43" s="119"/>
    </row>
    <row r="44" spans="1:100" s="112" customFormat="1" ht="15" customHeight="1">
      <c r="A44" s="111"/>
      <c r="E44" s="112">
        <v>29</v>
      </c>
      <c r="F44" s="128" t="s">
        <v>556</v>
      </c>
      <c r="G44" s="114"/>
      <c r="H44" s="114"/>
      <c r="I44" s="114"/>
      <c r="J44" s="114"/>
      <c r="K44" s="114"/>
      <c r="L44" s="114"/>
      <c r="M44" s="114"/>
      <c r="N44" s="115"/>
      <c r="O44" s="116" t="s">
        <v>557</v>
      </c>
      <c r="P44" s="114"/>
      <c r="Q44" s="114"/>
      <c r="R44" s="114"/>
      <c r="S44" s="114"/>
      <c r="T44" s="114"/>
      <c r="U44" s="114"/>
      <c r="V44" s="115"/>
      <c r="W44" s="120" t="s">
        <v>558</v>
      </c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5"/>
      <c r="BE44" s="118"/>
      <c r="BG44" s="119"/>
      <c r="BH44" s="119"/>
      <c r="BI44" s="119"/>
      <c r="BJ44" s="119"/>
      <c r="BK44" s="119"/>
      <c r="BL44" s="119"/>
      <c r="BM44" s="119"/>
      <c r="BN44" s="119"/>
      <c r="BO44" s="119"/>
      <c r="BP44" s="119"/>
      <c r="BQ44" s="119"/>
      <c r="BR44" s="119"/>
      <c r="BS44" s="119"/>
      <c r="BT44" s="119"/>
      <c r="BU44" s="119"/>
      <c r="BV44" s="119"/>
      <c r="BW44" s="119"/>
      <c r="BX44" s="119"/>
      <c r="BY44" s="119"/>
      <c r="BZ44" s="119"/>
      <c r="CA44" s="119"/>
      <c r="CB44" s="119"/>
      <c r="CC44" s="119"/>
      <c r="CD44" s="119"/>
      <c r="CE44" s="119"/>
      <c r="CF44" s="119"/>
      <c r="CG44" s="119"/>
      <c r="CH44" s="119"/>
      <c r="CI44" s="119"/>
      <c r="CJ44" s="119"/>
      <c r="CK44" s="119"/>
      <c r="CL44" s="119"/>
      <c r="CM44" s="119"/>
      <c r="CN44" s="119"/>
      <c r="CO44" s="119"/>
      <c r="CP44" s="119"/>
      <c r="CQ44" s="119"/>
      <c r="CR44" s="119"/>
      <c r="CS44" s="119"/>
      <c r="CT44" s="119"/>
      <c r="CU44" s="119"/>
      <c r="CV44" s="119"/>
    </row>
    <row r="45" spans="1:100" s="112" customFormat="1" ht="15" customHeight="1">
      <c r="A45" s="111"/>
      <c r="E45" s="112">
        <v>30</v>
      </c>
      <c r="F45" s="128" t="s">
        <v>559</v>
      </c>
      <c r="G45" s="114"/>
      <c r="H45" s="114"/>
      <c r="I45" s="114"/>
      <c r="J45" s="114"/>
      <c r="K45" s="114"/>
      <c r="L45" s="114"/>
      <c r="M45" s="114"/>
      <c r="N45" s="115"/>
      <c r="O45" s="116" t="s">
        <v>560</v>
      </c>
      <c r="P45" s="114"/>
      <c r="Q45" s="114"/>
      <c r="R45" s="114"/>
      <c r="S45" s="114"/>
      <c r="T45" s="114"/>
      <c r="U45" s="114"/>
      <c r="V45" s="115"/>
      <c r="W45" s="120" t="s">
        <v>502</v>
      </c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5"/>
      <c r="BE45" s="118"/>
      <c r="BG45" s="119"/>
      <c r="BH45" s="119"/>
      <c r="BI45" s="119"/>
      <c r="BJ45" s="119"/>
      <c r="BK45" s="119"/>
      <c r="BL45" s="119"/>
      <c r="BM45" s="119"/>
      <c r="BN45" s="119"/>
      <c r="BO45" s="119"/>
      <c r="BP45" s="119"/>
      <c r="BQ45" s="119"/>
      <c r="BR45" s="119"/>
      <c r="BS45" s="119"/>
      <c r="BT45" s="119"/>
      <c r="BU45" s="119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19"/>
      <c r="CH45" s="119"/>
      <c r="CI45" s="119"/>
      <c r="CJ45" s="119"/>
      <c r="CK45" s="119"/>
      <c r="CL45" s="119"/>
      <c r="CM45" s="119"/>
      <c r="CN45" s="119"/>
      <c r="CO45" s="119"/>
      <c r="CP45" s="119"/>
      <c r="CQ45" s="119"/>
      <c r="CR45" s="119"/>
      <c r="CS45" s="119"/>
      <c r="CT45" s="119"/>
      <c r="CU45" s="119"/>
      <c r="CV45" s="119"/>
    </row>
    <row r="46" spans="1:100" s="112" customFormat="1" ht="15" customHeight="1">
      <c r="A46" s="111"/>
      <c r="E46" s="112">
        <v>31</v>
      </c>
      <c r="F46" s="113" t="s">
        <v>561</v>
      </c>
      <c r="G46" s="114"/>
      <c r="H46" s="114"/>
      <c r="I46" s="114"/>
      <c r="J46" s="114"/>
      <c r="K46" s="114"/>
      <c r="L46" s="114"/>
      <c r="M46" s="114"/>
      <c r="N46" s="115"/>
      <c r="O46" s="116" t="s">
        <v>562</v>
      </c>
      <c r="P46" s="114"/>
      <c r="Q46" s="114"/>
      <c r="R46" s="114"/>
      <c r="S46" s="114"/>
      <c r="T46" s="114"/>
      <c r="U46" s="114"/>
      <c r="V46" s="115"/>
      <c r="W46" s="120" t="s">
        <v>558</v>
      </c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5"/>
      <c r="BE46" s="118"/>
      <c r="BG46" s="119"/>
      <c r="BH46" s="119"/>
      <c r="BI46" s="119"/>
      <c r="BJ46" s="119"/>
      <c r="BK46" s="119"/>
      <c r="BL46" s="119"/>
      <c r="BM46" s="119"/>
      <c r="BN46" s="119"/>
      <c r="BO46" s="119"/>
      <c r="BP46" s="119"/>
      <c r="BQ46" s="119"/>
      <c r="BR46" s="119"/>
      <c r="BS46" s="119"/>
      <c r="BT46" s="119"/>
      <c r="BU46" s="119"/>
      <c r="BV46" s="119"/>
      <c r="BW46" s="119"/>
      <c r="BX46" s="119"/>
      <c r="BY46" s="119"/>
      <c r="BZ46" s="119"/>
      <c r="CA46" s="119"/>
      <c r="CB46" s="119"/>
      <c r="CC46" s="119"/>
      <c r="CD46" s="119"/>
      <c r="CE46" s="119"/>
      <c r="CF46" s="119"/>
      <c r="CG46" s="119"/>
      <c r="CH46" s="119"/>
      <c r="CI46" s="119"/>
      <c r="CJ46" s="119"/>
      <c r="CK46" s="119"/>
      <c r="CL46" s="119"/>
      <c r="CM46" s="119"/>
      <c r="CN46" s="119"/>
      <c r="CO46" s="119"/>
      <c r="CP46" s="119"/>
      <c r="CQ46" s="119"/>
      <c r="CR46" s="119"/>
      <c r="CS46" s="119"/>
      <c r="CT46" s="119"/>
      <c r="CU46" s="119"/>
      <c r="CV46" s="119"/>
    </row>
    <row r="47" spans="1:100" s="112" customFormat="1" ht="15" customHeight="1">
      <c r="A47" s="111"/>
      <c r="E47" s="112">
        <v>32</v>
      </c>
      <c r="F47" s="113" t="s">
        <v>563</v>
      </c>
      <c r="G47" s="114"/>
      <c r="H47" s="114"/>
      <c r="I47" s="114"/>
      <c r="J47" s="114"/>
      <c r="K47" s="114"/>
      <c r="L47" s="114"/>
      <c r="M47" s="114"/>
      <c r="N47" s="115"/>
      <c r="O47" s="116" t="s">
        <v>564</v>
      </c>
      <c r="P47" s="114"/>
      <c r="Q47" s="114"/>
      <c r="R47" s="114"/>
      <c r="S47" s="114"/>
      <c r="T47" s="114"/>
      <c r="U47" s="114"/>
      <c r="V47" s="115"/>
      <c r="W47" s="120" t="s">
        <v>502</v>
      </c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5"/>
      <c r="BE47" s="118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</row>
    <row r="48" spans="1:100" s="81" customFormat="1" ht="15" customHeight="1">
      <c r="A48" s="130"/>
      <c r="B48" s="131"/>
      <c r="C48" s="131"/>
      <c r="D48" s="132"/>
      <c r="E48" s="133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1"/>
      <c r="BE48" s="134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</row>
    <row r="49" spans="1:100" s="81" customFormat="1" ht="15" customHeight="1">
      <c r="A49" s="102"/>
      <c r="B49" s="103"/>
      <c r="C49" s="103"/>
      <c r="D49" s="104"/>
      <c r="E49" s="92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103"/>
      <c r="BE49" s="105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U49" s="106"/>
      <c r="CV49" s="106"/>
    </row>
    <row r="50" spans="1:100" s="112" customFormat="1" ht="15" customHeight="1">
      <c r="A50" s="111"/>
      <c r="E50" s="112">
        <v>33</v>
      </c>
      <c r="F50" s="113" t="s">
        <v>57</v>
      </c>
      <c r="G50" s="114"/>
      <c r="H50" s="114"/>
      <c r="I50" s="114"/>
      <c r="J50" s="114"/>
      <c r="K50" s="114"/>
      <c r="L50" s="114"/>
      <c r="M50" s="114"/>
      <c r="N50" s="115"/>
      <c r="O50" s="116" t="s">
        <v>565</v>
      </c>
      <c r="P50" s="114"/>
      <c r="Q50" s="114"/>
      <c r="R50" s="114"/>
      <c r="S50" s="114"/>
      <c r="T50" s="114"/>
      <c r="U50" s="114"/>
      <c r="V50" s="115"/>
      <c r="W50" s="121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5"/>
      <c r="BE50" s="118"/>
      <c r="BG50" s="119"/>
      <c r="BH50" s="119"/>
      <c r="BI50" s="119"/>
      <c r="BJ50" s="119"/>
      <c r="BK50" s="119"/>
      <c r="BL50" s="119"/>
      <c r="BM50" s="119"/>
      <c r="BN50" s="119"/>
      <c r="BO50" s="119"/>
      <c r="BP50" s="119"/>
      <c r="BQ50" s="119"/>
      <c r="BR50" s="119"/>
      <c r="BS50" s="119"/>
      <c r="BT50" s="119"/>
      <c r="BU50" s="119"/>
      <c r="BV50" s="119"/>
      <c r="BW50" s="119"/>
      <c r="BX50" s="119"/>
      <c r="BY50" s="119"/>
      <c r="BZ50" s="119"/>
      <c r="CA50" s="119"/>
      <c r="CB50" s="119"/>
      <c r="CC50" s="119"/>
      <c r="CD50" s="119"/>
      <c r="CE50" s="119"/>
      <c r="CF50" s="119"/>
      <c r="CG50" s="119"/>
      <c r="CH50" s="119"/>
      <c r="CI50" s="119"/>
      <c r="CJ50" s="119"/>
      <c r="CK50" s="119"/>
      <c r="CL50" s="119"/>
      <c r="CM50" s="119"/>
      <c r="CN50" s="119"/>
      <c r="CO50" s="119"/>
      <c r="CP50" s="119"/>
      <c r="CQ50" s="119"/>
      <c r="CR50" s="119"/>
      <c r="CS50" s="119"/>
      <c r="CT50" s="119"/>
      <c r="CU50" s="119"/>
      <c r="CV50" s="119"/>
    </row>
    <row r="51" spans="1:100" s="112" customFormat="1" ht="15" customHeight="1">
      <c r="A51" s="111"/>
      <c r="E51" s="112">
        <v>34</v>
      </c>
      <c r="F51" s="122" t="s">
        <v>566</v>
      </c>
      <c r="G51" s="114"/>
      <c r="H51" s="114"/>
      <c r="I51" s="114"/>
      <c r="J51" s="114"/>
      <c r="K51" s="114"/>
      <c r="L51" s="114"/>
      <c r="M51" s="114"/>
      <c r="N51" s="115"/>
      <c r="O51" s="123" t="s">
        <v>567</v>
      </c>
      <c r="P51" s="114"/>
      <c r="Q51" s="114"/>
      <c r="R51" s="114"/>
      <c r="S51" s="114"/>
      <c r="T51" s="114"/>
      <c r="U51" s="114"/>
      <c r="V51" s="115"/>
      <c r="W51" s="120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5"/>
      <c r="BE51" s="118"/>
      <c r="BG51" s="119"/>
      <c r="BH51" s="119"/>
      <c r="BI51" s="119"/>
      <c r="BJ51" s="119"/>
      <c r="BK51" s="119"/>
      <c r="BL51" s="119"/>
      <c r="BM51" s="119"/>
      <c r="BN51" s="119"/>
      <c r="BO51" s="119"/>
      <c r="BP51" s="119"/>
      <c r="BQ51" s="119"/>
      <c r="BR51" s="119"/>
      <c r="BS51" s="119"/>
      <c r="BT51" s="119"/>
      <c r="BU51" s="119"/>
      <c r="BV51" s="119"/>
      <c r="BW51" s="119"/>
      <c r="BX51" s="119"/>
      <c r="BY51" s="119"/>
      <c r="BZ51" s="119"/>
      <c r="CA51" s="119"/>
      <c r="CB51" s="119"/>
      <c r="CC51" s="119"/>
      <c r="CD51" s="119"/>
      <c r="CE51" s="119"/>
      <c r="CF51" s="119"/>
      <c r="CG51" s="119"/>
      <c r="CH51" s="119"/>
      <c r="CI51" s="119"/>
      <c r="CJ51" s="119"/>
      <c r="CK51" s="119"/>
      <c r="CL51" s="119"/>
      <c r="CM51" s="119"/>
      <c r="CN51" s="119"/>
      <c r="CO51" s="119"/>
      <c r="CP51" s="119"/>
      <c r="CQ51" s="119"/>
      <c r="CR51" s="119"/>
      <c r="CS51" s="119"/>
      <c r="CT51" s="119"/>
      <c r="CU51" s="119"/>
      <c r="CV51" s="119"/>
    </row>
    <row r="52" spans="1:100" s="81" customFormat="1" ht="15" customHeight="1">
      <c r="A52" s="102"/>
      <c r="B52" s="103"/>
      <c r="C52" s="103"/>
      <c r="D52" s="103"/>
      <c r="E52" s="112">
        <v>35</v>
      </c>
      <c r="F52" s="122" t="s">
        <v>266</v>
      </c>
      <c r="G52" s="114"/>
      <c r="H52" s="114"/>
      <c r="I52" s="114"/>
      <c r="J52" s="114"/>
      <c r="K52" s="114"/>
      <c r="L52" s="114"/>
      <c r="M52" s="114"/>
      <c r="N52" s="115"/>
      <c r="O52" s="122" t="s">
        <v>568</v>
      </c>
      <c r="P52" s="114"/>
      <c r="Q52" s="114"/>
      <c r="R52" s="114"/>
      <c r="S52" s="114"/>
      <c r="T52" s="114"/>
      <c r="U52" s="114"/>
      <c r="V52" s="115"/>
      <c r="W52" s="120" t="s">
        <v>558</v>
      </c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5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5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106"/>
      <c r="CV52" s="106"/>
    </row>
    <row r="53" spans="1:100" s="81" customFormat="1" ht="15" customHeight="1">
      <c r="A53" s="102"/>
      <c r="B53" s="103"/>
      <c r="C53" s="103"/>
      <c r="D53" s="103"/>
      <c r="E53" s="112">
        <v>36</v>
      </c>
      <c r="F53" s="122" t="s">
        <v>569</v>
      </c>
      <c r="G53" s="114"/>
      <c r="H53" s="114"/>
      <c r="I53" s="114"/>
      <c r="J53" s="114"/>
      <c r="K53" s="114"/>
      <c r="L53" s="114"/>
      <c r="M53" s="114"/>
      <c r="N53" s="115"/>
      <c r="O53" s="129" t="s">
        <v>570</v>
      </c>
      <c r="P53" s="114"/>
      <c r="Q53" s="114"/>
      <c r="R53" s="114"/>
      <c r="S53" s="114"/>
      <c r="T53" s="114"/>
      <c r="U53" s="114"/>
      <c r="V53" s="115"/>
      <c r="W53" s="120" t="s">
        <v>502</v>
      </c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5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5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6"/>
      <c r="CV53" s="106"/>
    </row>
    <row r="54" spans="1:100" s="81" customFormat="1" ht="15" customHeight="1">
      <c r="A54" s="102"/>
      <c r="B54" s="103"/>
      <c r="C54" s="103"/>
      <c r="D54" s="103"/>
      <c r="E54" s="112">
        <v>37</v>
      </c>
      <c r="F54" s="122" t="s">
        <v>571</v>
      </c>
      <c r="G54" s="114"/>
      <c r="H54" s="114"/>
      <c r="I54" s="114"/>
      <c r="J54" s="114"/>
      <c r="K54" s="114"/>
      <c r="L54" s="114"/>
      <c r="M54" s="114"/>
      <c r="N54" s="115"/>
      <c r="O54" s="123" t="s">
        <v>572</v>
      </c>
      <c r="P54" s="114"/>
      <c r="Q54" s="114"/>
      <c r="R54" s="114"/>
      <c r="S54" s="114"/>
      <c r="T54" s="114"/>
      <c r="U54" s="114"/>
      <c r="V54" s="115"/>
      <c r="W54" s="120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5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5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106"/>
      <c r="CV54" s="106"/>
    </row>
    <row r="55" spans="1:100" s="81" customFormat="1" ht="15" customHeight="1">
      <c r="A55" s="102"/>
      <c r="B55" s="103"/>
      <c r="C55" s="103"/>
      <c r="D55" s="103"/>
      <c r="E55" s="112">
        <v>38</v>
      </c>
      <c r="F55" s="122" t="s">
        <v>573</v>
      </c>
      <c r="G55" s="114"/>
      <c r="H55" s="114"/>
      <c r="I55" s="114"/>
      <c r="J55" s="114"/>
      <c r="K55" s="114"/>
      <c r="L55" s="114"/>
      <c r="M55" s="114"/>
      <c r="N55" s="115"/>
      <c r="O55" s="123" t="s">
        <v>574</v>
      </c>
      <c r="P55" s="114"/>
      <c r="Q55" s="114"/>
      <c r="R55" s="114"/>
      <c r="S55" s="114"/>
      <c r="T55" s="114"/>
      <c r="U55" s="114"/>
      <c r="V55" s="115"/>
      <c r="W55" s="120" t="s">
        <v>502</v>
      </c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5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5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106"/>
      <c r="CV55" s="106"/>
    </row>
    <row r="56" spans="1:100" s="112" customFormat="1" ht="15" customHeight="1">
      <c r="A56" s="111"/>
      <c r="E56" s="112">
        <v>39</v>
      </c>
      <c r="F56" s="128" t="s">
        <v>575</v>
      </c>
      <c r="G56" s="114"/>
      <c r="H56" s="114"/>
      <c r="I56" s="114"/>
      <c r="J56" s="114"/>
      <c r="K56" s="114"/>
      <c r="L56" s="114"/>
      <c r="M56" s="114"/>
      <c r="N56" s="115"/>
      <c r="O56" s="116" t="s">
        <v>576</v>
      </c>
      <c r="P56" s="114"/>
      <c r="Q56" s="114"/>
      <c r="R56" s="114"/>
      <c r="S56" s="114"/>
      <c r="T56" s="114"/>
      <c r="U56" s="114"/>
      <c r="V56" s="115"/>
      <c r="W56" s="117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5"/>
      <c r="BE56" s="118"/>
      <c r="BG56" s="119"/>
      <c r="BH56" s="119"/>
      <c r="BI56" s="119"/>
      <c r="BJ56" s="119"/>
      <c r="BK56" s="119"/>
      <c r="BL56" s="119"/>
      <c r="BM56" s="119"/>
      <c r="BN56" s="119"/>
      <c r="BO56" s="119"/>
      <c r="BP56" s="119"/>
      <c r="BQ56" s="119"/>
      <c r="BR56" s="119"/>
      <c r="BS56" s="119"/>
      <c r="BT56" s="119"/>
      <c r="BU56" s="119"/>
      <c r="BV56" s="119"/>
      <c r="BW56" s="119"/>
      <c r="BX56" s="119"/>
      <c r="BY56" s="119"/>
      <c r="BZ56" s="119"/>
      <c r="CA56" s="119"/>
      <c r="CB56" s="119"/>
      <c r="CC56" s="119"/>
      <c r="CD56" s="119"/>
      <c r="CE56" s="119"/>
      <c r="CF56" s="119"/>
      <c r="CG56" s="119"/>
      <c r="CH56" s="119"/>
      <c r="CI56" s="119"/>
      <c r="CJ56" s="119"/>
      <c r="CK56" s="119"/>
      <c r="CL56" s="119"/>
      <c r="CM56" s="119"/>
      <c r="CN56" s="119"/>
      <c r="CO56" s="119"/>
      <c r="CP56" s="119"/>
      <c r="CQ56" s="119"/>
      <c r="CR56" s="119"/>
      <c r="CS56" s="119"/>
      <c r="CT56" s="119"/>
      <c r="CU56" s="119"/>
      <c r="CV56" s="119"/>
    </row>
    <row r="57" spans="1:100" s="112" customFormat="1" ht="15" customHeight="1">
      <c r="A57" s="111"/>
      <c r="E57" s="112">
        <v>40</v>
      </c>
      <c r="F57" s="128" t="s">
        <v>577</v>
      </c>
      <c r="G57" s="114"/>
      <c r="H57" s="114"/>
      <c r="I57" s="114"/>
      <c r="J57" s="114"/>
      <c r="K57" s="114"/>
      <c r="L57" s="114"/>
      <c r="M57" s="114"/>
      <c r="N57" s="115"/>
      <c r="O57" s="116" t="s">
        <v>578</v>
      </c>
      <c r="P57" s="114"/>
      <c r="Q57" s="114"/>
      <c r="R57" s="114"/>
      <c r="S57" s="114"/>
      <c r="T57" s="114"/>
      <c r="U57" s="114"/>
      <c r="V57" s="115"/>
      <c r="W57" s="120" t="s">
        <v>502</v>
      </c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5"/>
      <c r="BE57" s="118"/>
      <c r="BG57" s="119"/>
      <c r="BH57" s="119"/>
      <c r="BI57" s="119"/>
      <c r="BJ57" s="119"/>
      <c r="BK57" s="119"/>
      <c r="BL57" s="119"/>
      <c r="BM57" s="119"/>
      <c r="BN57" s="119"/>
      <c r="BO57" s="119"/>
      <c r="BP57" s="119"/>
      <c r="BQ57" s="119"/>
      <c r="BR57" s="119"/>
      <c r="BS57" s="119"/>
      <c r="BT57" s="119"/>
      <c r="BU57" s="119"/>
      <c r="BV57" s="119"/>
      <c r="BW57" s="119"/>
      <c r="BX57" s="119"/>
      <c r="BY57" s="119"/>
      <c r="BZ57" s="119"/>
      <c r="CA57" s="119"/>
      <c r="CB57" s="119"/>
      <c r="CC57" s="119"/>
      <c r="CD57" s="119"/>
      <c r="CE57" s="119"/>
      <c r="CF57" s="119"/>
      <c r="CG57" s="119"/>
      <c r="CH57" s="119"/>
      <c r="CI57" s="119"/>
      <c r="CJ57" s="119"/>
      <c r="CK57" s="119"/>
      <c r="CL57" s="119"/>
      <c r="CM57" s="119"/>
      <c r="CN57" s="119"/>
      <c r="CO57" s="119"/>
      <c r="CP57" s="119"/>
      <c r="CQ57" s="119"/>
      <c r="CR57" s="119"/>
      <c r="CS57" s="119"/>
      <c r="CT57" s="119"/>
      <c r="CU57" s="119"/>
      <c r="CV57" s="119"/>
    </row>
    <row r="58" spans="1:100" s="112" customFormat="1" ht="15" customHeight="1">
      <c r="A58" s="111"/>
      <c r="E58" s="112">
        <v>41</v>
      </c>
      <c r="F58" s="128" t="s">
        <v>579</v>
      </c>
      <c r="G58" s="114"/>
      <c r="H58" s="114"/>
      <c r="I58" s="114"/>
      <c r="J58" s="114"/>
      <c r="K58" s="114"/>
      <c r="L58" s="114"/>
      <c r="M58" s="114"/>
      <c r="N58" s="115"/>
      <c r="O58" s="116" t="s">
        <v>580</v>
      </c>
      <c r="P58" s="114"/>
      <c r="Q58" s="114"/>
      <c r="R58" s="114"/>
      <c r="S58" s="114"/>
      <c r="T58" s="114"/>
      <c r="U58" s="114"/>
      <c r="V58" s="115"/>
      <c r="W58" s="120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5"/>
      <c r="BE58" s="118"/>
      <c r="BG58" s="119"/>
      <c r="BH58" s="119"/>
      <c r="BI58" s="119"/>
      <c r="BJ58" s="119"/>
      <c r="BK58" s="119"/>
      <c r="BL58" s="119"/>
      <c r="BM58" s="119"/>
      <c r="BN58" s="119"/>
      <c r="BO58" s="119"/>
      <c r="BP58" s="119"/>
      <c r="BQ58" s="119"/>
      <c r="BR58" s="119"/>
      <c r="BS58" s="119"/>
      <c r="BT58" s="119"/>
      <c r="BU58" s="119"/>
      <c r="BV58" s="119"/>
      <c r="BW58" s="119"/>
      <c r="BX58" s="119"/>
      <c r="BY58" s="119"/>
      <c r="BZ58" s="119"/>
      <c r="CA58" s="119"/>
      <c r="CB58" s="119"/>
      <c r="CC58" s="119"/>
      <c r="CD58" s="119"/>
      <c r="CE58" s="119"/>
      <c r="CF58" s="119"/>
      <c r="CG58" s="119"/>
      <c r="CH58" s="119"/>
      <c r="CI58" s="119"/>
      <c r="CJ58" s="119"/>
      <c r="CK58" s="119"/>
      <c r="CL58" s="119"/>
      <c r="CM58" s="119"/>
      <c r="CN58" s="119"/>
      <c r="CO58" s="119"/>
      <c r="CP58" s="119"/>
      <c r="CQ58" s="119"/>
      <c r="CR58" s="119"/>
      <c r="CS58" s="119"/>
      <c r="CT58" s="119"/>
      <c r="CU58" s="119"/>
      <c r="CV58" s="119"/>
    </row>
    <row r="59" spans="1:100" s="112" customFormat="1" ht="15" customHeight="1">
      <c r="A59" s="111"/>
      <c r="E59" s="112">
        <v>42</v>
      </c>
      <c r="F59" s="128" t="s">
        <v>581</v>
      </c>
      <c r="G59" s="114"/>
      <c r="H59" s="114"/>
      <c r="I59" s="114"/>
      <c r="J59" s="114"/>
      <c r="K59" s="114"/>
      <c r="L59" s="114"/>
      <c r="M59" s="114"/>
      <c r="N59" s="115"/>
      <c r="O59" s="116" t="s">
        <v>582</v>
      </c>
      <c r="P59" s="114"/>
      <c r="Q59" s="114"/>
      <c r="R59" s="114"/>
      <c r="S59" s="114"/>
      <c r="T59" s="114"/>
      <c r="U59" s="114"/>
      <c r="V59" s="115"/>
      <c r="W59" s="120" t="s">
        <v>502</v>
      </c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5"/>
      <c r="BE59" s="118"/>
      <c r="BG59" s="119"/>
      <c r="BH59" s="119"/>
      <c r="BI59" s="119"/>
      <c r="BJ59" s="119"/>
      <c r="BK59" s="119"/>
      <c r="BL59" s="119"/>
      <c r="BM59" s="119"/>
      <c r="BN59" s="119"/>
      <c r="BO59" s="119"/>
      <c r="BP59" s="119"/>
      <c r="BQ59" s="119"/>
      <c r="BR59" s="119"/>
      <c r="BS59" s="119"/>
      <c r="BT59" s="119"/>
      <c r="BU59" s="119"/>
      <c r="BV59" s="119"/>
      <c r="BW59" s="119"/>
      <c r="BX59" s="119"/>
      <c r="BY59" s="119"/>
      <c r="BZ59" s="119"/>
      <c r="CA59" s="119"/>
      <c r="CB59" s="119"/>
      <c r="CC59" s="119"/>
      <c r="CD59" s="119"/>
      <c r="CE59" s="119"/>
      <c r="CF59" s="119"/>
      <c r="CG59" s="119"/>
      <c r="CH59" s="119"/>
      <c r="CI59" s="119"/>
      <c r="CJ59" s="119"/>
      <c r="CK59" s="119"/>
      <c r="CL59" s="119"/>
      <c r="CM59" s="119"/>
      <c r="CN59" s="119"/>
      <c r="CO59" s="119"/>
      <c r="CP59" s="119"/>
      <c r="CQ59" s="119"/>
      <c r="CR59" s="119"/>
      <c r="CS59" s="119"/>
      <c r="CT59" s="119"/>
      <c r="CU59" s="119"/>
      <c r="CV59" s="119"/>
    </row>
    <row r="60" spans="1:100" s="112" customFormat="1" ht="15" customHeight="1">
      <c r="A60" s="111"/>
      <c r="E60" s="112">
        <v>43</v>
      </c>
      <c r="F60" s="113" t="s">
        <v>583</v>
      </c>
      <c r="G60" s="114"/>
      <c r="H60" s="114"/>
      <c r="I60" s="114"/>
      <c r="J60" s="114"/>
      <c r="K60" s="114"/>
      <c r="L60" s="114"/>
      <c r="M60" s="114"/>
      <c r="N60" s="115"/>
      <c r="O60" s="116" t="s">
        <v>584</v>
      </c>
      <c r="P60" s="114"/>
      <c r="Q60" s="114"/>
      <c r="R60" s="114"/>
      <c r="S60" s="114"/>
      <c r="T60" s="114"/>
      <c r="U60" s="114"/>
      <c r="V60" s="115"/>
      <c r="W60" s="121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5"/>
      <c r="BE60" s="118"/>
      <c r="BG60" s="119"/>
      <c r="BH60" s="119"/>
      <c r="BI60" s="119"/>
      <c r="BJ60" s="119"/>
      <c r="BK60" s="119"/>
      <c r="BL60" s="119"/>
      <c r="BM60" s="119"/>
      <c r="BN60" s="119"/>
      <c r="BO60" s="119"/>
      <c r="BP60" s="119"/>
      <c r="BQ60" s="119"/>
      <c r="BR60" s="119"/>
      <c r="BS60" s="119"/>
      <c r="BT60" s="119"/>
      <c r="BU60" s="119"/>
      <c r="BV60" s="119"/>
      <c r="BW60" s="119"/>
      <c r="BX60" s="119"/>
      <c r="BY60" s="119"/>
      <c r="BZ60" s="119"/>
      <c r="CA60" s="119"/>
      <c r="CB60" s="119"/>
      <c r="CC60" s="119"/>
      <c r="CD60" s="119"/>
      <c r="CE60" s="119"/>
      <c r="CF60" s="119"/>
      <c r="CG60" s="119"/>
      <c r="CH60" s="119"/>
      <c r="CI60" s="119"/>
      <c r="CJ60" s="119"/>
      <c r="CK60" s="119"/>
      <c r="CL60" s="119"/>
      <c r="CM60" s="119"/>
      <c r="CN60" s="119"/>
      <c r="CO60" s="119"/>
      <c r="CP60" s="119"/>
      <c r="CQ60" s="119"/>
      <c r="CR60" s="119"/>
      <c r="CS60" s="119"/>
      <c r="CT60" s="119"/>
      <c r="CU60" s="119"/>
      <c r="CV60" s="119"/>
    </row>
    <row r="61" spans="1:100" s="112" customFormat="1" ht="15" customHeight="1">
      <c r="A61" s="111"/>
      <c r="E61" s="112">
        <v>44</v>
      </c>
      <c r="F61" s="113" t="s">
        <v>585</v>
      </c>
      <c r="G61" s="114"/>
      <c r="H61" s="114"/>
      <c r="I61" s="114"/>
      <c r="J61" s="114"/>
      <c r="K61" s="114"/>
      <c r="L61" s="114"/>
      <c r="M61" s="114"/>
      <c r="N61" s="115"/>
      <c r="O61" s="116" t="s">
        <v>586</v>
      </c>
      <c r="P61" s="114"/>
      <c r="Q61" s="114"/>
      <c r="R61" s="114"/>
      <c r="S61" s="114"/>
      <c r="T61" s="114"/>
      <c r="U61" s="114"/>
      <c r="V61" s="115"/>
      <c r="W61" s="120" t="s">
        <v>502</v>
      </c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5"/>
      <c r="BE61" s="118"/>
      <c r="BG61" s="119"/>
      <c r="BH61" s="119"/>
      <c r="BI61" s="119"/>
      <c r="BJ61" s="119"/>
      <c r="BK61" s="119"/>
      <c r="BL61" s="119"/>
      <c r="BM61" s="119"/>
      <c r="BN61" s="119"/>
      <c r="BO61" s="119"/>
      <c r="BP61" s="119"/>
      <c r="BQ61" s="119"/>
      <c r="BR61" s="119"/>
      <c r="BS61" s="119"/>
      <c r="BT61" s="119"/>
      <c r="BU61" s="119"/>
      <c r="BV61" s="119"/>
      <c r="BW61" s="119"/>
      <c r="BX61" s="119"/>
      <c r="BY61" s="119"/>
      <c r="BZ61" s="119"/>
      <c r="CA61" s="119"/>
      <c r="CB61" s="119"/>
      <c r="CC61" s="119"/>
      <c r="CD61" s="119"/>
      <c r="CE61" s="119"/>
      <c r="CF61" s="119"/>
      <c r="CG61" s="119"/>
      <c r="CH61" s="119"/>
      <c r="CI61" s="119"/>
      <c r="CJ61" s="119"/>
      <c r="CK61" s="119"/>
      <c r="CL61" s="119"/>
      <c r="CM61" s="119"/>
      <c r="CN61" s="119"/>
      <c r="CO61" s="119"/>
      <c r="CP61" s="119"/>
      <c r="CQ61" s="119"/>
      <c r="CR61" s="119"/>
      <c r="CS61" s="119"/>
      <c r="CT61" s="119"/>
      <c r="CU61" s="119"/>
      <c r="CV61" s="119"/>
    </row>
    <row r="62" spans="1:100" s="112" customFormat="1" ht="15" customHeight="1">
      <c r="A62" s="111"/>
      <c r="E62" s="112">
        <v>45</v>
      </c>
      <c r="F62" s="113" t="s">
        <v>587</v>
      </c>
      <c r="G62" s="114"/>
      <c r="H62" s="114"/>
      <c r="I62" s="114"/>
      <c r="J62" s="114"/>
      <c r="K62" s="114"/>
      <c r="L62" s="114"/>
      <c r="M62" s="114"/>
      <c r="N62" s="115"/>
      <c r="O62" s="116" t="s">
        <v>588</v>
      </c>
      <c r="P62" s="114"/>
      <c r="Q62" s="114"/>
      <c r="R62" s="114"/>
      <c r="S62" s="114"/>
      <c r="T62" s="114"/>
      <c r="U62" s="114"/>
      <c r="V62" s="115"/>
      <c r="W62" s="121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5"/>
      <c r="BE62" s="118"/>
      <c r="BG62" s="119"/>
      <c r="BH62" s="119"/>
      <c r="BI62" s="119"/>
      <c r="BJ62" s="119"/>
      <c r="BK62" s="119"/>
      <c r="BL62" s="119"/>
      <c r="BM62" s="119"/>
      <c r="BN62" s="119"/>
      <c r="BO62" s="119"/>
      <c r="BP62" s="119"/>
      <c r="BQ62" s="119"/>
      <c r="BR62" s="119"/>
      <c r="BS62" s="119"/>
      <c r="BT62" s="119"/>
      <c r="BU62" s="119"/>
      <c r="BV62" s="119"/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I62" s="119"/>
      <c r="CJ62" s="119"/>
      <c r="CK62" s="119"/>
      <c r="CL62" s="119"/>
      <c r="CM62" s="119"/>
      <c r="CN62" s="119"/>
      <c r="CO62" s="119"/>
      <c r="CP62" s="119"/>
      <c r="CQ62" s="119"/>
      <c r="CR62" s="119"/>
      <c r="CS62" s="119"/>
      <c r="CT62" s="119"/>
      <c r="CU62" s="119"/>
      <c r="CV62" s="119"/>
    </row>
    <row r="63" spans="1:100" s="112" customFormat="1" ht="15" customHeight="1">
      <c r="A63" s="111"/>
      <c r="E63" s="112">
        <v>46</v>
      </c>
      <c r="F63" s="122" t="s">
        <v>589</v>
      </c>
      <c r="G63" s="114"/>
      <c r="H63" s="114"/>
      <c r="I63" s="114"/>
      <c r="J63" s="114"/>
      <c r="K63" s="114"/>
      <c r="L63" s="114"/>
      <c r="M63" s="114"/>
      <c r="N63" s="115"/>
      <c r="O63" s="123" t="s">
        <v>590</v>
      </c>
      <c r="P63" s="114"/>
      <c r="Q63" s="114"/>
      <c r="R63" s="114"/>
      <c r="S63" s="114"/>
      <c r="T63" s="114"/>
      <c r="U63" s="114"/>
      <c r="V63" s="115"/>
      <c r="W63" s="120" t="s">
        <v>502</v>
      </c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5"/>
      <c r="BE63" s="118"/>
      <c r="BG63" s="119"/>
      <c r="BH63" s="119"/>
      <c r="BI63" s="119"/>
      <c r="BJ63" s="119"/>
      <c r="BK63" s="119"/>
      <c r="BL63" s="119"/>
      <c r="BM63" s="119"/>
      <c r="BN63" s="119"/>
      <c r="BO63" s="119"/>
      <c r="BP63" s="119"/>
      <c r="BQ63" s="119"/>
      <c r="BR63" s="119"/>
      <c r="BS63" s="119"/>
      <c r="BT63" s="119"/>
      <c r="BU63" s="119"/>
      <c r="BV63" s="119"/>
      <c r="BW63" s="119"/>
      <c r="BX63" s="119"/>
      <c r="BY63" s="119"/>
      <c r="BZ63" s="119"/>
      <c r="CA63" s="119"/>
      <c r="CB63" s="119"/>
      <c r="CC63" s="119"/>
      <c r="CD63" s="119"/>
      <c r="CE63" s="119"/>
      <c r="CF63" s="119"/>
      <c r="CG63" s="119"/>
      <c r="CH63" s="119"/>
      <c r="CI63" s="119"/>
      <c r="CJ63" s="119"/>
      <c r="CK63" s="119"/>
      <c r="CL63" s="119"/>
      <c r="CM63" s="119"/>
      <c r="CN63" s="119"/>
      <c r="CO63" s="119"/>
      <c r="CP63" s="119"/>
      <c r="CQ63" s="119"/>
      <c r="CR63" s="119"/>
      <c r="CS63" s="119"/>
      <c r="CT63" s="119"/>
      <c r="CU63" s="119"/>
      <c r="CV63" s="119"/>
    </row>
    <row r="64" spans="1:100" s="81" customFormat="1" ht="15" customHeight="1">
      <c r="A64" s="102"/>
      <c r="B64" s="103"/>
      <c r="C64" s="103"/>
      <c r="D64" s="103"/>
      <c r="E64" s="112">
        <v>47</v>
      </c>
      <c r="F64" s="122" t="s">
        <v>591</v>
      </c>
      <c r="G64" s="114"/>
      <c r="H64" s="114"/>
      <c r="I64" s="114"/>
      <c r="J64" s="114"/>
      <c r="K64" s="114"/>
      <c r="L64" s="114"/>
      <c r="M64" s="114"/>
      <c r="N64" s="115"/>
      <c r="O64" s="122" t="s">
        <v>592</v>
      </c>
      <c r="P64" s="114"/>
      <c r="Q64" s="114"/>
      <c r="R64" s="114"/>
      <c r="S64" s="114"/>
      <c r="T64" s="114"/>
      <c r="U64" s="114"/>
      <c r="V64" s="115"/>
      <c r="W64" s="120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5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5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6"/>
      <c r="CQ64" s="106"/>
      <c r="CR64" s="106"/>
      <c r="CS64" s="106"/>
      <c r="CT64" s="106"/>
      <c r="CU64" s="106"/>
      <c r="CV64" s="106"/>
    </row>
    <row r="65" spans="1:100" s="81" customFormat="1" ht="15" customHeight="1">
      <c r="A65" s="102"/>
      <c r="B65" s="103"/>
      <c r="C65" s="103"/>
      <c r="D65" s="103"/>
      <c r="E65" s="112">
        <v>48</v>
      </c>
      <c r="F65" s="122" t="s">
        <v>593</v>
      </c>
      <c r="G65" s="114"/>
      <c r="H65" s="114"/>
      <c r="I65" s="114"/>
      <c r="J65" s="114"/>
      <c r="K65" s="114"/>
      <c r="L65" s="114"/>
      <c r="M65" s="114"/>
      <c r="N65" s="115"/>
      <c r="O65" s="123" t="s">
        <v>594</v>
      </c>
      <c r="P65" s="114"/>
      <c r="Q65" s="114"/>
      <c r="R65" s="114"/>
      <c r="S65" s="114"/>
      <c r="T65" s="114"/>
      <c r="U65" s="114"/>
      <c r="V65" s="115"/>
      <c r="W65" s="120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5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5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</row>
    <row r="66" spans="1:100" s="81" customFormat="1" ht="15" customHeight="1">
      <c r="A66" s="102"/>
      <c r="B66" s="103"/>
      <c r="C66" s="103"/>
      <c r="D66" s="103"/>
      <c r="E66" s="112">
        <v>49</v>
      </c>
      <c r="F66" s="122" t="s">
        <v>595</v>
      </c>
      <c r="G66" s="114"/>
      <c r="H66" s="114"/>
      <c r="I66" s="114"/>
      <c r="J66" s="114"/>
      <c r="K66" s="114"/>
      <c r="L66" s="114"/>
      <c r="M66" s="114"/>
      <c r="N66" s="115"/>
      <c r="O66" s="123" t="s">
        <v>596</v>
      </c>
      <c r="P66" s="114"/>
      <c r="Q66" s="114"/>
      <c r="R66" s="114"/>
      <c r="S66" s="114"/>
      <c r="T66" s="114"/>
      <c r="U66" s="114"/>
      <c r="V66" s="115"/>
      <c r="W66" s="120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5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5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</row>
    <row r="67" spans="1:100" s="112" customFormat="1" ht="15" customHeight="1">
      <c r="A67" s="111"/>
      <c r="E67" s="112">
        <v>50</v>
      </c>
      <c r="F67" s="128" t="s">
        <v>597</v>
      </c>
      <c r="G67" s="114"/>
      <c r="H67" s="114"/>
      <c r="I67" s="114"/>
      <c r="J67" s="114"/>
      <c r="K67" s="114"/>
      <c r="L67" s="114"/>
      <c r="M67" s="114"/>
      <c r="N67" s="115"/>
      <c r="O67" s="116" t="s">
        <v>598</v>
      </c>
      <c r="P67" s="114"/>
      <c r="Q67" s="114"/>
      <c r="R67" s="114"/>
      <c r="S67" s="114"/>
      <c r="T67" s="114"/>
      <c r="U67" s="114"/>
      <c r="V67" s="115"/>
      <c r="W67" s="117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5"/>
      <c r="BE67" s="118"/>
      <c r="BG67" s="119"/>
      <c r="BH67" s="119"/>
      <c r="BI67" s="119"/>
      <c r="BJ67" s="119"/>
      <c r="BK67" s="119"/>
      <c r="BL67" s="119"/>
      <c r="BM67" s="119"/>
      <c r="BN67" s="119"/>
      <c r="BO67" s="119"/>
      <c r="BP67" s="119"/>
      <c r="BQ67" s="119"/>
      <c r="BR67" s="119"/>
      <c r="BS67" s="119"/>
      <c r="BT67" s="119"/>
      <c r="BU67" s="119"/>
      <c r="BV67" s="119"/>
      <c r="BW67" s="119"/>
      <c r="BX67" s="119"/>
      <c r="BY67" s="119"/>
      <c r="BZ67" s="119"/>
      <c r="CA67" s="119"/>
      <c r="CB67" s="119"/>
      <c r="CC67" s="119"/>
      <c r="CD67" s="119"/>
      <c r="CE67" s="119"/>
      <c r="CF67" s="119"/>
      <c r="CG67" s="119"/>
      <c r="CH67" s="119"/>
      <c r="CI67" s="119"/>
      <c r="CJ67" s="119"/>
      <c r="CK67" s="119"/>
      <c r="CL67" s="119"/>
      <c r="CM67" s="119"/>
      <c r="CN67" s="119"/>
      <c r="CO67" s="119"/>
      <c r="CP67" s="119"/>
      <c r="CQ67" s="119"/>
      <c r="CR67" s="119"/>
      <c r="CS67" s="119"/>
      <c r="CT67" s="119"/>
      <c r="CU67" s="119"/>
      <c r="CV67" s="119"/>
    </row>
    <row r="68" spans="1:100" s="112" customFormat="1" ht="15" customHeight="1">
      <c r="A68" s="111"/>
      <c r="E68" s="112">
        <v>51</v>
      </c>
      <c r="F68" s="128" t="s">
        <v>599</v>
      </c>
      <c r="G68" s="114"/>
      <c r="H68" s="114"/>
      <c r="I68" s="114"/>
      <c r="J68" s="114"/>
      <c r="K68" s="114"/>
      <c r="L68" s="114"/>
      <c r="M68" s="114"/>
      <c r="N68" s="115"/>
      <c r="O68" s="116" t="s">
        <v>600</v>
      </c>
      <c r="P68" s="114"/>
      <c r="Q68" s="114"/>
      <c r="R68" s="114"/>
      <c r="S68" s="114"/>
      <c r="T68" s="114"/>
      <c r="U68" s="114"/>
      <c r="V68" s="115"/>
      <c r="W68" s="120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5"/>
      <c r="BE68" s="118"/>
      <c r="BG68" s="119"/>
      <c r="BH68" s="119"/>
      <c r="BI68" s="119"/>
      <c r="BJ68" s="119"/>
      <c r="BK68" s="119"/>
      <c r="BL68" s="119"/>
      <c r="BM68" s="119"/>
      <c r="BN68" s="119"/>
      <c r="BO68" s="119"/>
      <c r="BP68" s="119"/>
      <c r="BQ68" s="119"/>
      <c r="BR68" s="119"/>
      <c r="BS68" s="119"/>
      <c r="BT68" s="119"/>
      <c r="BU68" s="119"/>
      <c r="BV68" s="119"/>
      <c r="BW68" s="119"/>
      <c r="BX68" s="119"/>
      <c r="BY68" s="119"/>
      <c r="BZ68" s="119"/>
      <c r="CA68" s="119"/>
      <c r="CB68" s="119"/>
      <c r="CC68" s="119"/>
      <c r="CD68" s="119"/>
      <c r="CE68" s="119"/>
      <c r="CF68" s="119"/>
      <c r="CG68" s="119"/>
      <c r="CH68" s="119"/>
      <c r="CI68" s="119"/>
      <c r="CJ68" s="119"/>
      <c r="CK68" s="119"/>
      <c r="CL68" s="119"/>
      <c r="CM68" s="119"/>
      <c r="CN68" s="119"/>
      <c r="CO68" s="119"/>
      <c r="CP68" s="119"/>
      <c r="CQ68" s="119"/>
      <c r="CR68" s="119"/>
      <c r="CS68" s="119"/>
      <c r="CT68" s="119"/>
      <c r="CU68" s="119"/>
      <c r="CV68" s="119"/>
    </row>
    <row r="69" spans="1:100" s="112" customFormat="1" ht="15" customHeight="1">
      <c r="A69" s="111"/>
      <c r="E69" s="112">
        <v>52</v>
      </c>
      <c r="F69" s="128" t="s">
        <v>601</v>
      </c>
      <c r="G69" s="114"/>
      <c r="H69" s="114"/>
      <c r="I69" s="114"/>
      <c r="J69" s="114"/>
      <c r="K69" s="114"/>
      <c r="L69" s="114"/>
      <c r="M69" s="114"/>
      <c r="N69" s="115"/>
      <c r="O69" s="116" t="s">
        <v>602</v>
      </c>
      <c r="P69" s="114"/>
      <c r="Q69" s="114"/>
      <c r="R69" s="114"/>
      <c r="S69" s="114"/>
      <c r="T69" s="114"/>
      <c r="U69" s="114"/>
      <c r="V69" s="115"/>
      <c r="W69" s="120"/>
      <c r="X69" s="114"/>
      <c r="Y69" s="114"/>
      <c r="Z69" s="114"/>
      <c r="AA69" s="114"/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5"/>
      <c r="BE69" s="118"/>
      <c r="BG69" s="119"/>
      <c r="BH69" s="119"/>
      <c r="BI69" s="119"/>
      <c r="BJ69" s="119"/>
      <c r="BK69" s="119"/>
      <c r="BL69" s="119"/>
      <c r="BM69" s="119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I69" s="119"/>
      <c r="CJ69" s="119"/>
      <c r="CK69" s="119"/>
      <c r="CL69" s="119"/>
      <c r="CM69" s="119"/>
      <c r="CN69" s="119"/>
      <c r="CO69" s="119"/>
      <c r="CP69" s="119"/>
      <c r="CQ69" s="119"/>
      <c r="CR69" s="119"/>
      <c r="CS69" s="119"/>
      <c r="CT69" s="119"/>
      <c r="CU69" s="119"/>
      <c r="CV69" s="119"/>
    </row>
    <row r="70" spans="1:100" s="112" customFormat="1" ht="15" customHeight="1">
      <c r="A70" s="111"/>
      <c r="E70" s="112">
        <v>53</v>
      </c>
      <c r="F70" s="128" t="s">
        <v>603</v>
      </c>
      <c r="G70" s="114"/>
      <c r="H70" s="114"/>
      <c r="I70" s="114"/>
      <c r="J70" s="114"/>
      <c r="K70" s="114"/>
      <c r="L70" s="114"/>
      <c r="M70" s="114"/>
      <c r="N70" s="115"/>
      <c r="O70" s="116" t="s">
        <v>604</v>
      </c>
      <c r="P70" s="114"/>
      <c r="Q70" s="114"/>
      <c r="R70" s="114"/>
      <c r="S70" s="114"/>
      <c r="T70" s="114"/>
      <c r="U70" s="114"/>
      <c r="V70" s="115"/>
      <c r="W70" s="120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5"/>
      <c r="BE70" s="118"/>
      <c r="BG70" s="119"/>
      <c r="BH70" s="119"/>
      <c r="BI70" s="119"/>
      <c r="BJ70" s="119"/>
      <c r="BK70" s="119"/>
      <c r="BL70" s="119"/>
      <c r="BM70" s="119"/>
      <c r="BN70" s="119"/>
      <c r="BO70" s="119"/>
      <c r="BP70" s="119"/>
      <c r="BQ70" s="119"/>
      <c r="BR70" s="119"/>
      <c r="BS70" s="119"/>
      <c r="BT70" s="119"/>
      <c r="BU70" s="119"/>
      <c r="BV70" s="119"/>
      <c r="BW70" s="119"/>
      <c r="BX70" s="119"/>
      <c r="BY70" s="119"/>
      <c r="BZ70" s="119"/>
      <c r="CA70" s="119"/>
      <c r="CB70" s="119"/>
      <c r="CC70" s="119"/>
      <c r="CD70" s="119"/>
      <c r="CE70" s="119"/>
      <c r="CF70" s="119"/>
      <c r="CG70" s="119"/>
      <c r="CH70" s="119"/>
      <c r="CI70" s="119"/>
      <c r="CJ70" s="119"/>
      <c r="CK70" s="119"/>
      <c r="CL70" s="119"/>
      <c r="CM70" s="119"/>
      <c r="CN70" s="119"/>
      <c r="CO70" s="119"/>
      <c r="CP70" s="119"/>
      <c r="CQ70" s="119"/>
      <c r="CR70" s="119"/>
      <c r="CS70" s="119"/>
      <c r="CT70" s="119"/>
      <c r="CU70" s="119"/>
      <c r="CV70" s="119"/>
    </row>
    <row r="71" spans="1:100" s="112" customFormat="1" ht="15" customHeight="1">
      <c r="A71" s="111"/>
      <c r="E71" s="112">
        <v>54</v>
      </c>
      <c r="F71" s="113" t="s">
        <v>605</v>
      </c>
      <c r="G71" s="114"/>
      <c r="H71" s="114"/>
      <c r="I71" s="114"/>
      <c r="J71" s="114"/>
      <c r="K71" s="114"/>
      <c r="L71" s="114"/>
      <c r="M71" s="114"/>
      <c r="N71" s="115"/>
      <c r="O71" s="116" t="s">
        <v>606</v>
      </c>
      <c r="P71" s="114"/>
      <c r="Q71" s="114"/>
      <c r="R71" s="114"/>
      <c r="S71" s="114"/>
      <c r="T71" s="114"/>
      <c r="U71" s="114"/>
      <c r="V71" s="115"/>
      <c r="W71" s="120" t="s">
        <v>502</v>
      </c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5"/>
      <c r="BE71" s="118"/>
      <c r="BG71" s="119"/>
      <c r="BH71" s="119"/>
      <c r="BI71" s="119"/>
      <c r="BJ71" s="119"/>
      <c r="BK71" s="119"/>
      <c r="BL71" s="119"/>
      <c r="BM71" s="119"/>
      <c r="BN71" s="119"/>
      <c r="BO71" s="119"/>
      <c r="BP71" s="119"/>
      <c r="BQ71" s="119"/>
      <c r="BR71" s="119"/>
      <c r="BS71" s="119"/>
      <c r="BT71" s="119"/>
      <c r="BU71" s="119"/>
      <c r="BV71" s="119"/>
      <c r="BW71" s="119"/>
      <c r="BX71" s="119"/>
      <c r="BY71" s="119"/>
      <c r="BZ71" s="119"/>
      <c r="CA71" s="119"/>
      <c r="CB71" s="119"/>
      <c r="CC71" s="119"/>
      <c r="CD71" s="119"/>
      <c r="CE71" s="119"/>
      <c r="CF71" s="119"/>
      <c r="CG71" s="119"/>
      <c r="CH71" s="119"/>
      <c r="CI71" s="119"/>
      <c r="CJ71" s="119"/>
      <c r="CK71" s="119"/>
      <c r="CL71" s="119"/>
      <c r="CM71" s="119"/>
      <c r="CN71" s="119"/>
      <c r="CO71" s="119"/>
      <c r="CP71" s="119"/>
      <c r="CQ71" s="119"/>
      <c r="CR71" s="119"/>
      <c r="CS71" s="119"/>
      <c r="CT71" s="119"/>
      <c r="CU71" s="119"/>
      <c r="CV71" s="119"/>
    </row>
    <row r="72" spans="1:100" s="112" customFormat="1" ht="15" customHeight="1">
      <c r="A72" s="111"/>
      <c r="E72" s="112">
        <v>55</v>
      </c>
      <c r="F72" s="113" t="s">
        <v>607</v>
      </c>
      <c r="G72" s="114"/>
      <c r="H72" s="114"/>
      <c r="I72" s="114"/>
      <c r="J72" s="114"/>
      <c r="K72" s="114"/>
      <c r="L72" s="114"/>
      <c r="M72" s="114"/>
      <c r="N72" s="115"/>
      <c r="O72" s="116" t="s">
        <v>608</v>
      </c>
      <c r="P72" s="114"/>
      <c r="Q72" s="114"/>
      <c r="R72" s="114"/>
      <c r="S72" s="114"/>
      <c r="T72" s="114"/>
      <c r="U72" s="114"/>
      <c r="V72" s="115"/>
      <c r="W72" s="135" t="s">
        <v>609</v>
      </c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114"/>
      <c r="AK72" s="114"/>
      <c r="AL72" s="115"/>
      <c r="BE72" s="118"/>
      <c r="BG72" s="119"/>
      <c r="BH72" s="119"/>
      <c r="BI72" s="119"/>
      <c r="BJ72" s="119"/>
      <c r="BK72" s="119"/>
      <c r="BL72" s="119"/>
      <c r="BM72" s="119"/>
      <c r="BN72" s="119"/>
      <c r="BO72" s="119"/>
      <c r="BP72" s="119"/>
      <c r="BQ72" s="119"/>
      <c r="BR72" s="119"/>
      <c r="BS72" s="119"/>
      <c r="BT72" s="119"/>
      <c r="BU72" s="119"/>
      <c r="BV72" s="119"/>
      <c r="BW72" s="119"/>
      <c r="BX72" s="119"/>
      <c r="BY72" s="119"/>
      <c r="BZ72" s="119"/>
      <c r="CA72" s="119"/>
      <c r="CB72" s="119"/>
      <c r="CC72" s="119"/>
      <c r="CD72" s="119"/>
      <c r="CE72" s="119"/>
      <c r="CF72" s="119"/>
      <c r="CG72" s="119"/>
      <c r="CH72" s="119"/>
      <c r="CI72" s="119"/>
      <c r="CJ72" s="119"/>
      <c r="CK72" s="119"/>
      <c r="CL72" s="119"/>
      <c r="CM72" s="119"/>
      <c r="CN72" s="119"/>
      <c r="CO72" s="119"/>
      <c r="CP72" s="119"/>
      <c r="CQ72" s="119"/>
      <c r="CR72" s="119"/>
      <c r="CS72" s="119"/>
      <c r="CT72" s="119"/>
      <c r="CU72" s="119"/>
      <c r="CV72" s="119"/>
    </row>
    <row r="73" spans="1:100" s="112" customFormat="1" ht="15" customHeight="1">
      <c r="A73" s="111"/>
      <c r="E73" s="112">
        <v>56</v>
      </c>
      <c r="F73" s="113" t="s">
        <v>610</v>
      </c>
      <c r="G73" s="114"/>
      <c r="H73" s="114"/>
      <c r="I73" s="114"/>
      <c r="J73" s="114"/>
      <c r="K73" s="114"/>
      <c r="L73" s="114"/>
      <c r="M73" s="114"/>
      <c r="N73" s="115"/>
      <c r="O73" s="116" t="s">
        <v>611</v>
      </c>
      <c r="P73" s="114"/>
      <c r="Q73" s="114"/>
      <c r="R73" s="114"/>
      <c r="S73" s="114"/>
      <c r="T73" s="114"/>
      <c r="U73" s="114"/>
      <c r="V73" s="115"/>
      <c r="W73" s="135" t="s">
        <v>609</v>
      </c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5"/>
      <c r="BE73" s="118"/>
      <c r="BG73" s="119"/>
      <c r="BH73" s="119"/>
      <c r="BI73" s="119"/>
      <c r="BJ73" s="119"/>
      <c r="BK73" s="119"/>
      <c r="BL73" s="119"/>
      <c r="BM73" s="119"/>
      <c r="BN73" s="119"/>
      <c r="BO73" s="119"/>
      <c r="BP73" s="119"/>
      <c r="BQ73" s="119"/>
      <c r="BR73" s="119"/>
      <c r="BS73" s="119"/>
      <c r="BT73" s="119"/>
      <c r="BU73" s="119"/>
      <c r="BV73" s="119"/>
      <c r="BW73" s="119"/>
      <c r="BX73" s="119"/>
      <c r="BY73" s="119"/>
      <c r="BZ73" s="119"/>
      <c r="CA73" s="119"/>
      <c r="CB73" s="119"/>
      <c r="CC73" s="119"/>
      <c r="CD73" s="119"/>
      <c r="CE73" s="119"/>
      <c r="CF73" s="119"/>
      <c r="CG73" s="119"/>
      <c r="CH73" s="119"/>
      <c r="CI73" s="119"/>
      <c r="CJ73" s="119"/>
      <c r="CK73" s="119"/>
      <c r="CL73" s="119"/>
      <c r="CM73" s="119"/>
      <c r="CN73" s="119"/>
      <c r="CO73" s="119"/>
      <c r="CP73" s="119"/>
      <c r="CQ73" s="119"/>
      <c r="CR73" s="119"/>
      <c r="CS73" s="119"/>
      <c r="CT73" s="119"/>
      <c r="CU73" s="119"/>
      <c r="CV73" s="119"/>
    </row>
    <row r="74" spans="1:100" s="112" customFormat="1" ht="15" customHeight="1">
      <c r="A74" s="111"/>
      <c r="E74" s="112">
        <v>57</v>
      </c>
      <c r="F74" s="122" t="s">
        <v>612</v>
      </c>
      <c r="G74" s="114"/>
      <c r="H74" s="114"/>
      <c r="I74" s="114"/>
      <c r="J74" s="114"/>
      <c r="K74" s="114"/>
      <c r="L74" s="114"/>
      <c r="M74" s="114"/>
      <c r="N74" s="115"/>
      <c r="O74" s="123" t="s">
        <v>613</v>
      </c>
      <c r="P74" s="114"/>
      <c r="Q74" s="114"/>
      <c r="R74" s="114"/>
      <c r="S74" s="114"/>
      <c r="T74" s="114"/>
      <c r="U74" s="114"/>
      <c r="V74" s="115"/>
      <c r="W74" s="120" t="s">
        <v>502</v>
      </c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5"/>
      <c r="BE74" s="118"/>
      <c r="BG74" s="119"/>
      <c r="BH74" s="119"/>
      <c r="BI74" s="119"/>
      <c r="BJ74" s="119"/>
      <c r="BK74" s="119"/>
      <c r="BL74" s="119"/>
      <c r="BM74" s="119"/>
      <c r="BN74" s="119"/>
      <c r="BO74" s="119"/>
      <c r="BP74" s="119"/>
      <c r="BQ74" s="119"/>
      <c r="BR74" s="119"/>
      <c r="BS74" s="119"/>
      <c r="BT74" s="119"/>
      <c r="BU74" s="119"/>
      <c r="BV74" s="119"/>
      <c r="BW74" s="119"/>
      <c r="BX74" s="119"/>
      <c r="BY74" s="119"/>
      <c r="BZ74" s="119"/>
      <c r="CA74" s="119"/>
      <c r="CB74" s="119"/>
      <c r="CC74" s="119"/>
      <c r="CD74" s="119"/>
      <c r="CE74" s="119"/>
      <c r="CF74" s="119"/>
      <c r="CG74" s="119"/>
      <c r="CH74" s="119"/>
      <c r="CI74" s="119"/>
      <c r="CJ74" s="119"/>
      <c r="CK74" s="119"/>
      <c r="CL74" s="119"/>
      <c r="CM74" s="119"/>
      <c r="CN74" s="119"/>
      <c r="CO74" s="119"/>
      <c r="CP74" s="119"/>
      <c r="CQ74" s="119"/>
      <c r="CR74" s="119"/>
      <c r="CS74" s="119"/>
      <c r="CT74" s="119"/>
      <c r="CU74" s="119"/>
      <c r="CV74" s="119"/>
    </row>
    <row r="75" spans="1:100" s="81" customFormat="1" ht="15" customHeight="1">
      <c r="A75" s="102"/>
      <c r="B75" s="103"/>
      <c r="C75" s="103"/>
      <c r="D75" s="103"/>
      <c r="E75" s="112">
        <v>58</v>
      </c>
      <c r="F75" s="122" t="s">
        <v>614</v>
      </c>
      <c r="G75" s="114"/>
      <c r="H75" s="114"/>
      <c r="I75" s="114"/>
      <c r="J75" s="114"/>
      <c r="K75" s="114"/>
      <c r="L75" s="114"/>
      <c r="M75" s="114"/>
      <c r="N75" s="115"/>
      <c r="O75" s="122" t="s">
        <v>615</v>
      </c>
      <c r="P75" s="114"/>
      <c r="Q75" s="114"/>
      <c r="R75" s="114"/>
      <c r="S75" s="114"/>
      <c r="T75" s="114"/>
      <c r="U75" s="114"/>
      <c r="V75" s="115"/>
      <c r="W75" s="135" t="s">
        <v>609</v>
      </c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5"/>
      <c r="AM75" s="103"/>
      <c r="AN75" s="103"/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5"/>
      <c r="BG75" s="106"/>
      <c r="BH75" s="106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6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6"/>
      <c r="CQ75" s="106"/>
      <c r="CR75" s="106"/>
      <c r="CS75" s="106"/>
      <c r="CT75" s="106"/>
      <c r="CU75" s="106"/>
      <c r="CV75" s="106"/>
    </row>
    <row r="76" spans="1:100" s="81" customFormat="1" ht="15" customHeight="1">
      <c r="A76" s="102"/>
      <c r="B76" s="103"/>
      <c r="C76" s="103"/>
      <c r="D76" s="103"/>
      <c r="E76" s="112">
        <v>59</v>
      </c>
      <c r="F76" s="122" t="s">
        <v>616</v>
      </c>
      <c r="G76" s="114"/>
      <c r="H76" s="114"/>
      <c r="I76" s="114"/>
      <c r="J76" s="114"/>
      <c r="K76" s="114"/>
      <c r="L76" s="114"/>
      <c r="M76" s="114"/>
      <c r="N76" s="115"/>
      <c r="O76" s="129" t="s">
        <v>617</v>
      </c>
      <c r="P76" s="114"/>
      <c r="Q76" s="114"/>
      <c r="R76" s="114"/>
      <c r="S76" s="114"/>
      <c r="T76" s="114"/>
      <c r="U76" s="114"/>
      <c r="V76" s="115"/>
      <c r="W76" s="120" t="s">
        <v>502</v>
      </c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5"/>
      <c r="AM76" s="103"/>
      <c r="AN76" s="103"/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5"/>
      <c r="BG76" s="106"/>
      <c r="BH76" s="106"/>
      <c r="BI76" s="106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6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6"/>
      <c r="CQ76" s="106"/>
      <c r="CR76" s="106"/>
      <c r="CS76" s="106"/>
      <c r="CT76" s="106"/>
      <c r="CU76" s="106"/>
      <c r="CV76" s="106"/>
    </row>
    <row r="77" spans="1:100" s="81" customFormat="1" ht="15" customHeight="1">
      <c r="A77" s="102"/>
      <c r="B77" s="103"/>
      <c r="C77" s="103"/>
      <c r="D77" s="103"/>
      <c r="E77" s="112">
        <v>60</v>
      </c>
      <c r="F77" s="122" t="s">
        <v>618</v>
      </c>
      <c r="G77" s="114"/>
      <c r="H77" s="114"/>
      <c r="I77" s="114"/>
      <c r="J77" s="114"/>
      <c r="K77" s="114"/>
      <c r="L77" s="114"/>
      <c r="M77" s="114"/>
      <c r="N77" s="115"/>
      <c r="O77" s="123" t="s">
        <v>619</v>
      </c>
      <c r="P77" s="114"/>
      <c r="Q77" s="114"/>
      <c r="R77" s="114"/>
      <c r="S77" s="114"/>
      <c r="T77" s="114"/>
      <c r="U77" s="114"/>
      <c r="V77" s="115"/>
      <c r="W77" s="135" t="s">
        <v>609</v>
      </c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5"/>
      <c r="AM77" s="103"/>
      <c r="AN77" s="103"/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5"/>
      <c r="BG77" s="106"/>
      <c r="BH77" s="106"/>
      <c r="BI77" s="106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6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6"/>
      <c r="CQ77" s="106"/>
      <c r="CR77" s="106"/>
      <c r="CS77" s="106"/>
      <c r="CT77" s="106"/>
      <c r="CU77" s="106"/>
      <c r="CV77" s="106"/>
    </row>
    <row r="78" spans="1:100" s="81" customFormat="1" ht="15" customHeight="1">
      <c r="A78" s="102"/>
      <c r="B78" s="103"/>
      <c r="C78" s="103"/>
      <c r="D78" s="103"/>
      <c r="E78" s="112">
        <v>61</v>
      </c>
      <c r="F78" s="122" t="s">
        <v>620</v>
      </c>
      <c r="G78" s="114"/>
      <c r="H78" s="114"/>
      <c r="I78" s="114"/>
      <c r="J78" s="114"/>
      <c r="K78" s="114"/>
      <c r="L78" s="114"/>
      <c r="M78" s="114"/>
      <c r="N78" s="115"/>
      <c r="O78" s="123" t="s">
        <v>621</v>
      </c>
      <c r="P78" s="114"/>
      <c r="Q78" s="114"/>
      <c r="R78" s="114"/>
      <c r="S78" s="114"/>
      <c r="T78" s="114"/>
      <c r="U78" s="114"/>
      <c r="V78" s="115"/>
      <c r="W78" s="120" t="s">
        <v>502</v>
      </c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5"/>
      <c r="AM78" s="103"/>
      <c r="AN78" s="103"/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5"/>
      <c r="BG78" s="106"/>
      <c r="BH78" s="106"/>
      <c r="BI78" s="106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6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6"/>
      <c r="CQ78" s="106"/>
      <c r="CR78" s="106"/>
      <c r="CS78" s="106"/>
      <c r="CT78" s="106"/>
      <c r="CU78" s="106"/>
      <c r="CV78" s="106"/>
    </row>
    <row r="79" spans="1:100" s="81" customFormat="1" ht="15" customHeight="1">
      <c r="A79" s="102"/>
      <c r="B79" s="103"/>
      <c r="C79" s="103"/>
      <c r="D79" s="103"/>
      <c r="E79" s="112">
        <v>62</v>
      </c>
      <c r="F79" s="122" t="s">
        <v>622</v>
      </c>
      <c r="G79" s="114"/>
      <c r="H79" s="114"/>
      <c r="I79" s="114"/>
      <c r="J79" s="114"/>
      <c r="K79" s="114"/>
      <c r="L79" s="114"/>
      <c r="M79" s="114"/>
      <c r="N79" s="115"/>
      <c r="O79" s="122" t="s">
        <v>623</v>
      </c>
      <c r="P79" s="114"/>
      <c r="Q79" s="114"/>
      <c r="R79" s="114"/>
      <c r="S79" s="114"/>
      <c r="T79" s="114"/>
      <c r="U79" s="114"/>
      <c r="V79" s="115"/>
      <c r="W79" s="120" t="s">
        <v>502</v>
      </c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5"/>
      <c r="AM79" s="103"/>
      <c r="AN79" s="103"/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5"/>
      <c r="BG79" s="106"/>
      <c r="BH79" s="106"/>
      <c r="BI79" s="106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6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6"/>
      <c r="CQ79" s="106"/>
      <c r="CR79" s="106"/>
      <c r="CS79" s="106"/>
      <c r="CT79" s="106"/>
      <c r="CU79" s="106"/>
      <c r="CV79" s="106"/>
    </row>
    <row r="80" spans="1:100" s="112" customFormat="1" ht="15" customHeight="1">
      <c r="A80" s="111"/>
      <c r="E80" s="112">
        <v>63</v>
      </c>
      <c r="F80" s="128" t="s">
        <v>624</v>
      </c>
      <c r="G80" s="114"/>
      <c r="H80" s="114"/>
      <c r="I80" s="114"/>
      <c r="J80" s="114"/>
      <c r="K80" s="114"/>
      <c r="L80" s="114"/>
      <c r="M80" s="114"/>
      <c r="N80" s="115"/>
      <c r="O80" s="116" t="s">
        <v>625</v>
      </c>
      <c r="P80" s="114"/>
      <c r="Q80" s="114"/>
      <c r="R80" s="114"/>
      <c r="S80" s="114"/>
      <c r="T80" s="114"/>
      <c r="U80" s="114"/>
      <c r="V80" s="115"/>
      <c r="W80" s="120" t="s">
        <v>502</v>
      </c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5"/>
      <c r="BE80" s="118"/>
      <c r="BG80" s="119"/>
      <c r="BH80" s="119"/>
      <c r="BI80" s="119"/>
      <c r="BJ80" s="119"/>
      <c r="BK80" s="119"/>
      <c r="BL80" s="119"/>
      <c r="BM80" s="119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I80" s="119"/>
      <c r="CJ80" s="119"/>
      <c r="CK80" s="119"/>
      <c r="CL80" s="119"/>
      <c r="CM80" s="119"/>
      <c r="CN80" s="119"/>
      <c r="CO80" s="119"/>
      <c r="CP80" s="119"/>
      <c r="CQ80" s="119"/>
      <c r="CR80" s="119"/>
      <c r="CS80" s="119"/>
      <c r="CT80" s="119"/>
      <c r="CU80" s="119"/>
      <c r="CV80" s="119"/>
    </row>
    <row r="81" spans="1:100" s="112" customFormat="1" ht="15" customHeight="1">
      <c r="A81" s="111"/>
      <c r="E81" s="112">
        <v>64</v>
      </c>
      <c r="F81" s="113" t="s">
        <v>626</v>
      </c>
      <c r="G81" s="114"/>
      <c r="H81" s="114"/>
      <c r="I81" s="114"/>
      <c r="J81" s="114"/>
      <c r="K81" s="114"/>
      <c r="L81" s="114"/>
      <c r="M81" s="114"/>
      <c r="N81" s="115"/>
      <c r="O81" s="116" t="s">
        <v>627</v>
      </c>
      <c r="P81" s="114"/>
      <c r="Q81" s="114"/>
      <c r="R81" s="114"/>
      <c r="S81" s="114"/>
      <c r="T81" s="114"/>
      <c r="U81" s="114"/>
      <c r="V81" s="115"/>
      <c r="W81" s="120" t="s">
        <v>502</v>
      </c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5"/>
      <c r="BE81" s="118"/>
      <c r="BG81" s="119"/>
      <c r="BH81" s="119"/>
      <c r="BI81" s="119"/>
      <c r="BJ81" s="119"/>
      <c r="BK81" s="119"/>
      <c r="BL81" s="119"/>
      <c r="BM81" s="119"/>
      <c r="BN81" s="119"/>
      <c r="BO81" s="119"/>
      <c r="BP81" s="119"/>
      <c r="BQ81" s="119"/>
      <c r="BR81" s="119"/>
      <c r="BS81" s="119"/>
      <c r="BT81" s="119"/>
      <c r="BU81" s="119"/>
      <c r="BV81" s="119"/>
      <c r="BW81" s="119"/>
      <c r="BX81" s="119"/>
      <c r="BY81" s="119"/>
      <c r="BZ81" s="119"/>
      <c r="CA81" s="119"/>
      <c r="CB81" s="119"/>
      <c r="CC81" s="119"/>
      <c r="CD81" s="119"/>
      <c r="CE81" s="119"/>
      <c r="CF81" s="119"/>
      <c r="CG81" s="119"/>
      <c r="CH81" s="119"/>
      <c r="CI81" s="119"/>
      <c r="CJ81" s="119"/>
      <c r="CK81" s="119"/>
      <c r="CL81" s="119"/>
      <c r="CM81" s="119"/>
      <c r="CN81" s="119"/>
      <c r="CO81" s="119"/>
      <c r="CP81" s="119"/>
      <c r="CQ81" s="119"/>
      <c r="CR81" s="119"/>
      <c r="CS81" s="119"/>
      <c r="CT81" s="119"/>
      <c r="CU81" s="119"/>
      <c r="CV81" s="119"/>
    </row>
    <row r="82" spans="1:100" s="112" customFormat="1" ht="15" customHeight="1">
      <c r="A82" s="111"/>
      <c r="E82" s="112">
        <v>65</v>
      </c>
      <c r="F82" s="113" t="s">
        <v>628</v>
      </c>
      <c r="G82" s="114"/>
      <c r="H82" s="114"/>
      <c r="I82" s="114"/>
      <c r="J82" s="114"/>
      <c r="K82" s="114"/>
      <c r="L82" s="114"/>
      <c r="M82" s="114"/>
      <c r="N82" s="115"/>
      <c r="O82" s="116" t="s">
        <v>629</v>
      </c>
      <c r="P82" s="114"/>
      <c r="Q82" s="114"/>
      <c r="R82" s="114"/>
      <c r="S82" s="114"/>
      <c r="T82" s="114"/>
      <c r="U82" s="114"/>
      <c r="V82" s="115"/>
      <c r="W82" s="121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5"/>
      <c r="BE82" s="118"/>
      <c r="BG82" s="119"/>
      <c r="BH82" s="119"/>
      <c r="BI82" s="119"/>
      <c r="BJ82" s="119"/>
      <c r="BK82" s="119"/>
      <c r="BL82" s="119"/>
      <c r="BM82" s="119"/>
      <c r="BN82" s="119"/>
      <c r="BO82" s="119"/>
      <c r="BP82" s="119"/>
      <c r="BQ82" s="119"/>
      <c r="BR82" s="119"/>
      <c r="BS82" s="119"/>
      <c r="BT82" s="119"/>
      <c r="BU82" s="119"/>
      <c r="BV82" s="119"/>
      <c r="BW82" s="119"/>
      <c r="BX82" s="119"/>
      <c r="BY82" s="119"/>
      <c r="BZ82" s="119"/>
      <c r="CA82" s="119"/>
      <c r="CB82" s="119"/>
      <c r="CC82" s="119"/>
      <c r="CD82" s="119"/>
      <c r="CE82" s="119"/>
      <c r="CF82" s="119"/>
      <c r="CG82" s="119"/>
      <c r="CH82" s="119"/>
      <c r="CI82" s="119"/>
      <c r="CJ82" s="119"/>
      <c r="CK82" s="119"/>
      <c r="CL82" s="119"/>
      <c r="CM82" s="119"/>
      <c r="CN82" s="119"/>
      <c r="CO82" s="119"/>
      <c r="CP82" s="119"/>
      <c r="CQ82" s="119"/>
      <c r="CR82" s="119"/>
      <c r="CS82" s="119"/>
      <c r="CT82" s="119"/>
      <c r="CU82" s="119"/>
      <c r="CV82" s="119"/>
    </row>
    <row r="83" spans="1:100" s="112" customFormat="1" ht="15" customHeight="1">
      <c r="A83" s="111"/>
      <c r="E83" s="112">
        <v>66</v>
      </c>
      <c r="F83" s="113" t="s">
        <v>630</v>
      </c>
      <c r="G83" s="114"/>
      <c r="H83" s="114"/>
      <c r="I83" s="114"/>
      <c r="J83" s="114"/>
      <c r="K83" s="114"/>
      <c r="L83" s="114"/>
      <c r="M83" s="114"/>
      <c r="N83" s="115"/>
      <c r="O83" s="116" t="s">
        <v>631</v>
      </c>
      <c r="P83" s="114"/>
      <c r="Q83" s="114"/>
      <c r="R83" s="114"/>
      <c r="S83" s="114"/>
      <c r="T83" s="114"/>
      <c r="U83" s="114"/>
      <c r="V83" s="115"/>
      <c r="W83" s="120" t="s">
        <v>502</v>
      </c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5"/>
      <c r="BE83" s="118"/>
      <c r="BG83" s="119"/>
      <c r="BH83" s="119"/>
      <c r="BI83" s="119"/>
      <c r="BJ83" s="119"/>
      <c r="BK83" s="119"/>
      <c r="BL83" s="119"/>
      <c r="BM83" s="119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I83" s="119"/>
      <c r="CJ83" s="119"/>
      <c r="CK83" s="119"/>
      <c r="CL83" s="119"/>
      <c r="CM83" s="119"/>
      <c r="CN83" s="119"/>
      <c r="CO83" s="119"/>
      <c r="CP83" s="119"/>
      <c r="CQ83" s="119"/>
      <c r="CR83" s="119"/>
      <c r="CS83" s="119"/>
      <c r="CT83" s="119"/>
      <c r="CU83" s="119"/>
      <c r="CV83" s="119"/>
    </row>
    <row r="84" spans="1:100" s="112" customFormat="1" ht="15" customHeight="1">
      <c r="A84" s="111"/>
      <c r="E84" s="112">
        <v>67</v>
      </c>
      <c r="F84" s="122" t="s">
        <v>632</v>
      </c>
      <c r="G84" s="114"/>
      <c r="H84" s="114"/>
      <c r="I84" s="114"/>
      <c r="J84" s="114"/>
      <c r="K84" s="114"/>
      <c r="L84" s="114"/>
      <c r="M84" s="114"/>
      <c r="N84" s="115"/>
      <c r="O84" s="123" t="s">
        <v>633</v>
      </c>
      <c r="P84" s="114"/>
      <c r="Q84" s="114"/>
      <c r="R84" s="114"/>
      <c r="S84" s="114"/>
      <c r="T84" s="114"/>
      <c r="U84" s="114"/>
      <c r="V84" s="115"/>
      <c r="W84" s="120" t="s">
        <v>502</v>
      </c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5"/>
      <c r="BE84" s="118"/>
      <c r="BG84" s="119"/>
      <c r="BH84" s="119"/>
      <c r="BI84" s="119"/>
      <c r="BJ84" s="119"/>
      <c r="BK84" s="119"/>
      <c r="BL84" s="119"/>
      <c r="BM84" s="119"/>
      <c r="BN84" s="119"/>
      <c r="BO84" s="119"/>
      <c r="BP84" s="119"/>
      <c r="BQ84" s="119"/>
      <c r="BR84" s="119"/>
      <c r="BS84" s="119"/>
      <c r="BT84" s="119"/>
      <c r="BU84" s="119"/>
      <c r="BV84" s="119"/>
      <c r="BW84" s="119"/>
      <c r="BX84" s="119"/>
      <c r="BY84" s="119"/>
      <c r="BZ84" s="119"/>
      <c r="CA84" s="119"/>
      <c r="CB84" s="119"/>
      <c r="CC84" s="119"/>
      <c r="CD84" s="119"/>
      <c r="CE84" s="119"/>
      <c r="CF84" s="119"/>
      <c r="CG84" s="119"/>
      <c r="CH84" s="119"/>
      <c r="CI84" s="119"/>
      <c r="CJ84" s="119"/>
      <c r="CK84" s="119"/>
      <c r="CL84" s="119"/>
      <c r="CM84" s="119"/>
      <c r="CN84" s="119"/>
      <c r="CO84" s="119"/>
      <c r="CP84" s="119"/>
      <c r="CQ84" s="119"/>
      <c r="CR84" s="119"/>
      <c r="CS84" s="119"/>
      <c r="CT84" s="119"/>
      <c r="CU84" s="119"/>
      <c r="CV84" s="119"/>
    </row>
    <row r="85" spans="1:100" s="81" customFormat="1" ht="15" customHeight="1">
      <c r="A85" s="102"/>
      <c r="B85" s="103"/>
      <c r="C85" s="103"/>
      <c r="D85" s="103"/>
      <c r="E85" s="112">
        <v>68</v>
      </c>
      <c r="F85" s="122" t="s">
        <v>634</v>
      </c>
      <c r="G85" s="114"/>
      <c r="H85" s="114"/>
      <c r="I85" s="114"/>
      <c r="J85" s="114"/>
      <c r="K85" s="114"/>
      <c r="L85" s="114"/>
      <c r="M85" s="114"/>
      <c r="N85" s="115"/>
      <c r="O85" s="122" t="s">
        <v>635</v>
      </c>
      <c r="P85" s="114"/>
      <c r="Q85" s="114"/>
      <c r="R85" s="114"/>
      <c r="S85" s="114"/>
      <c r="T85" s="114"/>
      <c r="U85" s="114"/>
      <c r="V85" s="115"/>
      <c r="W85" s="120" t="s">
        <v>502</v>
      </c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5"/>
      <c r="AM85" s="103"/>
      <c r="AN85" s="103"/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5"/>
      <c r="BG85" s="106"/>
      <c r="BH85" s="106"/>
      <c r="BI85" s="106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6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6"/>
      <c r="CQ85" s="106"/>
      <c r="CR85" s="106"/>
      <c r="CS85" s="106"/>
      <c r="CT85" s="106"/>
      <c r="CU85" s="106"/>
      <c r="CV85" s="106"/>
    </row>
    <row r="86" spans="1:100" s="81" customFormat="1" ht="15" customHeight="1">
      <c r="A86" s="102"/>
      <c r="B86" s="103"/>
      <c r="C86" s="103"/>
      <c r="D86" s="103"/>
      <c r="E86" s="112">
        <v>69</v>
      </c>
      <c r="F86" s="122" t="s">
        <v>636</v>
      </c>
      <c r="G86" s="114"/>
      <c r="H86" s="114"/>
      <c r="I86" s="114"/>
      <c r="J86" s="114"/>
      <c r="K86" s="114"/>
      <c r="L86" s="114"/>
      <c r="M86" s="114"/>
      <c r="N86" s="115"/>
      <c r="O86" s="129" t="s">
        <v>637</v>
      </c>
      <c r="P86" s="114"/>
      <c r="Q86" s="114"/>
      <c r="R86" s="114"/>
      <c r="S86" s="114"/>
      <c r="T86" s="114"/>
      <c r="U86" s="114"/>
      <c r="V86" s="115"/>
      <c r="W86" s="120" t="s">
        <v>502</v>
      </c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5"/>
      <c r="AM86" s="103"/>
      <c r="AN86" s="103"/>
      <c r="AO86" s="103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5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</row>
    <row r="87" spans="1:100" s="81" customFormat="1" ht="15" customHeight="1">
      <c r="A87" s="102"/>
      <c r="B87" s="103"/>
      <c r="C87" s="103"/>
      <c r="D87" s="103"/>
      <c r="E87" s="112">
        <v>70</v>
      </c>
      <c r="F87" s="122" t="s">
        <v>638</v>
      </c>
      <c r="G87" s="114"/>
      <c r="H87" s="114"/>
      <c r="I87" s="114"/>
      <c r="J87" s="114"/>
      <c r="K87" s="114"/>
      <c r="L87" s="114"/>
      <c r="M87" s="114"/>
      <c r="N87" s="115"/>
      <c r="O87" s="123" t="s">
        <v>639</v>
      </c>
      <c r="P87" s="114"/>
      <c r="Q87" s="114"/>
      <c r="R87" s="114"/>
      <c r="S87" s="114"/>
      <c r="T87" s="114"/>
      <c r="U87" s="114"/>
      <c r="V87" s="115"/>
      <c r="W87" s="120" t="s">
        <v>502</v>
      </c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5"/>
      <c r="AM87" s="103"/>
      <c r="AN87" s="103"/>
      <c r="AO87" s="103"/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5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</row>
    <row r="88" spans="1:100" s="81" customFormat="1" ht="15" customHeight="1">
      <c r="A88" s="102"/>
      <c r="B88" s="103"/>
      <c r="C88" s="103"/>
      <c r="D88" s="103"/>
      <c r="E88" s="112">
        <v>71</v>
      </c>
      <c r="F88" s="122" t="s">
        <v>640</v>
      </c>
      <c r="G88" s="114"/>
      <c r="H88" s="114"/>
      <c r="I88" s="114"/>
      <c r="J88" s="114"/>
      <c r="K88" s="114"/>
      <c r="L88" s="114"/>
      <c r="M88" s="114"/>
      <c r="N88" s="115"/>
      <c r="O88" s="123" t="s">
        <v>641</v>
      </c>
      <c r="P88" s="114"/>
      <c r="Q88" s="114"/>
      <c r="R88" s="114"/>
      <c r="S88" s="114"/>
      <c r="T88" s="114"/>
      <c r="U88" s="114"/>
      <c r="V88" s="115"/>
      <c r="W88" s="120" t="s">
        <v>502</v>
      </c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5"/>
      <c r="AM88" s="103"/>
      <c r="AN88" s="103"/>
      <c r="AO88" s="103"/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5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</row>
    <row r="89" spans="1:100" s="81" customFormat="1" ht="15" customHeight="1">
      <c r="A89" s="130"/>
      <c r="B89" s="131"/>
      <c r="C89" s="131"/>
      <c r="D89" s="132"/>
      <c r="E89" s="133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131"/>
      <c r="BE89" s="134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</row>
    <row r="90" spans="1:100" s="81" customFormat="1" ht="15" customHeight="1">
      <c r="A90" s="102"/>
      <c r="B90" s="103"/>
      <c r="C90" s="103"/>
      <c r="D90" s="104"/>
      <c r="E90" s="92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C90" s="92"/>
      <c r="BD90" s="103"/>
      <c r="BE90" s="105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</row>
    <row r="91" spans="1:100" s="81" customFormat="1" ht="15" customHeight="1">
      <c r="A91" s="102"/>
      <c r="B91" s="103"/>
      <c r="C91" s="103"/>
      <c r="D91" s="103"/>
      <c r="E91" s="103">
        <v>72</v>
      </c>
      <c r="F91" s="122" t="s">
        <v>642</v>
      </c>
      <c r="G91" s="114"/>
      <c r="H91" s="114"/>
      <c r="I91" s="114"/>
      <c r="J91" s="114"/>
      <c r="K91" s="114"/>
      <c r="L91" s="114"/>
      <c r="M91" s="114"/>
      <c r="N91" s="115"/>
      <c r="O91" s="122" t="s">
        <v>643</v>
      </c>
      <c r="P91" s="114"/>
      <c r="Q91" s="114"/>
      <c r="R91" s="114"/>
      <c r="S91" s="114"/>
      <c r="T91" s="114"/>
      <c r="U91" s="114"/>
      <c r="V91" s="115"/>
      <c r="W91" s="120" t="s">
        <v>502</v>
      </c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5"/>
      <c r="AM91" s="103"/>
      <c r="AN91" s="103"/>
      <c r="AO91" s="103"/>
      <c r="AP91" s="103"/>
      <c r="AQ91" s="103"/>
      <c r="AR91" s="103"/>
      <c r="AS91" s="103"/>
      <c r="AT91" s="103"/>
      <c r="AU91" s="103"/>
      <c r="AV91" s="103"/>
      <c r="AW91" s="103"/>
      <c r="AX91" s="103"/>
      <c r="AY91" s="103"/>
      <c r="AZ91" s="103"/>
      <c r="BA91" s="103"/>
      <c r="BB91" s="103"/>
      <c r="BC91" s="103"/>
      <c r="BD91" s="103"/>
      <c r="BE91" s="105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</row>
    <row r="92" spans="1:100" s="112" customFormat="1" ht="15" customHeight="1">
      <c r="A92" s="111"/>
      <c r="E92" s="112">
        <v>73</v>
      </c>
      <c r="F92" s="113" t="s">
        <v>644</v>
      </c>
      <c r="G92" s="114"/>
      <c r="H92" s="114"/>
      <c r="I92" s="114"/>
      <c r="J92" s="114"/>
      <c r="K92" s="114"/>
      <c r="L92" s="114"/>
      <c r="M92" s="114"/>
      <c r="N92" s="115"/>
      <c r="O92" s="128" t="s">
        <v>645</v>
      </c>
      <c r="P92" s="114"/>
      <c r="Q92" s="114"/>
      <c r="R92" s="114"/>
      <c r="S92" s="114"/>
      <c r="T92" s="114"/>
      <c r="U92" s="114"/>
      <c r="V92" s="115"/>
      <c r="W92" s="120" t="s">
        <v>502</v>
      </c>
      <c r="X92" s="114"/>
      <c r="Y92" s="114"/>
      <c r="Z92" s="114"/>
      <c r="AA92" s="114"/>
      <c r="AB92" s="114"/>
      <c r="AC92" s="114"/>
      <c r="AD92" s="114"/>
      <c r="AE92" s="114"/>
      <c r="AF92" s="114"/>
      <c r="AG92" s="114"/>
      <c r="AH92" s="114"/>
      <c r="AI92" s="114"/>
      <c r="AJ92" s="114"/>
      <c r="AK92" s="114"/>
      <c r="AL92" s="115"/>
      <c r="BE92" s="118"/>
      <c r="BG92" s="119"/>
      <c r="BH92" s="119"/>
      <c r="BI92" s="119"/>
      <c r="BJ92" s="119"/>
      <c r="BK92" s="119"/>
      <c r="BL92" s="119"/>
      <c r="BM92" s="119"/>
      <c r="BN92" s="119"/>
      <c r="BO92" s="119"/>
      <c r="BP92" s="119"/>
      <c r="BQ92" s="119"/>
      <c r="BR92" s="119"/>
      <c r="BS92" s="119"/>
      <c r="BT92" s="119"/>
      <c r="BU92" s="119"/>
      <c r="BV92" s="119"/>
      <c r="BW92" s="119"/>
      <c r="BX92" s="119"/>
      <c r="BY92" s="119"/>
      <c r="BZ92" s="119"/>
      <c r="CA92" s="119"/>
      <c r="CB92" s="119"/>
      <c r="CC92" s="119"/>
      <c r="CD92" s="119"/>
      <c r="CE92" s="119"/>
      <c r="CF92" s="119"/>
      <c r="CG92" s="119"/>
      <c r="CH92" s="119"/>
      <c r="CI92" s="119"/>
      <c r="CJ92" s="119"/>
      <c r="CK92" s="119"/>
      <c r="CL92" s="119"/>
      <c r="CM92" s="119"/>
      <c r="CN92" s="119"/>
      <c r="CO92" s="119"/>
      <c r="CP92" s="119"/>
      <c r="CQ92" s="119"/>
      <c r="CR92" s="119"/>
      <c r="CS92" s="119"/>
      <c r="CT92" s="119"/>
      <c r="CU92" s="119"/>
      <c r="CV92" s="119"/>
    </row>
    <row r="93" spans="1:100" s="112" customFormat="1" ht="15" customHeight="1">
      <c r="A93" s="111"/>
      <c r="E93" s="103">
        <v>74</v>
      </c>
      <c r="F93" s="122" t="s">
        <v>646</v>
      </c>
      <c r="G93" s="114"/>
      <c r="H93" s="114"/>
      <c r="I93" s="114"/>
      <c r="J93" s="114"/>
      <c r="K93" s="114"/>
      <c r="L93" s="114"/>
      <c r="M93" s="114"/>
      <c r="N93" s="115"/>
      <c r="O93" s="128" t="s">
        <v>647</v>
      </c>
      <c r="P93" s="114"/>
      <c r="Q93" s="114"/>
      <c r="R93" s="114"/>
      <c r="S93" s="114"/>
      <c r="T93" s="114"/>
      <c r="U93" s="114"/>
      <c r="V93" s="115"/>
      <c r="W93" s="120" t="s">
        <v>502</v>
      </c>
      <c r="X93" s="114"/>
      <c r="Y93" s="114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5"/>
      <c r="BE93" s="118"/>
      <c r="BG93" s="119"/>
      <c r="BH93" s="119"/>
      <c r="BI93" s="119"/>
      <c r="BJ93" s="119"/>
      <c r="BK93" s="119"/>
      <c r="BL93" s="119"/>
      <c r="BM93" s="119"/>
      <c r="BN93" s="119"/>
      <c r="BO93" s="119"/>
      <c r="BP93" s="119"/>
      <c r="BQ93" s="119"/>
      <c r="BR93" s="119"/>
      <c r="BS93" s="119"/>
      <c r="BT93" s="119"/>
      <c r="BU93" s="119"/>
      <c r="BV93" s="119"/>
      <c r="BW93" s="119"/>
      <c r="BX93" s="119"/>
      <c r="BY93" s="119"/>
      <c r="BZ93" s="119"/>
      <c r="CA93" s="119"/>
      <c r="CB93" s="119"/>
      <c r="CC93" s="119"/>
      <c r="CD93" s="119"/>
      <c r="CE93" s="119"/>
      <c r="CF93" s="119"/>
      <c r="CG93" s="119"/>
      <c r="CH93" s="119"/>
      <c r="CI93" s="119"/>
      <c r="CJ93" s="119"/>
      <c r="CK93" s="119"/>
      <c r="CL93" s="119"/>
      <c r="CM93" s="119"/>
      <c r="CN93" s="119"/>
      <c r="CO93" s="119"/>
      <c r="CP93" s="119"/>
      <c r="CQ93" s="119"/>
      <c r="CR93" s="119"/>
      <c r="CS93" s="119"/>
      <c r="CT93" s="119"/>
      <c r="CU93" s="119"/>
      <c r="CV93" s="119"/>
    </row>
    <row r="94" spans="1:100" s="81" customFormat="1" ht="15" customHeight="1">
      <c r="A94" s="102"/>
      <c r="B94" s="103"/>
      <c r="C94" s="103"/>
      <c r="D94" s="103"/>
      <c r="E94" s="112">
        <v>75</v>
      </c>
      <c r="F94" s="122" t="s">
        <v>648</v>
      </c>
      <c r="G94" s="114"/>
      <c r="H94" s="114"/>
      <c r="I94" s="114"/>
      <c r="J94" s="114"/>
      <c r="K94" s="114"/>
      <c r="L94" s="114"/>
      <c r="M94" s="114"/>
      <c r="N94" s="115"/>
      <c r="O94" s="128" t="s">
        <v>649</v>
      </c>
      <c r="P94" s="114"/>
      <c r="Q94" s="114"/>
      <c r="R94" s="114"/>
      <c r="S94" s="114"/>
      <c r="T94" s="114"/>
      <c r="U94" s="114"/>
      <c r="V94" s="115"/>
      <c r="W94" s="120" t="s">
        <v>502</v>
      </c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5"/>
      <c r="AM94" s="103"/>
      <c r="AN94" s="103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5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</row>
    <row r="95" spans="1:100" s="81" customFormat="1" ht="15" customHeight="1">
      <c r="A95" s="102"/>
      <c r="B95" s="103"/>
      <c r="C95" s="103"/>
      <c r="D95" s="103"/>
      <c r="E95" s="103">
        <v>76</v>
      </c>
      <c r="F95" s="122" t="s">
        <v>650</v>
      </c>
      <c r="G95" s="114"/>
      <c r="H95" s="114"/>
      <c r="I95" s="114"/>
      <c r="J95" s="114"/>
      <c r="K95" s="114"/>
      <c r="L95" s="114"/>
      <c r="M95" s="114"/>
      <c r="N95" s="115"/>
      <c r="O95" s="128" t="s">
        <v>651</v>
      </c>
      <c r="P95" s="114"/>
      <c r="Q95" s="114"/>
      <c r="R95" s="114"/>
      <c r="S95" s="114"/>
      <c r="T95" s="114"/>
      <c r="U95" s="114"/>
      <c r="V95" s="115"/>
      <c r="W95" s="120" t="s">
        <v>502</v>
      </c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5"/>
      <c r="AM95" s="103"/>
      <c r="AN95" s="10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5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</row>
    <row r="96" spans="1:100" s="81" customFormat="1" ht="15" customHeight="1">
      <c r="A96" s="102"/>
      <c r="B96" s="103"/>
      <c r="C96" s="103"/>
      <c r="D96" s="103"/>
      <c r="E96" s="112">
        <v>77</v>
      </c>
      <c r="F96" s="122" t="s">
        <v>652</v>
      </c>
      <c r="G96" s="114"/>
      <c r="H96" s="114"/>
      <c r="I96" s="114"/>
      <c r="J96" s="114"/>
      <c r="K96" s="114"/>
      <c r="L96" s="114"/>
      <c r="M96" s="114"/>
      <c r="N96" s="115"/>
      <c r="O96" s="128" t="s">
        <v>653</v>
      </c>
      <c r="P96" s="114"/>
      <c r="Q96" s="114"/>
      <c r="R96" s="114"/>
      <c r="S96" s="114"/>
      <c r="T96" s="114"/>
      <c r="U96" s="114"/>
      <c r="V96" s="115"/>
      <c r="W96" s="120" t="s">
        <v>502</v>
      </c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5"/>
      <c r="AM96" s="103"/>
      <c r="AN96" s="103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5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</row>
    <row r="97" spans="1:100" s="81" customFormat="1" ht="15" customHeight="1">
      <c r="A97" s="102"/>
      <c r="B97" s="103"/>
      <c r="C97" s="103"/>
      <c r="D97" s="103"/>
      <c r="E97" s="103">
        <v>78</v>
      </c>
      <c r="F97" s="122" t="s">
        <v>654</v>
      </c>
      <c r="G97" s="114"/>
      <c r="H97" s="114"/>
      <c r="I97" s="114"/>
      <c r="J97" s="114"/>
      <c r="K97" s="114"/>
      <c r="L97" s="114"/>
      <c r="M97" s="114"/>
      <c r="N97" s="115"/>
      <c r="O97" s="128" t="s">
        <v>655</v>
      </c>
      <c r="P97" s="114"/>
      <c r="Q97" s="114"/>
      <c r="R97" s="114"/>
      <c r="S97" s="114"/>
      <c r="T97" s="114"/>
      <c r="U97" s="114"/>
      <c r="V97" s="115"/>
      <c r="W97" s="120" t="s">
        <v>502</v>
      </c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5"/>
      <c r="AM97" s="103"/>
      <c r="AN97" s="103"/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5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</row>
    <row r="98" spans="1:100" s="81" customFormat="1" ht="15" customHeight="1">
      <c r="A98" s="102"/>
      <c r="B98" s="103"/>
      <c r="C98" s="103"/>
      <c r="D98" s="103"/>
      <c r="E98" s="112">
        <v>79</v>
      </c>
      <c r="F98" s="122" t="s">
        <v>656</v>
      </c>
      <c r="G98" s="114"/>
      <c r="H98" s="114"/>
      <c r="I98" s="114"/>
      <c r="J98" s="114"/>
      <c r="K98" s="114"/>
      <c r="L98" s="114"/>
      <c r="M98" s="114"/>
      <c r="N98" s="115"/>
      <c r="O98" s="128" t="s">
        <v>657</v>
      </c>
      <c r="P98" s="114"/>
      <c r="Q98" s="114"/>
      <c r="R98" s="114"/>
      <c r="S98" s="114"/>
      <c r="T98" s="114"/>
      <c r="U98" s="114"/>
      <c r="V98" s="115"/>
      <c r="W98" s="120" t="s">
        <v>502</v>
      </c>
      <c r="X98" s="114"/>
      <c r="Y98" s="114"/>
      <c r="Z98" s="114"/>
      <c r="AA98" s="114"/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5"/>
      <c r="AM98" s="103"/>
      <c r="AN98" s="103"/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5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</row>
    <row r="99" spans="1:100" s="81" customFormat="1" ht="15" customHeight="1">
      <c r="A99" s="102"/>
      <c r="B99" s="103"/>
      <c r="C99" s="103"/>
      <c r="D99" s="103"/>
      <c r="E99" s="103">
        <v>80</v>
      </c>
      <c r="F99" s="122" t="s">
        <v>658</v>
      </c>
      <c r="G99" s="114"/>
      <c r="H99" s="114"/>
      <c r="I99" s="114"/>
      <c r="J99" s="114"/>
      <c r="K99" s="114"/>
      <c r="L99" s="114"/>
      <c r="M99" s="114"/>
      <c r="N99" s="115"/>
      <c r="O99" s="128" t="s">
        <v>659</v>
      </c>
      <c r="P99" s="114"/>
      <c r="Q99" s="114"/>
      <c r="R99" s="114"/>
      <c r="S99" s="114"/>
      <c r="T99" s="114"/>
      <c r="U99" s="114"/>
      <c r="V99" s="115"/>
      <c r="W99" s="120" t="s">
        <v>502</v>
      </c>
      <c r="X99" s="114"/>
      <c r="Y99" s="114"/>
      <c r="Z99" s="114"/>
      <c r="AA99" s="114"/>
      <c r="AB99" s="114"/>
      <c r="AC99" s="114"/>
      <c r="AD99" s="114"/>
      <c r="AE99" s="114"/>
      <c r="AF99" s="114"/>
      <c r="AG99" s="114"/>
      <c r="AH99" s="114"/>
      <c r="AI99" s="114"/>
      <c r="AJ99" s="114"/>
      <c r="AK99" s="114"/>
      <c r="AL99" s="115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5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</row>
    <row r="100" spans="1:100" ht="15" customHeight="1">
      <c r="A100" s="87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  <c r="W100" s="99"/>
      <c r="X100" s="99"/>
      <c r="Y100" s="99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99"/>
      <c r="AJ100" s="99"/>
      <c r="AK100" s="99"/>
      <c r="AL100" s="99"/>
      <c r="AM100" s="99"/>
      <c r="AN100" s="99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88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  <c r="BT100" s="89"/>
      <c r="BU100" s="89"/>
      <c r="BV100" s="89"/>
      <c r="BW100" s="89"/>
      <c r="BX100" s="89"/>
      <c r="BY100" s="89"/>
      <c r="BZ100" s="89"/>
      <c r="CA100" s="89"/>
      <c r="CB100" s="89"/>
      <c r="CC100" s="89"/>
      <c r="CD100" s="89"/>
      <c r="CE100" s="89"/>
      <c r="CF100" s="89"/>
      <c r="CG100" s="89"/>
      <c r="CH100" s="89"/>
      <c r="CI100" s="89"/>
      <c r="CJ100" s="89"/>
      <c r="CK100" s="89"/>
      <c r="CL100" s="89"/>
      <c r="CM100" s="89"/>
      <c r="CN100" s="89"/>
      <c r="CO100" s="89"/>
      <c r="CP100" s="89"/>
      <c r="CQ100" s="89"/>
      <c r="CR100" s="89"/>
      <c r="CS100" s="89"/>
      <c r="CT100" s="89"/>
      <c r="CU100" s="89"/>
      <c r="CV100" s="89"/>
    </row>
    <row r="101" spans="1:100" s="112" customFormat="1" ht="15" customHeight="1">
      <c r="A101" s="111"/>
      <c r="E101" s="136" t="s">
        <v>660</v>
      </c>
      <c r="G101" s="137"/>
      <c r="H101" s="138"/>
      <c r="I101" s="139"/>
      <c r="J101" s="139"/>
      <c r="K101" s="139"/>
      <c r="L101" s="139"/>
      <c r="M101" s="137"/>
      <c r="N101" s="138"/>
      <c r="O101" s="139"/>
      <c r="P101" s="138"/>
      <c r="Q101" s="138"/>
      <c r="R101" s="138"/>
      <c r="S101" s="138"/>
      <c r="U101" s="92"/>
      <c r="V101" s="139"/>
      <c r="W101" s="139"/>
      <c r="X101" s="139"/>
      <c r="Y101" s="139"/>
      <c r="Z101" s="139"/>
      <c r="AA101" s="139"/>
      <c r="AB101" s="139"/>
      <c r="AC101" s="139"/>
      <c r="AD101" s="139"/>
      <c r="AF101" s="139"/>
      <c r="AP101" s="103"/>
      <c r="BE101" s="118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19"/>
      <c r="BY101" s="119"/>
      <c r="BZ101" s="119"/>
      <c r="CA101" s="119"/>
      <c r="CB101" s="119"/>
      <c r="CC101" s="119"/>
      <c r="CD101" s="119"/>
      <c r="CE101" s="119"/>
      <c r="CF101" s="119"/>
      <c r="CG101" s="119"/>
      <c r="CH101" s="119"/>
      <c r="CI101" s="119"/>
      <c r="CJ101" s="119"/>
      <c r="CK101" s="119"/>
      <c r="CL101" s="119"/>
      <c r="CM101" s="119"/>
      <c r="CN101" s="119"/>
      <c r="CO101" s="119"/>
      <c r="CP101" s="119"/>
      <c r="CQ101" s="119"/>
      <c r="CR101" s="119"/>
      <c r="CS101" s="119"/>
      <c r="CT101" s="119"/>
      <c r="CU101" s="119"/>
      <c r="CV101" s="119"/>
    </row>
    <row r="102" spans="1:100" s="112" customFormat="1" ht="15" customHeight="1">
      <c r="A102" s="111"/>
      <c r="G102" s="137"/>
      <c r="H102" s="140"/>
      <c r="I102" s="140"/>
      <c r="J102" s="140"/>
      <c r="K102" s="140"/>
      <c r="L102" s="139"/>
      <c r="M102" s="137"/>
      <c r="N102" s="138"/>
      <c r="O102" s="138"/>
      <c r="P102" s="138"/>
      <c r="Q102" s="138"/>
      <c r="R102" s="138"/>
      <c r="S102" s="138"/>
      <c r="T102" s="138"/>
      <c r="U102" s="92"/>
      <c r="V102" s="139"/>
      <c r="W102" s="139"/>
      <c r="X102" s="139"/>
      <c r="Y102" s="139"/>
      <c r="Z102" s="139"/>
      <c r="AA102" s="139"/>
      <c r="AB102" s="139"/>
      <c r="AC102" s="139"/>
      <c r="AD102" s="139"/>
      <c r="AE102" s="139"/>
      <c r="AF102" s="139"/>
      <c r="BE102" s="118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19"/>
      <c r="BY102" s="119"/>
      <c r="BZ102" s="119"/>
      <c r="CA102" s="119"/>
      <c r="CB102" s="119"/>
      <c r="CC102" s="119"/>
      <c r="CD102" s="119"/>
      <c r="CE102" s="119"/>
      <c r="CF102" s="119"/>
      <c r="CG102" s="119"/>
      <c r="CH102" s="119"/>
      <c r="CI102" s="119"/>
      <c r="CJ102" s="119"/>
      <c r="CK102" s="119"/>
      <c r="CL102" s="119"/>
      <c r="CM102" s="119"/>
      <c r="CN102" s="119"/>
      <c r="CO102" s="119"/>
      <c r="CP102" s="119"/>
      <c r="CQ102" s="119"/>
      <c r="CR102" s="119"/>
      <c r="CS102" s="119"/>
      <c r="CT102" s="119"/>
      <c r="CU102" s="119"/>
      <c r="CV102" s="119"/>
    </row>
    <row r="103" spans="1:100" s="112" customFormat="1" ht="15" customHeight="1">
      <c r="A103" s="111"/>
      <c r="I103" s="140"/>
      <c r="J103" s="140"/>
      <c r="K103" s="141"/>
      <c r="L103" s="139"/>
      <c r="M103" s="137"/>
      <c r="N103" s="138"/>
      <c r="O103" s="138"/>
      <c r="P103" s="138"/>
      <c r="Q103" s="138"/>
      <c r="R103" s="138"/>
      <c r="S103" s="138"/>
      <c r="T103" s="138"/>
      <c r="U103" s="92"/>
      <c r="V103" s="139"/>
      <c r="W103" s="139"/>
      <c r="X103" s="139"/>
      <c r="Y103" s="139"/>
      <c r="Z103" s="139"/>
      <c r="AA103" s="139"/>
      <c r="AB103" s="139"/>
      <c r="AC103" s="139"/>
      <c r="AD103" s="139"/>
      <c r="AE103" s="138"/>
      <c r="AF103" s="139"/>
      <c r="BE103" s="118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19"/>
      <c r="BY103" s="119"/>
      <c r="BZ103" s="119"/>
      <c r="CA103" s="119"/>
      <c r="CB103" s="119"/>
      <c r="CC103" s="119"/>
      <c r="CD103" s="119"/>
      <c r="CE103" s="119"/>
      <c r="CF103" s="119"/>
      <c r="CG103" s="119"/>
      <c r="CH103" s="119"/>
      <c r="CI103" s="119"/>
      <c r="CJ103" s="119"/>
      <c r="CK103" s="119"/>
      <c r="CL103" s="119"/>
      <c r="CM103" s="119"/>
      <c r="CN103" s="119"/>
      <c r="CO103" s="119"/>
      <c r="CP103" s="119"/>
      <c r="CQ103" s="119"/>
      <c r="CR103" s="119"/>
      <c r="CS103" s="119"/>
      <c r="CT103" s="119"/>
      <c r="CU103" s="119"/>
      <c r="CV103" s="119"/>
    </row>
    <row r="104" spans="1:100" s="112" customFormat="1" ht="15" customHeight="1">
      <c r="A104" s="111"/>
      <c r="I104" s="140"/>
      <c r="J104" s="140"/>
      <c r="K104" s="141"/>
      <c r="L104" s="139"/>
      <c r="M104" s="137"/>
      <c r="N104" s="138"/>
      <c r="O104" s="138"/>
      <c r="P104" s="138"/>
      <c r="Q104" s="138"/>
      <c r="R104" s="138"/>
      <c r="S104" s="138"/>
      <c r="T104" s="138"/>
      <c r="U104" s="139"/>
      <c r="V104" s="139"/>
      <c r="W104" s="139"/>
      <c r="X104" s="139"/>
      <c r="Y104" s="139"/>
      <c r="Z104" s="139"/>
      <c r="AA104" s="139"/>
      <c r="AB104" s="139"/>
      <c r="AC104" s="139"/>
      <c r="AD104" s="139"/>
      <c r="AE104" s="138"/>
      <c r="AF104" s="139"/>
      <c r="BE104" s="118"/>
      <c r="BG104" s="119"/>
      <c r="BH104" s="119"/>
      <c r="BI104" s="119"/>
      <c r="BJ104" s="119"/>
      <c r="BK104" s="119"/>
      <c r="BL104" s="119"/>
      <c r="BM104" s="119"/>
      <c r="BN104" s="119"/>
      <c r="BO104" s="119"/>
      <c r="BP104" s="119"/>
      <c r="BQ104" s="119"/>
      <c r="BR104" s="119"/>
      <c r="BS104" s="119"/>
      <c r="BT104" s="119"/>
      <c r="BU104" s="119"/>
      <c r="BV104" s="119"/>
      <c r="BW104" s="119"/>
      <c r="BX104" s="119"/>
      <c r="BY104" s="119"/>
      <c r="BZ104" s="119"/>
      <c r="CA104" s="119"/>
      <c r="CB104" s="119"/>
      <c r="CC104" s="119"/>
      <c r="CD104" s="119"/>
      <c r="CE104" s="119"/>
      <c r="CF104" s="119"/>
      <c r="CG104" s="119"/>
      <c r="CH104" s="119"/>
      <c r="CI104" s="119"/>
      <c r="CJ104" s="119"/>
      <c r="CK104" s="119"/>
      <c r="CL104" s="119"/>
      <c r="CM104" s="119"/>
      <c r="CN104" s="119"/>
      <c r="CO104" s="119"/>
      <c r="CP104" s="119"/>
      <c r="CQ104" s="119"/>
      <c r="CR104" s="119"/>
      <c r="CS104" s="119"/>
      <c r="CT104" s="119"/>
      <c r="CU104" s="119"/>
      <c r="CV104" s="119"/>
    </row>
    <row r="105" spans="1:100" s="112" customFormat="1" ht="15" customHeight="1">
      <c r="A105" s="111"/>
      <c r="I105" s="137"/>
      <c r="J105" s="140"/>
      <c r="K105" s="141"/>
      <c r="L105" s="139"/>
      <c r="M105" s="137"/>
      <c r="N105" s="138"/>
      <c r="O105" s="138"/>
      <c r="P105" s="138"/>
      <c r="Q105" s="138"/>
      <c r="R105" s="138"/>
      <c r="S105" s="138"/>
      <c r="T105" s="138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8"/>
      <c r="AF105" s="139"/>
      <c r="BE105" s="118"/>
      <c r="BG105" s="119"/>
      <c r="BH105" s="119"/>
      <c r="BI105" s="119"/>
      <c r="BJ105" s="119"/>
      <c r="BK105" s="119"/>
      <c r="BL105" s="119"/>
      <c r="BM105" s="119"/>
      <c r="BN105" s="119"/>
      <c r="BO105" s="119"/>
      <c r="BP105" s="119"/>
      <c r="BQ105" s="119"/>
      <c r="BR105" s="119"/>
      <c r="BS105" s="119"/>
      <c r="BT105" s="119"/>
      <c r="BU105" s="119"/>
      <c r="BV105" s="119"/>
      <c r="BW105" s="119"/>
      <c r="BX105" s="119"/>
      <c r="BY105" s="119"/>
      <c r="BZ105" s="119"/>
      <c r="CA105" s="119"/>
      <c r="CB105" s="119"/>
      <c r="CC105" s="119"/>
      <c r="CD105" s="119"/>
      <c r="CE105" s="119"/>
      <c r="CF105" s="119"/>
      <c r="CG105" s="119"/>
      <c r="CH105" s="119"/>
      <c r="CI105" s="119"/>
      <c r="CJ105" s="119"/>
      <c r="CK105" s="119"/>
      <c r="CL105" s="119"/>
      <c r="CM105" s="119"/>
      <c r="CN105" s="119"/>
      <c r="CO105" s="119"/>
      <c r="CP105" s="119"/>
      <c r="CQ105" s="119"/>
      <c r="CR105" s="119"/>
      <c r="CS105" s="119"/>
      <c r="CT105" s="119"/>
      <c r="CU105" s="119"/>
      <c r="CV105" s="119"/>
    </row>
    <row r="106" spans="1:100" ht="15" customHeight="1">
      <c r="A106" s="87"/>
      <c r="B106" s="99"/>
      <c r="C106" s="142"/>
      <c r="D106" s="143"/>
      <c r="E106" s="112"/>
      <c r="I106" s="142"/>
      <c r="J106" s="142"/>
      <c r="K106" s="142"/>
      <c r="L106" s="142"/>
      <c r="M106" s="142"/>
      <c r="N106" s="142"/>
      <c r="O106" s="142"/>
      <c r="P106" s="142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99"/>
      <c r="AJ106" s="99"/>
      <c r="AK106" s="99"/>
      <c r="AL106" s="99"/>
      <c r="AM106" s="99"/>
      <c r="AN106" s="99"/>
      <c r="AO106" s="99"/>
      <c r="AP106" s="99"/>
      <c r="AQ106" s="99"/>
      <c r="AR106" s="99"/>
      <c r="AS106" s="99"/>
      <c r="AT106" s="99"/>
      <c r="AU106" s="99"/>
      <c r="AV106" s="99"/>
      <c r="AW106" s="99"/>
      <c r="AX106" s="99"/>
      <c r="AY106" s="99"/>
      <c r="AZ106" s="99"/>
      <c r="BA106" s="99"/>
      <c r="BB106" s="99"/>
      <c r="BC106" s="99"/>
      <c r="BD106" s="99"/>
      <c r="BE106" s="88"/>
      <c r="BF106" s="81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  <c r="BT106" s="89"/>
      <c r="BU106" s="89"/>
      <c r="BV106" s="89"/>
      <c r="BW106" s="89"/>
      <c r="BX106" s="89"/>
      <c r="BY106" s="89"/>
      <c r="BZ106" s="89"/>
      <c r="CA106" s="89"/>
      <c r="CB106" s="89"/>
      <c r="CC106" s="89"/>
      <c r="CD106" s="89"/>
      <c r="CE106" s="89"/>
      <c r="CF106" s="89"/>
      <c r="CG106" s="89"/>
      <c r="CH106" s="89"/>
      <c r="CI106" s="89"/>
      <c r="CJ106" s="89"/>
      <c r="CK106" s="89"/>
      <c r="CL106" s="89"/>
      <c r="CM106" s="89"/>
      <c r="CN106" s="89"/>
      <c r="CO106" s="89"/>
      <c r="CP106" s="89"/>
      <c r="CQ106" s="89"/>
      <c r="CR106" s="89"/>
      <c r="CS106" s="89"/>
      <c r="CT106" s="89"/>
      <c r="CU106" s="89"/>
      <c r="CV106" s="89"/>
    </row>
    <row r="107" spans="1:100" s="81" customFormat="1" ht="15" customHeight="1">
      <c r="A107" s="102"/>
      <c r="B107" s="103"/>
      <c r="C107" s="103"/>
      <c r="D107" s="103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  <c r="AH107" s="144"/>
      <c r="AI107" s="144"/>
      <c r="AJ107" s="144"/>
      <c r="AK107" s="144"/>
      <c r="AL107" s="144"/>
      <c r="AM107" s="144"/>
      <c r="AN107" s="144"/>
      <c r="AO107" s="144"/>
      <c r="AP107" s="144"/>
      <c r="AQ107" s="144"/>
      <c r="AR107" s="144"/>
      <c r="AS107" s="144"/>
      <c r="AT107" s="144"/>
      <c r="AU107" s="144"/>
      <c r="AV107" s="144"/>
      <c r="AW107" s="144"/>
      <c r="AX107" s="144"/>
      <c r="AY107" s="144"/>
      <c r="AZ107" s="144"/>
      <c r="BA107" s="144"/>
      <c r="BB107" s="144"/>
      <c r="BC107" s="92"/>
      <c r="BD107" s="103"/>
      <c r="BE107" s="105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</row>
    <row r="108" spans="1:100" s="112" customFormat="1" ht="15" customHeight="1">
      <c r="A108" s="111"/>
      <c r="F108" s="137"/>
      <c r="G108" s="137"/>
      <c r="H108" s="138"/>
      <c r="I108" s="145"/>
      <c r="J108" s="145"/>
      <c r="K108" s="145"/>
      <c r="L108" s="139"/>
      <c r="M108" s="137"/>
      <c r="N108" s="138"/>
      <c r="P108" s="138"/>
      <c r="Q108" s="138"/>
      <c r="R108" s="138"/>
      <c r="S108" s="138"/>
      <c r="U108" s="138"/>
      <c r="V108" s="139"/>
      <c r="W108" s="139"/>
      <c r="X108" s="139"/>
      <c r="Y108" s="139"/>
      <c r="Z108" s="139"/>
      <c r="AA108" s="139"/>
      <c r="AB108" s="139"/>
      <c r="AC108" s="139"/>
      <c r="AD108" s="139"/>
      <c r="AF108" s="139"/>
      <c r="AG108" s="139"/>
      <c r="AH108" s="139"/>
      <c r="BE108" s="118"/>
      <c r="BF108" s="81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119"/>
      <c r="CA108" s="119"/>
      <c r="CB108" s="119"/>
      <c r="CC108" s="119"/>
      <c r="CD108" s="119"/>
      <c r="CE108" s="119"/>
      <c r="CF108" s="119"/>
      <c r="CG108" s="119"/>
      <c r="CH108" s="119"/>
      <c r="CI108" s="119"/>
      <c r="CJ108" s="119"/>
      <c r="CK108" s="119"/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</row>
    <row r="109" spans="1:100" s="112" customFormat="1" ht="15" customHeight="1">
      <c r="A109" s="111"/>
      <c r="G109" s="137"/>
      <c r="H109" s="137"/>
      <c r="I109" s="138"/>
      <c r="J109" s="145"/>
      <c r="K109" s="145"/>
      <c r="L109" s="139"/>
      <c r="M109" s="137"/>
      <c r="N109" s="138"/>
      <c r="P109" s="138"/>
      <c r="Q109" s="138"/>
      <c r="R109" s="138"/>
      <c r="S109" s="138"/>
      <c r="U109" s="138"/>
      <c r="V109" s="139"/>
      <c r="W109" s="139"/>
      <c r="X109" s="139"/>
      <c r="Y109" s="139"/>
      <c r="Z109" s="139"/>
      <c r="AA109" s="139"/>
      <c r="AB109" s="139"/>
      <c r="AC109" s="139"/>
      <c r="AD109" s="139"/>
      <c r="AF109" s="139"/>
      <c r="AG109" s="139"/>
      <c r="AH109" s="139"/>
      <c r="BE109" s="118"/>
      <c r="BF109" s="81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119"/>
      <c r="CA109" s="119"/>
      <c r="CB109" s="119"/>
      <c r="CC109" s="119"/>
      <c r="CD109" s="119"/>
      <c r="CE109" s="119"/>
      <c r="CF109" s="119"/>
      <c r="CG109" s="119"/>
      <c r="CH109" s="119"/>
      <c r="CI109" s="119"/>
      <c r="CJ109" s="119"/>
      <c r="CK109" s="119"/>
      <c r="CL109" s="119"/>
      <c r="CM109" s="119"/>
      <c r="CN109" s="119"/>
      <c r="CO109" s="119"/>
      <c r="CP109" s="119"/>
      <c r="CQ109" s="119"/>
      <c r="CR109" s="119"/>
      <c r="CS109" s="119"/>
      <c r="CT109" s="119"/>
      <c r="CU109" s="119"/>
      <c r="CV109" s="119"/>
    </row>
    <row r="110" spans="1:100" s="112" customFormat="1" ht="15" customHeight="1">
      <c r="A110" s="111"/>
      <c r="G110" s="137"/>
      <c r="H110" s="137"/>
      <c r="I110" s="138"/>
      <c r="J110" s="145"/>
      <c r="K110" s="145"/>
      <c r="L110" s="139"/>
      <c r="M110" s="137"/>
      <c r="N110" s="138"/>
      <c r="P110" s="138"/>
      <c r="Q110" s="138"/>
      <c r="R110" s="138"/>
      <c r="S110" s="138"/>
      <c r="U110" s="138"/>
      <c r="V110" s="139"/>
      <c r="W110" s="139"/>
      <c r="X110" s="139"/>
      <c r="Y110" s="139"/>
      <c r="Z110" s="139"/>
      <c r="AA110" s="139"/>
      <c r="AB110" s="139"/>
      <c r="AC110" s="139"/>
      <c r="AD110" s="139"/>
      <c r="AF110" s="139"/>
      <c r="AG110" s="139"/>
      <c r="AH110" s="139"/>
      <c r="BE110" s="118"/>
      <c r="BF110" s="81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119"/>
      <c r="CA110" s="119"/>
      <c r="CB110" s="119"/>
      <c r="CC110" s="119"/>
      <c r="CD110" s="119"/>
      <c r="CE110" s="119"/>
      <c r="CF110" s="119"/>
      <c r="CG110" s="119"/>
      <c r="CH110" s="119"/>
      <c r="CI110" s="119"/>
      <c r="CJ110" s="119"/>
      <c r="CK110" s="119"/>
      <c r="CL110" s="119"/>
      <c r="CM110" s="119"/>
      <c r="CN110" s="119"/>
      <c r="CO110" s="119"/>
      <c r="CP110" s="119"/>
      <c r="CQ110" s="119"/>
      <c r="CR110" s="119"/>
      <c r="CS110" s="119"/>
      <c r="CT110" s="119"/>
      <c r="CU110" s="119"/>
      <c r="CV110" s="119"/>
    </row>
    <row r="111" spans="1:100" s="112" customFormat="1" ht="15" customHeight="1">
      <c r="A111" s="111"/>
      <c r="G111" s="137"/>
      <c r="H111" s="137"/>
      <c r="I111" s="138"/>
      <c r="J111" s="145"/>
      <c r="K111" s="145"/>
      <c r="L111" s="139"/>
      <c r="M111" s="137"/>
      <c r="N111" s="138"/>
      <c r="P111" s="138"/>
      <c r="Q111" s="138"/>
      <c r="R111" s="138"/>
      <c r="S111" s="138"/>
      <c r="U111" s="138"/>
      <c r="V111" s="139"/>
      <c r="W111" s="139"/>
      <c r="X111" s="139"/>
      <c r="Y111" s="139"/>
      <c r="Z111" s="139"/>
      <c r="AA111" s="139"/>
      <c r="AB111" s="139"/>
      <c r="AC111" s="139"/>
      <c r="AD111" s="139"/>
      <c r="AF111" s="139"/>
      <c r="AG111" s="139"/>
      <c r="AH111" s="139"/>
      <c r="BE111" s="118"/>
      <c r="BF111" s="81"/>
      <c r="BG111" s="119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19"/>
      <c r="BX111" s="119"/>
      <c r="BY111" s="119"/>
      <c r="BZ111" s="119"/>
      <c r="CA111" s="119"/>
      <c r="CB111" s="119"/>
      <c r="CC111" s="119"/>
      <c r="CD111" s="119"/>
      <c r="CE111" s="119"/>
      <c r="CF111" s="119"/>
      <c r="CG111" s="119"/>
      <c r="CH111" s="119"/>
      <c r="CI111" s="119"/>
      <c r="CJ111" s="119"/>
      <c r="CK111" s="119"/>
      <c r="CL111" s="119"/>
      <c r="CM111" s="119"/>
      <c r="CN111" s="119"/>
      <c r="CO111" s="119"/>
      <c r="CP111" s="119"/>
      <c r="CQ111" s="119"/>
      <c r="CR111" s="119"/>
      <c r="CS111" s="119"/>
      <c r="CT111" s="119"/>
      <c r="CU111" s="119"/>
      <c r="CV111" s="119"/>
    </row>
    <row r="112" spans="1:100" s="112" customFormat="1" ht="15" customHeight="1">
      <c r="A112" s="111"/>
      <c r="G112" s="137"/>
      <c r="H112" s="137"/>
      <c r="I112" s="138"/>
      <c r="J112" s="145"/>
      <c r="K112" s="145"/>
      <c r="L112" s="139"/>
      <c r="M112" s="137"/>
      <c r="N112" s="138"/>
      <c r="P112" s="138"/>
      <c r="Q112" s="138"/>
      <c r="R112" s="138"/>
      <c r="S112" s="138"/>
      <c r="U112" s="138"/>
      <c r="V112" s="139"/>
      <c r="W112" s="139"/>
      <c r="X112" s="139"/>
      <c r="Y112" s="139"/>
      <c r="Z112" s="139"/>
      <c r="AA112" s="139"/>
      <c r="AB112" s="139"/>
      <c r="AC112" s="139"/>
      <c r="AD112" s="139"/>
      <c r="AF112" s="139"/>
      <c r="AG112" s="139"/>
      <c r="AH112" s="139"/>
      <c r="BE112" s="118"/>
      <c r="BF112" s="81"/>
      <c r="BG112" s="119"/>
      <c r="BH112" s="119"/>
      <c r="BI112" s="119"/>
      <c r="BJ112" s="119"/>
      <c r="BK112" s="119"/>
      <c r="BL112" s="119"/>
      <c r="BM112" s="119"/>
      <c r="BN112" s="119"/>
      <c r="BO112" s="119"/>
      <c r="BP112" s="119"/>
      <c r="BQ112" s="119"/>
      <c r="BR112" s="119"/>
      <c r="BS112" s="119"/>
      <c r="BT112" s="119"/>
      <c r="BU112" s="119"/>
      <c r="BV112" s="119"/>
      <c r="BW112" s="119"/>
      <c r="BX112" s="119"/>
      <c r="BY112" s="119"/>
      <c r="BZ112" s="119"/>
      <c r="CA112" s="119"/>
      <c r="CB112" s="119"/>
      <c r="CC112" s="119"/>
      <c r="CD112" s="119"/>
      <c r="CE112" s="119"/>
      <c r="CF112" s="119"/>
      <c r="CG112" s="119"/>
      <c r="CH112" s="119"/>
      <c r="CI112" s="119"/>
      <c r="CJ112" s="119"/>
      <c r="CK112" s="119"/>
      <c r="CL112" s="119"/>
      <c r="CM112" s="119"/>
      <c r="CN112" s="119"/>
      <c r="CO112" s="119"/>
      <c r="CP112" s="119"/>
      <c r="CQ112" s="119"/>
      <c r="CR112" s="119"/>
      <c r="CS112" s="119"/>
      <c r="CT112" s="119"/>
      <c r="CU112" s="119"/>
      <c r="CV112" s="119"/>
    </row>
    <row r="113" spans="1:100" s="112" customFormat="1" ht="15" customHeight="1">
      <c r="A113" s="111"/>
      <c r="G113" s="137"/>
      <c r="H113" s="137"/>
      <c r="I113" s="138"/>
      <c r="J113" s="145"/>
      <c r="K113" s="145"/>
      <c r="L113" s="139"/>
      <c r="M113" s="137"/>
      <c r="N113" s="138"/>
      <c r="P113" s="138"/>
      <c r="Q113" s="138"/>
      <c r="R113" s="138"/>
      <c r="S113" s="138"/>
      <c r="U113" s="138"/>
      <c r="V113" s="139"/>
      <c r="W113" s="139"/>
      <c r="X113" s="139"/>
      <c r="Y113" s="139"/>
      <c r="Z113" s="139"/>
      <c r="AA113" s="139"/>
      <c r="AB113" s="139"/>
      <c r="AC113" s="139"/>
      <c r="AD113" s="139"/>
      <c r="AF113" s="139"/>
      <c r="AG113" s="139"/>
      <c r="AH113" s="139"/>
      <c r="BE113" s="118"/>
      <c r="BF113" s="81"/>
      <c r="BG113" s="119"/>
      <c r="BH113" s="119"/>
      <c r="BI113" s="119"/>
      <c r="BJ113" s="119"/>
      <c r="BK113" s="119"/>
      <c r="BL113" s="119"/>
      <c r="BM113" s="119"/>
      <c r="BN113" s="119"/>
      <c r="BO113" s="119"/>
      <c r="BP113" s="119"/>
      <c r="BQ113" s="119"/>
      <c r="BR113" s="119"/>
      <c r="BS113" s="119"/>
      <c r="BT113" s="119"/>
      <c r="BU113" s="119"/>
      <c r="BV113" s="119"/>
      <c r="BW113" s="119"/>
      <c r="BX113" s="119"/>
      <c r="BY113" s="119"/>
      <c r="BZ113" s="119"/>
      <c r="CA113" s="119"/>
      <c r="CB113" s="119"/>
      <c r="CC113" s="119"/>
      <c r="CD113" s="119"/>
      <c r="CE113" s="119"/>
      <c r="CF113" s="119"/>
      <c r="CG113" s="119"/>
      <c r="CH113" s="119"/>
      <c r="CI113" s="119"/>
      <c r="CJ113" s="119"/>
      <c r="CK113" s="119"/>
      <c r="CL113" s="119"/>
      <c r="CM113" s="119"/>
      <c r="CN113" s="119"/>
      <c r="CO113" s="119"/>
      <c r="CP113" s="119"/>
      <c r="CQ113" s="119"/>
      <c r="CR113" s="119"/>
      <c r="CS113" s="119"/>
      <c r="CT113" s="119"/>
      <c r="CU113" s="119"/>
      <c r="CV113" s="119"/>
    </row>
    <row r="114" spans="1:100" s="112" customFormat="1" ht="15" customHeight="1">
      <c r="A114" s="111"/>
      <c r="G114" s="137"/>
      <c r="H114" s="137"/>
      <c r="I114" s="138"/>
      <c r="J114" s="145"/>
      <c r="K114" s="145"/>
      <c r="L114" s="139"/>
      <c r="M114" s="137"/>
      <c r="N114" s="138"/>
      <c r="P114" s="138"/>
      <c r="Q114" s="138"/>
      <c r="R114" s="138"/>
      <c r="S114" s="138"/>
      <c r="U114" s="138"/>
      <c r="V114" s="139"/>
      <c r="W114" s="139"/>
      <c r="X114" s="139"/>
      <c r="Y114" s="139"/>
      <c r="Z114" s="139"/>
      <c r="AA114" s="139"/>
      <c r="AB114" s="139"/>
      <c r="AC114" s="139"/>
      <c r="AD114" s="139"/>
      <c r="AF114" s="139"/>
      <c r="AG114" s="139"/>
      <c r="AH114" s="139"/>
      <c r="BE114" s="118"/>
      <c r="BF114" s="81"/>
      <c r="BG114" s="119"/>
      <c r="BH114" s="119"/>
      <c r="BI114" s="119"/>
      <c r="BJ114" s="119"/>
      <c r="BK114" s="119"/>
      <c r="BL114" s="119"/>
      <c r="BM114" s="119"/>
      <c r="BN114" s="119"/>
      <c r="BO114" s="119"/>
      <c r="BP114" s="119"/>
      <c r="BQ114" s="119"/>
      <c r="BR114" s="119"/>
      <c r="BS114" s="119"/>
      <c r="BT114" s="119"/>
      <c r="BU114" s="119"/>
      <c r="BV114" s="119"/>
      <c r="BW114" s="119"/>
      <c r="BX114" s="119"/>
      <c r="BY114" s="119"/>
      <c r="BZ114" s="119"/>
      <c r="CA114" s="119"/>
      <c r="CB114" s="119"/>
      <c r="CC114" s="119"/>
      <c r="CD114" s="119"/>
      <c r="CE114" s="119"/>
      <c r="CF114" s="119"/>
      <c r="CG114" s="119"/>
      <c r="CH114" s="119"/>
      <c r="CI114" s="119"/>
      <c r="CJ114" s="119"/>
      <c r="CK114" s="119"/>
      <c r="CL114" s="119"/>
      <c r="CM114" s="119"/>
      <c r="CN114" s="119"/>
      <c r="CO114" s="119"/>
      <c r="CP114" s="119"/>
      <c r="CQ114" s="119"/>
      <c r="CR114" s="119"/>
      <c r="CS114" s="119"/>
      <c r="CT114" s="119"/>
      <c r="CU114" s="119"/>
      <c r="CV114" s="119"/>
    </row>
    <row r="115" spans="1:100" s="112" customFormat="1" ht="15" customHeight="1">
      <c r="A115" s="111"/>
      <c r="G115" s="137"/>
      <c r="H115" s="137"/>
      <c r="I115" s="138"/>
      <c r="J115" s="145"/>
      <c r="K115" s="145"/>
      <c r="L115" s="139"/>
      <c r="M115" s="137"/>
      <c r="N115" s="138"/>
      <c r="P115" s="138"/>
      <c r="Q115" s="138"/>
      <c r="R115" s="138"/>
      <c r="S115" s="138"/>
      <c r="U115" s="138"/>
      <c r="V115" s="139"/>
      <c r="W115" s="139"/>
      <c r="X115" s="139"/>
      <c r="Y115" s="139"/>
      <c r="Z115" s="139"/>
      <c r="AA115" s="139"/>
      <c r="AB115" s="139"/>
      <c r="AC115" s="139"/>
      <c r="AD115" s="139"/>
      <c r="AF115" s="139"/>
      <c r="AG115" s="139"/>
      <c r="AH115" s="139"/>
      <c r="BE115" s="118"/>
      <c r="BF115" s="81"/>
      <c r="BG115" s="119"/>
      <c r="BH115" s="119"/>
      <c r="BI115" s="119"/>
      <c r="BJ115" s="119"/>
      <c r="BK115" s="119"/>
      <c r="BL115" s="119"/>
      <c r="BM115" s="119"/>
      <c r="BN115" s="119"/>
      <c r="BO115" s="119"/>
      <c r="BP115" s="119"/>
      <c r="BQ115" s="119"/>
      <c r="BR115" s="119"/>
      <c r="BS115" s="119"/>
      <c r="BT115" s="119"/>
      <c r="BU115" s="119"/>
      <c r="BV115" s="119"/>
      <c r="BW115" s="119"/>
      <c r="BX115" s="119"/>
      <c r="BY115" s="119"/>
      <c r="BZ115" s="119"/>
      <c r="CA115" s="119"/>
      <c r="CB115" s="119"/>
      <c r="CC115" s="119"/>
      <c r="CD115" s="119"/>
      <c r="CE115" s="119"/>
      <c r="CF115" s="119"/>
      <c r="CG115" s="119"/>
      <c r="CH115" s="119"/>
      <c r="CI115" s="119"/>
      <c r="CJ115" s="119"/>
      <c r="CK115" s="119"/>
      <c r="CL115" s="119"/>
      <c r="CM115" s="119"/>
      <c r="CN115" s="119"/>
      <c r="CO115" s="119"/>
      <c r="CP115" s="119"/>
      <c r="CQ115" s="119"/>
      <c r="CR115" s="119"/>
      <c r="CS115" s="119"/>
      <c r="CT115" s="119"/>
      <c r="CU115" s="119"/>
      <c r="CV115" s="119"/>
    </row>
    <row r="116" spans="1:100" s="112" customFormat="1" ht="15" customHeight="1">
      <c r="A116" s="111"/>
      <c r="G116" s="137"/>
      <c r="H116" s="137"/>
      <c r="I116" s="138"/>
      <c r="J116" s="145"/>
      <c r="K116" s="145"/>
      <c r="L116" s="139"/>
      <c r="M116" s="137"/>
      <c r="N116" s="138"/>
      <c r="P116" s="138"/>
      <c r="Q116" s="138"/>
      <c r="R116" s="138"/>
      <c r="S116" s="138"/>
      <c r="U116" s="138"/>
      <c r="V116" s="139"/>
      <c r="W116" s="139"/>
      <c r="X116" s="139"/>
      <c r="Y116" s="139"/>
      <c r="Z116" s="139"/>
      <c r="AA116" s="139"/>
      <c r="AB116" s="139"/>
      <c r="AC116" s="139"/>
      <c r="AD116" s="139"/>
      <c r="AF116" s="139"/>
      <c r="AG116" s="139"/>
      <c r="AH116" s="139"/>
      <c r="BE116" s="118"/>
      <c r="BF116" s="81"/>
      <c r="BG116" s="119"/>
      <c r="BH116" s="119"/>
      <c r="BI116" s="119"/>
      <c r="BJ116" s="119"/>
      <c r="BK116" s="119"/>
      <c r="BL116" s="119"/>
      <c r="BM116" s="119"/>
      <c r="BN116" s="119"/>
      <c r="BO116" s="119"/>
      <c r="BP116" s="119"/>
      <c r="BQ116" s="119"/>
      <c r="BR116" s="119"/>
      <c r="BS116" s="119"/>
      <c r="BT116" s="119"/>
      <c r="BU116" s="119"/>
      <c r="BV116" s="119"/>
      <c r="BW116" s="119"/>
      <c r="BX116" s="119"/>
      <c r="BY116" s="119"/>
      <c r="BZ116" s="119"/>
      <c r="CA116" s="119"/>
      <c r="CB116" s="119"/>
      <c r="CC116" s="119"/>
      <c r="CD116" s="119"/>
      <c r="CE116" s="119"/>
      <c r="CF116" s="119"/>
      <c r="CG116" s="119"/>
      <c r="CH116" s="119"/>
      <c r="CI116" s="119"/>
      <c r="CJ116" s="119"/>
      <c r="CK116" s="119"/>
      <c r="CL116" s="119"/>
      <c r="CM116" s="119"/>
      <c r="CN116" s="119"/>
      <c r="CO116" s="119"/>
      <c r="CP116" s="119"/>
      <c r="CQ116" s="119"/>
      <c r="CR116" s="119"/>
      <c r="CS116" s="119"/>
      <c r="CT116" s="119"/>
      <c r="CU116" s="119"/>
      <c r="CV116" s="119"/>
    </row>
    <row r="117" spans="1:100" s="112" customFormat="1" ht="15" customHeight="1">
      <c r="A117" s="111"/>
      <c r="G117" s="137"/>
      <c r="H117" s="137"/>
      <c r="I117" s="138"/>
      <c r="J117" s="145"/>
      <c r="K117" s="145"/>
      <c r="L117" s="139"/>
      <c r="M117" s="137"/>
      <c r="N117" s="138"/>
      <c r="P117" s="138"/>
      <c r="Q117" s="138"/>
      <c r="R117" s="138"/>
      <c r="S117" s="138"/>
      <c r="U117" s="138"/>
      <c r="V117" s="139"/>
      <c r="W117" s="139"/>
      <c r="X117" s="139"/>
      <c r="Y117" s="139"/>
      <c r="Z117" s="139"/>
      <c r="AA117" s="139"/>
      <c r="AB117" s="139"/>
      <c r="AC117" s="139"/>
      <c r="AD117" s="139"/>
      <c r="AF117" s="139"/>
      <c r="AG117" s="139"/>
      <c r="AH117" s="139"/>
      <c r="BE117" s="118"/>
      <c r="BF117" s="81"/>
      <c r="BG117" s="119"/>
      <c r="BH117" s="119"/>
      <c r="BI117" s="119"/>
      <c r="BJ117" s="119"/>
      <c r="BK117" s="119"/>
      <c r="BL117" s="119"/>
      <c r="BM117" s="119"/>
      <c r="BN117" s="119"/>
      <c r="BO117" s="119"/>
      <c r="BP117" s="119"/>
      <c r="BQ117" s="119"/>
      <c r="BR117" s="119"/>
      <c r="BS117" s="119"/>
      <c r="BT117" s="119"/>
      <c r="BU117" s="119"/>
      <c r="BV117" s="119"/>
      <c r="BW117" s="119"/>
      <c r="BX117" s="119"/>
      <c r="BY117" s="119"/>
      <c r="BZ117" s="119"/>
      <c r="CA117" s="119"/>
      <c r="CB117" s="119"/>
      <c r="CC117" s="119"/>
      <c r="CD117" s="119"/>
      <c r="CE117" s="119"/>
      <c r="CF117" s="119"/>
      <c r="CG117" s="119"/>
      <c r="CH117" s="119"/>
      <c r="CI117" s="119"/>
      <c r="CJ117" s="119"/>
      <c r="CK117" s="119"/>
      <c r="CL117" s="119"/>
      <c r="CM117" s="119"/>
      <c r="CN117" s="119"/>
      <c r="CO117" s="119"/>
      <c r="CP117" s="119"/>
      <c r="CQ117" s="119"/>
      <c r="CR117" s="119"/>
      <c r="CS117" s="119"/>
      <c r="CT117" s="119"/>
      <c r="CU117" s="119"/>
      <c r="CV117" s="119"/>
    </row>
    <row r="118" spans="1:100" s="112" customFormat="1" ht="15" customHeight="1">
      <c r="A118" s="111"/>
      <c r="G118" s="137"/>
      <c r="H118" s="137"/>
      <c r="I118" s="138"/>
      <c r="J118" s="145"/>
      <c r="K118" s="145"/>
      <c r="L118" s="139"/>
      <c r="M118" s="137"/>
      <c r="N118" s="138"/>
      <c r="P118" s="138"/>
      <c r="Q118" s="138"/>
      <c r="R118" s="138"/>
      <c r="S118" s="138"/>
      <c r="U118" s="138"/>
      <c r="V118" s="139"/>
      <c r="W118" s="139"/>
      <c r="X118" s="139"/>
      <c r="Y118" s="139"/>
      <c r="Z118" s="139"/>
      <c r="AA118" s="139"/>
      <c r="AB118" s="139"/>
      <c r="AC118" s="139"/>
      <c r="AD118" s="139"/>
      <c r="AF118" s="139"/>
      <c r="AG118" s="139"/>
      <c r="AH118" s="139"/>
      <c r="BE118" s="118"/>
      <c r="BF118" s="81"/>
      <c r="BG118" s="119"/>
      <c r="BH118" s="119"/>
      <c r="BI118" s="119"/>
      <c r="BJ118" s="119"/>
      <c r="BK118" s="119"/>
      <c r="BL118" s="119"/>
      <c r="BM118" s="119"/>
      <c r="BN118" s="119"/>
      <c r="BO118" s="119"/>
      <c r="BP118" s="119"/>
      <c r="BQ118" s="119"/>
      <c r="BR118" s="119"/>
      <c r="BS118" s="119"/>
      <c r="BT118" s="119"/>
      <c r="BU118" s="119"/>
      <c r="BV118" s="119"/>
      <c r="BW118" s="119"/>
      <c r="BX118" s="119"/>
      <c r="BY118" s="119"/>
      <c r="BZ118" s="119"/>
      <c r="CA118" s="119"/>
      <c r="CB118" s="119"/>
      <c r="CC118" s="119"/>
      <c r="CD118" s="119"/>
      <c r="CE118" s="119"/>
      <c r="CF118" s="119"/>
      <c r="CG118" s="119"/>
      <c r="CH118" s="119"/>
      <c r="CI118" s="119"/>
      <c r="CJ118" s="119"/>
      <c r="CK118" s="119"/>
      <c r="CL118" s="119"/>
      <c r="CM118" s="119"/>
      <c r="CN118" s="119"/>
      <c r="CO118" s="119"/>
      <c r="CP118" s="119"/>
      <c r="CQ118" s="119"/>
      <c r="CR118" s="119"/>
      <c r="CS118" s="119"/>
      <c r="CT118" s="119"/>
      <c r="CU118" s="119"/>
      <c r="CV118" s="119"/>
    </row>
    <row r="119" spans="1:100" s="112" customFormat="1" ht="15" customHeight="1">
      <c r="A119" s="111"/>
      <c r="G119" s="137"/>
      <c r="H119" s="137"/>
      <c r="I119" s="138"/>
      <c r="J119" s="145"/>
      <c r="K119" s="145"/>
      <c r="L119" s="139"/>
      <c r="M119" s="137"/>
      <c r="N119" s="138"/>
      <c r="P119" s="138"/>
      <c r="Q119" s="138"/>
      <c r="R119" s="138"/>
      <c r="S119" s="138"/>
      <c r="U119" s="138"/>
      <c r="V119" s="139"/>
      <c r="W119" s="139"/>
      <c r="X119" s="139"/>
      <c r="Y119" s="139"/>
      <c r="Z119" s="139"/>
      <c r="AA119" s="139"/>
      <c r="AB119" s="139"/>
      <c r="AC119" s="139"/>
      <c r="AD119" s="139"/>
      <c r="AF119" s="139"/>
      <c r="AG119" s="139"/>
      <c r="AH119" s="139"/>
      <c r="BE119" s="118"/>
      <c r="BF119" s="81"/>
      <c r="BG119" s="119"/>
      <c r="BH119" s="119"/>
      <c r="BI119" s="119"/>
      <c r="BJ119" s="119"/>
      <c r="BK119" s="119"/>
      <c r="BL119" s="119"/>
      <c r="BM119" s="119"/>
      <c r="BN119" s="119"/>
      <c r="BO119" s="119"/>
      <c r="BP119" s="119"/>
      <c r="BQ119" s="119"/>
      <c r="BR119" s="119"/>
      <c r="BS119" s="119"/>
      <c r="BT119" s="119"/>
      <c r="BU119" s="119"/>
      <c r="BV119" s="119"/>
      <c r="BW119" s="119"/>
      <c r="BX119" s="119"/>
      <c r="BY119" s="119"/>
      <c r="BZ119" s="119"/>
      <c r="CA119" s="119"/>
      <c r="CB119" s="119"/>
      <c r="CC119" s="119"/>
      <c r="CD119" s="119"/>
      <c r="CE119" s="119"/>
      <c r="CF119" s="119"/>
      <c r="CG119" s="119"/>
      <c r="CH119" s="119"/>
      <c r="CI119" s="119"/>
      <c r="CJ119" s="119"/>
      <c r="CK119" s="119"/>
      <c r="CL119" s="119"/>
      <c r="CM119" s="119"/>
      <c r="CN119" s="119"/>
      <c r="CO119" s="119"/>
      <c r="CP119" s="119"/>
      <c r="CQ119" s="119"/>
      <c r="CR119" s="119"/>
      <c r="CS119" s="119"/>
      <c r="CT119" s="119"/>
      <c r="CU119" s="119"/>
      <c r="CV119" s="119"/>
    </row>
    <row r="120" spans="1:100" s="112" customFormat="1" ht="15" customHeight="1">
      <c r="A120" s="111"/>
      <c r="G120" s="137"/>
      <c r="H120" s="137"/>
      <c r="I120" s="138"/>
      <c r="J120" s="145"/>
      <c r="K120" s="145"/>
      <c r="L120" s="139"/>
      <c r="M120" s="137"/>
      <c r="N120" s="138"/>
      <c r="P120" s="138"/>
      <c r="Q120" s="138"/>
      <c r="R120" s="138"/>
      <c r="S120" s="138"/>
      <c r="U120" s="138"/>
      <c r="V120" s="139"/>
      <c r="W120" s="139"/>
      <c r="X120" s="139"/>
      <c r="Y120" s="139"/>
      <c r="Z120" s="139"/>
      <c r="AA120" s="139"/>
      <c r="AB120" s="139"/>
      <c r="AC120" s="139"/>
      <c r="AD120" s="139"/>
      <c r="AF120" s="139"/>
      <c r="AG120" s="139"/>
      <c r="AH120" s="139"/>
      <c r="BE120" s="118"/>
      <c r="BF120" s="81"/>
      <c r="BG120" s="119"/>
      <c r="BH120" s="119"/>
      <c r="BI120" s="119"/>
      <c r="BJ120" s="119"/>
      <c r="BK120" s="119"/>
      <c r="BL120" s="119"/>
      <c r="BM120" s="119"/>
      <c r="BN120" s="119"/>
      <c r="BO120" s="119"/>
      <c r="BP120" s="119"/>
      <c r="BQ120" s="119"/>
      <c r="BR120" s="119"/>
      <c r="BS120" s="119"/>
      <c r="BT120" s="119"/>
      <c r="BU120" s="119"/>
      <c r="BV120" s="119"/>
      <c r="BW120" s="119"/>
      <c r="BX120" s="119"/>
      <c r="BY120" s="119"/>
      <c r="BZ120" s="119"/>
      <c r="CA120" s="119"/>
      <c r="CB120" s="119"/>
      <c r="CC120" s="119"/>
      <c r="CD120" s="119"/>
      <c r="CE120" s="119"/>
      <c r="CF120" s="119"/>
      <c r="CG120" s="119"/>
      <c r="CH120" s="119"/>
      <c r="CI120" s="119"/>
      <c r="CJ120" s="119"/>
      <c r="CK120" s="119"/>
      <c r="CL120" s="119"/>
      <c r="CM120" s="119"/>
      <c r="CN120" s="119"/>
      <c r="CO120" s="119"/>
      <c r="CP120" s="119"/>
      <c r="CQ120" s="119"/>
      <c r="CR120" s="119"/>
      <c r="CS120" s="119"/>
      <c r="CT120" s="119"/>
      <c r="CU120" s="119"/>
      <c r="CV120" s="119"/>
    </row>
    <row r="121" spans="1:100" s="112" customFormat="1" ht="15" customHeight="1">
      <c r="A121" s="111"/>
      <c r="G121" s="137"/>
      <c r="H121" s="137"/>
      <c r="I121" s="138"/>
      <c r="J121" s="145"/>
      <c r="K121" s="145"/>
      <c r="L121" s="139"/>
      <c r="M121" s="137"/>
      <c r="N121" s="138"/>
      <c r="P121" s="138"/>
      <c r="Q121" s="138"/>
      <c r="R121" s="138"/>
      <c r="S121" s="138"/>
      <c r="U121" s="138"/>
      <c r="V121" s="139"/>
      <c r="W121" s="139"/>
      <c r="X121" s="139"/>
      <c r="Y121" s="139"/>
      <c r="Z121" s="139"/>
      <c r="AA121" s="139"/>
      <c r="AB121" s="139"/>
      <c r="AC121" s="139"/>
      <c r="AD121" s="139"/>
      <c r="AF121" s="139"/>
      <c r="AG121" s="139"/>
      <c r="AH121" s="139"/>
      <c r="BE121" s="118"/>
      <c r="BF121" s="81"/>
      <c r="BG121" s="119"/>
      <c r="BH121" s="119"/>
      <c r="BI121" s="119"/>
      <c r="BJ121" s="119"/>
      <c r="BK121" s="119"/>
      <c r="BL121" s="119"/>
      <c r="BM121" s="119"/>
      <c r="BN121" s="119"/>
      <c r="BO121" s="119"/>
      <c r="BP121" s="119"/>
      <c r="BQ121" s="119"/>
      <c r="BR121" s="119"/>
      <c r="BS121" s="119"/>
      <c r="BT121" s="119"/>
      <c r="BU121" s="119"/>
      <c r="BV121" s="119"/>
      <c r="BW121" s="119"/>
      <c r="BX121" s="119"/>
      <c r="BY121" s="119"/>
      <c r="BZ121" s="119"/>
      <c r="CA121" s="119"/>
      <c r="CB121" s="119"/>
      <c r="CC121" s="119"/>
      <c r="CD121" s="119"/>
      <c r="CE121" s="119"/>
      <c r="CF121" s="119"/>
      <c r="CG121" s="119"/>
      <c r="CH121" s="119"/>
      <c r="CI121" s="119"/>
      <c r="CJ121" s="119"/>
      <c r="CK121" s="119"/>
      <c r="CL121" s="119"/>
      <c r="CM121" s="119"/>
      <c r="CN121" s="119"/>
      <c r="CO121" s="119"/>
      <c r="CP121" s="119"/>
      <c r="CQ121" s="119"/>
      <c r="CR121" s="119"/>
      <c r="CS121" s="119"/>
      <c r="CT121" s="119"/>
      <c r="CU121" s="119"/>
      <c r="CV121" s="119"/>
    </row>
    <row r="122" spans="1:100" s="112" customFormat="1" ht="15" customHeight="1">
      <c r="A122" s="111"/>
      <c r="G122" s="137"/>
      <c r="H122" s="137"/>
      <c r="I122" s="138"/>
      <c r="J122" s="145"/>
      <c r="K122" s="145"/>
      <c r="L122" s="139"/>
      <c r="M122" s="137"/>
      <c r="N122" s="138"/>
      <c r="P122" s="138"/>
      <c r="Q122" s="138"/>
      <c r="R122" s="138"/>
      <c r="S122" s="138"/>
      <c r="U122" s="138"/>
      <c r="V122" s="139"/>
      <c r="W122" s="139"/>
      <c r="X122" s="139"/>
      <c r="Y122" s="139"/>
      <c r="Z122" s="139"/>
      <c r="AA122" s="139"/>
      <c r="AB122" s="139"/>
      <c r="AC122" s="139"/>
      <c r="AD122" s="139"/>
      <c r="AF122" s="139"/>
      <c r="AG122" s="139"/>
      <c r="AH122" s="139"/>
      <c r="BE122" s="118"/>
      <c r="BF122" s="81"/>
      <c r="BG122" s="119"/>
      <c r="BH122" s="119"/>
      <c r="BI122" s="119"/>
      <c r="BJ122" s="119"/>
      <c r="BK122" s="119"/>
      <c r="BL122" s="119"/>
      <c r="BM122" s="119"/>
      <c r="BN122" s="119"/>
      <c r="BO122" s="119"/>
      <c r="BP122" s="119"/>
      <c r="BQ122" s="119"/>
      <c r="BR122" s="119"/>
      <c r="BS122" s="119"/>
      <c r="BT122" s="119"/>
      <c r="BU122" s="119"/>
      <c r="BV122" s="119"/>
      <c r="BW122" s="119"/>
      <c r="BX122" s="119"/>
      <c r="BY122" s="119"/>
      <c r="BZ122" s="119"/>
      <c r="CA122" s="119"/>
      <c r="CB122" s="119"/>
      <c r="CC122" s="119"/>
      <c r="CD122" s="119"/>
      <c r="CE122" s="119"/>
      <c r="CF122" s="119"/>
      <c r="CG122" s="119"/>
      <c r="CH122" s="119"/>
      <c r="CI122" s="119"/>
      <c r="CJ122" s="119"/>
      <c r="CK122" s="119"/>
      <c r="CL122" s="119"/>
      <c r="CM122" s="119"/>
      <c r="CN122" s="119"/>
      <c r="CO122" s="119"/>
      <c r="CP122" s="119"/>
      <c r="CQ122" s="119"/>
      <c r="CR122" s="119"/>
      <c r="CS122" s="119"/>
      <c r="CT122" s="119"/>
      <c r="CU122" s="119"/>
      <c r="CV122" s="119"/>
    </row>
    <row r="123" spans="1:100" s="112" customFormat="1" ht="15" customHeight="1">
      <c r="A123" s="111"/>
      <c r="G123" s="137"/>
      <c r="H123" s="137"/>
      <c r="I123" s="138"/>
      <c r="J123" s="145"/>
      <c r="K123" s="145"/>
      <c r="L123" s="139"/>
      <c r="M123" s="137"/>
      <c r="N123" s="138"/>
      <c r="P123" s="138"/>
      <c r="Q123" s="138"/>
      <c r="R123" s="138"/>
      <c r="S123" s="138"/>
      <c r="U123" s="138"/>
      <c r="V123" s="139"/>
      <c r="W123" s="139"/>
      <c r="X123" s="139"/>
      <c r="Y123" s="139"/>
      <c r="Z123" s="139"/>
      <c r="AA123" s="139"/>
      <c r="AB123" s="139"/>
      <c r="AC123" s="139"/>
      <c r="AD123" s="139"/>
      <c r="AF123" s="139"/>
      <c r="AG123" s="139"/>
      <c r="AH123" s="139"/>
      <c r="BE123" s="118"/>
      <c r="BF123" s="81"/>
      <c r="BG123" s="119"/>
      <c r="BH123" s="119"/>
      <c r="BI123" s="119"/>
      <c r="BJ123" s="119"/>
      <c r="BK123" s="119"/>
      <c r="BL123" s="119"/>
      <c r="BM123" s="119"/>
      <c r="BN123" s="119"/>
      <c r="BO123" s="119"/>
      <c r="BP123" s="119"/>
      <c r="BQ123" s="119"/>
      <c r="BR123" s="119"/>
      <c r="BS123" s="119"/>
      <c r="BT123" s="119"/>
      <c r="BU123" s="119"/>
      <c r="BV123" s="119"/>
      <c r="BW123" s="119"/>
      <c r="BX123" s="119"/>
      <c r="BY123" s="119"/>
      <c r="BZ123" s="119"/>
      <c r="CA123" s="119"/>
      <c r="CB123" s="119"/>
      <c r="CC123" s="119"/>
      <c r="CD123" s="119"/>
      <c r="CE123" s="119"/>
      <c r="CF123" s="119"/>
      <c r="CG123" s="119"/>
      <c r="CH123" s="119"/>
      <c r="CI123" s="119"/>
      <c r="CJ123" s="119"/>
      <c r="CK123" s="119"/>
      <c r="CL123" s="119"/>
      <c r="CM123" s="119"/>
      <c r="CN123" s="119"/>
      <c r="CO123" s="119"/>
      <c r="CP123" s="119"/>
      <c r="CQ123" s="119"/>
      <c r="CR123" s="119"/>
      <c r="CS123" s="119"/>
      <c r="CT123" s="119"/>
      <c r="CU123" s="119"/>
      <c r="CV123" s="119"/>
    </row>
    <row r="124" spans="1:100" s="112" customFormat="1" ht="15" customHeight="1">
      <c r="A124" s="111"/>
      <c r="G124" s="137"/>
      <c r="H124" s="137"/>
      <c r="I124" s="138"/>
      <c r="J124" s="145"/>
      <c r="K124" s="145"/>
      <c r="L124" s="139"/>
      <c r="M124" s="137"/>
      <c r="N124" s="138"/>
      <c r="P124" s="138"/>
      <c r="Q124" s="138"/>
      <c r="R124" s="138"/>
      <c r="S124" s="138"/>
      <c r="U124" s="138"/>
      <c r="V124" s="139"/>
      <c r="W124" s="139"/>
      <c r="X124" s="139"/>
      <c r="Y124" s="139"/>
      <c r="Z124" s="139"/>
      <c r="AA124" s="139"/>
      <c r="AB124" s="139"/>
      <c r="AC124" s="139"/>
      <c r="AD124" s="139"/>
      <c r="AF124" s="139"/>
      <c r="AG124" s="139"/>
      <c r="AH124" s="139"/>
      <c r="BE124" s="118"/>
      <c r="BF124" s="81"/>
      <c r="BG124" s="119"/>
      <c r="BH124" s="119"/>
      <c r="BI124" s="119"/>
      <c r="BJ124" s="119"/>
      <c r="BK124" s="119"/>
      <c r="BL124" s="119"/>
      <c r="BM124" s="119"/>
      <c r="BN124" s="119"/>
      <c r="BO124" s="119"/>
      <c r="BP124" s="119"/>
      <c r="BQ124" s="119"/>
      <c r="BR124" s="119"/>
      <c r="BS124" s="119"/>
      <c r="BT124" s="119"/>
      <c r="BU124" s="119"/>
      <c r="BV124" s="119"/>
      <c r="BW124" s="119"/>
      <c r="BX124" s="119"/>
      <c r="BY124" s="119"/>
      <c r="BZ124" s="119"/>
      <c r="CA124" s="119"/>
      <c r="CB124" s="119"/>
      <c r="CC124" s="119"/>
      <c r="CD124" s="119"/>
      <c r="CE124" s="119"/>
      <c r="CF124" s="119"/>
      <c r="CG124" s="119"/>
      <c r="CH124" s="119"/>
      <c r="CI124" s="119"/>
      <c r="CJ124" s="119"/>
      <c r="CK124" s="119"/>
      <c r="CL124" s="119"/>
      <c r="CM124" s="119"/>
      <c r="CN124" s="119"/>
      <c r="CO124" s="119"/>
      <c r="CP124" s="119"/>
      <c r="CQ124" s="119"/>
      <c r="CR124" s="119"/>
      <c r="CS124" s="119"/>
      <c r="CT124" s="119"/>
      <c r="CU124" s="119"/>
      <c r="CV124" s="119"/>
    </row>
    <row r="125" spans="1:100" s="112" customFormat="1" ht="15" customHeight="1">
      <c r="A125" s="111"/>
      <c r="G125" s="137"/>
      <c r="H125" s="137"/>
      <c r="I125" s="138"/>
      <c r="J125" s="145"/>
      <c r="K125" s="145"/>
      <c r="L125" s="139"/>
      <c r="M125" s="137"/>
      <c r="N125" s="138"/>
      <c r="P125" s="138"/>
      <c r="Q125" s="138"/>
      <c r="R125" s="138"/>
      <c r="S125" s="138"/>
      <c r="U125" s="138"/>
      <c r="V125" s="139"/>
      <c r="W125" s="139"/>
      <c r="X125" s="139"/>
      <c r="Y125" s="139"/>
      <c r="Z125" s="139"/>
      <c r="AA125" s="139"/>
      <c r="AB125" s="139"/>
      <c r="AC125" s="139"/>
      <c r="AD125" s="139"/>
      <c r="AF125" s="139"/>
      <c r="AG125" s="139"/>
      <c r="AH125" s="139"/>
      <c r="BE125" s="118"/>
      <c r="BF125" s="81"/>
      <c r="BG125" s="119"/>
      <c r="BH125" s="119"/>
      <c r="BI125" s="119"/>
      <c r="BJ125" s="119"/>
      <c r="BK125" s="119"/>
      <c r="BL125" s="119"/>
      <c r="BM125" s="119"/>
      <c r="BN125" s="119"/>
      <c r="BO125" s="119"/>
      <c r="BP125" s="119"/>
      <c r="BQ125" s="119"/>
      <c r="BR125" s="119"/>
      <c r="BS125" s="119"/>
      <c r="BT125" s="119"/>
      <c r="BU125" s="119"/>
      <c r="BV125" s="119"/>
      <c r="BW125" s="119"/>
      <c r="BX125" s="119"/>
      <c r="BY125" s="119"/>
      <c r="BZ125" s="119"/>
      <c r="CA125" s="119"/>
      <c r="CB125" s="119"/>
      <c r="CC125" s="119"/>
      <c r="CD125" s="119"/>
      <c r="CE125" s="119"/>
      <c r="CF125" s="119"/>
      <c r="CG125" s="119"/>
      <c r="CH125" s="119"/>
      <c r="CI125" s="119"/>
      <c r="CJ125" s="119"/>
      <c r="CK125" s="119"/>
      <c r="CL125" s="119"/>
      <c r="CM125" s="119"/>
      <c r="CN125" s="119"/>
      <c r="CO125" s="119"/>
      <c r="CP125" s="119"/>
      <c r="CQ125" s="119"/>
      <c r="CR125" s="119"/>
      <c r="CS125" s="119"/>
      <c r="CT125" s="119"/>
      <c r="CU125" s="119"/>
      <c r="CV125" s="119"/>
    </row>
    <row r="126" spans="1:100" s="112" customFormat="1" ht="15" customHeight="1">
      <c r="A126" s="111"/>
      <c r="G126" s="137"/>
      <c r="H126" s="137"/>
      <c r="I126" s="138"/>
      <c r="J126" s="145"/>
      <c r="K126" s="145"/>
      <c r="L126" s="139"/>
      <c r="M126" s="137"/>
      <c r="N126" s="138"/>
      <c r="P126" s="138"/>
      <c r="Q126" s="138"/>
      <c r="R126" s="138"/>
      <c r="S126" s="138"/>
      <c r="U126" s="138"/>
      <c r="V126" s="139"/>
      <c r="W126" s="139"/>
      <c r="X126" s="139"/>
      <c r="Y126" s="139"/>
      <c r="Z126" s="139"/>
      <c r="AA126" s="139"/>
      <c r="AB126" s="139"/>
      <c r="AC126" s="139"/>
      <c r="AD126" s="139"/>
      <c r="AF126" s="139"/>
      <c r="AG126" s="139"/>
      <c r="AH126" s="139"/>
      <c r="BE126" s="118"/>
      <c r="BF126" s="81"/>
      <c r="BG126" s="119"/>
      <c r="BH126" s="119"/>
      <c r="BI126" s="119"/>
      <c r="BJ126" s="119"/>
      <c r="BK126" s="119"/>
      <c r="BL126" s="119"/>
      <c r="BM126" s="119"/>
      <c r="BN126" s="119"/>
      <c r="BO126" s="119"/>
      <c r="BP126" s="119"/>
      <c r="BQ126" s="119"/>
      <c r="BR126" s="119"/>
      <c r="BS126" s="119"/>
      <c r="BT126" s="119"/>
      <c r="BU126" s="119"/>
      <c r="BV126" s="119"/>
      <c r="BW126" s="119"/>
      <c r="BX126" s="119"/>
      <c r="BY126" s="119"/>
      <c r="BZ126" s="119"/>
      <c r="CA126" s="119"/>
      <c r="CB126" s="119"/>
      <c r="CC126" s="119"/>
      <c r="CD126" s="119"/>
      <c r="CE126" s="119"/>
      <c r="CF126" s="119"/>
      <c r="CG126" s="119"/>
      <c r="CH126" s="119"/>
      <c r="CI126" s="119"/>
      <c r="CJ126" s="119"/>
      <c r="CK126" s="119"/>
      <c r="CL126" s="119"/>
      <c r="CM126" s="119"/>
      <c r="CN126" s="119"/>
      <c r="CO126" s="119"/>
      <c r="CP126" s="119"/>
      <c r="CQ126" s="119"/>
      <c r="CR126" s="119"/>
      <c r="CS126" s="119"/>
      <c r="CT126" s="119"/>
      <c r="CU126" s="119"/>
      <c r="CV126" s="119"/>
    </row>
    <row r="127" spans="1:100" s="112" customFormat="1" ht="15" customHeight="1">
      <c r="A127" s="111"/>
      <c r="G127" s="137"/>
      <c r="H127" s="137"/>
      <c r="I127" s="138"/>
      <c r="J127" s="145"/>
      <c r="K127" s="145"/>
      <c r="L127" s="139"/>
      <c r="M127" s="137"/>
      <c r="N127" s="138"/>
      <c r="P127" s="138"/>
      <c r="Q127" s="138"/>
      <c r="R127" s="138"/>
      <c r="S127" s="138"/>
      <c r="U127" s="138"/>
      <c r="V127" s="139"/>
      <c r="W127" s="139"/>
      <c r="X127" s="139"/>
      <c r="Y127" s="139"/>
      <c r="Z127" s="139"/>
      <c r="AA127" s="139"/>
      <c r="AB127" s="139"/>
      <c r="AC127" s="139"/>
      <c r="AD127" s="139"/>
      <c r="AF127" s="139"/>
      <c r="AG127" s="139"/>
      <c r="AH127" s="139"/>
      <c r="BE127" s="118"/>
      <c r="BF127" s="81"/>
      <c r="BG127" s="119"/>
      <c r="BH127" s="119"/>
      <c r="BI127" s="119"/>
      <c r="BJ127" s="119"/>
      <c r="BK127" s="119"/>
      <c r="BL127" s="119"/>
      <c r="BM127" s="119"/>
      <c r="BN127" s="119"/>
      <c r="BO127" s="119"/>
      <c r="BP127" s="119"/>
      <c r="BQ127" s="119"/>
      <c r="BR127" s="119"/>
      <c r="BS127" s="119"/>
      <c r="BT127" s="119"/>
      <c r="BU127" s="119"/>
      <c r="BV127" s="119"/>
      <c r="BW127" s="119"/>
      <c r="BX127" s="119"/>
      <c r="BY127" s="119"/>
      <c r="BZ127" s="119"/>
      <c r="CA127" s="119"/>
      <c r="CB127" s="119"/>
      <c r="CC127" s="119"/>
      <c r="CD127" s="119"/>
      <c r="CE127" s="119"/>
      <c r="CF127" s="119"/>
      <c r="CG127" s="119"/>
      <c r="CH127" s="119"/>
      <c r="CI127" s="119"/>
      <c r="CJ127" s="119"/>
      <c r="CK127" s="119"/>
      <c r="CL127" s="119"/>
      <c r="CM127" s="119"/>
      <c r="CN127" s="119"/>
      <c r="CO127" s="119"/>
      <c r="CP127" s="119"/>
      <c r="CQ127" s="119"/>
      <c r="CR127" s="119"/>
      <c r="CS127" s="119"/>
      <c r="CT127" s="119"/>
      <c r="CU127" s="119"/>
      <c r="CV127" s="119"/>
    </row>
    <row r="128" spans="1:100" s="112" customFormat="1" ht="15" customHeight="1">
      <c r="A128" s="111"/>
      <c r="G128" s="137"/>
      <c r="H128" s="137"/>
      <c r="I128" s="138"/>
      <c r="J128" s="145"/>
      <c r="K128" s="145"/>
      <c r="L128" s="139"/>
      <c r="M128" s="137"/>
      <c r="N128" s="138"/>
      <c r="P128" s="138"/>
      <c r="Q128" s="138"/>
      <c r="R128" s="138"/>
      <c r="S128" s="138"/>
      <c r="U128" s="138"/>
      <c r="V128" s="139"/>
      <c r="W128" s="139"/>
      <c r="X128" s="139"/>
      <c r="Y128" s="139"/>
      <c r="Z128" s="139"/>
      <c r="AA128" s="139"/>
      <c r="AB128" s="139"/>
      <c r="AC128" s="139"/>
      <c r="AD128" s="139"/>
      <c r="AF128" s="139"/>
      <c r="AG128" s="139"/>
      <c r="AH128" s="139"/>
      <c r="BE128" s="118"/>
      <c r="BF128" s="81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19"/>
      <c r="BZ128" s="119"/>
      <c r="CA128" s="119"/>
      <c r="CB128" s="119"/>
      <c r="CC128" s="119"/>
      <c r="CD128" s="119"/>
      <c r="CE128" s="119"/>
      <c r="CF128" s="119"/>
      <c r="CG128" s="119"/>
      <c r="CH128" s="119"/>
      <c r="CI128" s="119"/>
      <c r="CJ128" s="119"/>
      <c r="CK128" s="119"/>
      <c r="CL128" s="119"/>
      <c r="CM128" s="119"/>
      <c r="CN128" s="119"/>
      <c r="CO128" s="119"/>
      <c r="CP128" s="119"/>
      <c r="CQ128" s="119"/>
      <c r="CR128" s="119"/>
      <c r="CS128" s="119"/>
      <c r="CT128" s="119"/>
      <c r="CU128" s="119"/>
      <c r="CV128" s="119"/>
    </row>
    <row r="129" spans="1:100" s="112" customFormat="1" ht="15" customHeight="1">
      <c r="A129" s="111"/>
      <c r="G129" s="137"/>
      <c r="H129" s="140"/>
      <c r="I129" s="140"/>
      <c r="J129" s="140"/>
      <c r="K129" s="141"/>
      <c r="L129" s="139"/>
      <c r="M129" s="137"/>
      <c r="N129" s="138"/>
      <c r="O129" s="138"/>
      <c r="P129" s="138"/>
      <c r="Q129" s="138"/>
      <c r="R129" s="138"/>
      <c r="S129" s="138"/>
      <c r="T129" s="138"/>
      <c r="U129" s="92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8"/>
      <c r="AF129" s="139"/>
      <c r="BE129" s="118"/>
      <c r="BF129" s="112" t="s">
        <v>661</v>
      </c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19"/>
      <c r="BZ129" s="119"/>
      <c r="CA129" s="119"/>
      <c r="CB129" s="119"/>
      <c r="CC129" s="119"/>
      <c r="CD129" s="119"/>
      <c r="CE129" s="119"/>
      <c r="CF129" s="119"/>
      <c r="CG129" s="119"/>
      <c r="CH129" s="119"/>
      <c r="CI129" s="119"/>
      <c r="CJ129" s="119"/>
      <c r="CK129" s="119"/>
      <c r="CL129" s="119"/>
      <c r="CM129" s="119"/>
      <c r="CN129" s="119"/>
      <c r="CO129" s="119"/>
      <c r="CP129" s="119"/>
      <c r="CQ129" s="119"/>
      <c r="CR129" s="119"/>
      <c r="CS129" s="119"/>
      <c r="CT129" s="119"/>
      <c r="CU129" s="119"/>
      <c r="CV129" s="119"/>
    </row>
    <row r="130" spans="1:100" s="86" customFormat="1" ht="15" customHeight="1">
      <c r="A130" s="130"/>
      <c r="B130" s="131"/>
      <c r="C130" s="146"/>
      <c r="D130" s="146"/>
      <c r="E130" s="146"/>
      <c r="F130" s="133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1"/>
      <c r="AJ130" s="131"/>
      <c r="AK130" s="131"/>
      <c r="AL130" s="131"/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  <c r="BE130" s="134"/>
      <c r="BG130" s="82"/>
      <c r="BH130" s="82"/>
      <c r="BI130" s="82"/>
      <c r="BJ130" s="82"/>
      <c r="BK130" s="82"/>
      <c r="BL130" s="82"/>
      <c r="BM130" s="82"/>
      <c r="BN130" s="82"/>
      <c r="BO130" s="82"/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  <c r="CE130" s="82"/>
      <c r="CF130" s="82"/>
      <c r="CG130" s="82"/>
      <c r="CH130" s="82"/>
      <c r="CI130" s="82"/>
      <c r="CJ130" s="82"/>
      <c r="CK130" s="82"/>
      <c r="CL130" s="82"/>
      <c r="CM130" s="82"/>
      <c r="CN130" s="82"/>
      <c r="CO130" s="82"/>
      <c r="CP130" s="82"/>
      <c r="CQ130" s="82"/>
      <c r="CR130" s="82"/>
      <c r="CS130" s="82"/>
      <c r="CT130" s="82"/>
      <c r="CU130" s="82"/>
      <c r="CV130" s="82"/>
    </row>
    <row r="131" spans="1:100" ht="15" customHeight="1">
      <c r="BG131" s="82"/>
      <c r="BH131" s="82"/>
      <c r="BI131" s="82"/>
      <c r="BJ131" s="82"/>
      <c r="BK131" s="82"/>
      <c r="BL131" s="82"/>
      <c r="BM131" s="82"/>
      <c r="BN131" s="82"/>
      <c r="BO131" s="82"/>
      <c r="BP131" s="82"/>
      <c r="BQ131" s="82"/>
      <c r="BR131" s="82"/>
      <c r="BS131" s="82"/>
      <c r="BT131" s="82"/>
      <c r="BU131" s="82"/>
      <c r="BV131" s="82"/>
      <c r="BW131" s="82"/>
      <c r="BX131" s="82"/>
      <c r="BY131" s="82"/>
      <c r="BZ131" s="82"/>
      <c r="CA131" s="82"/>
      <c r="CB131" s="82"/>
      <c r="CC131" s="82"/>
      <c r="CD131" s="82"/>
      <c r="CE131" s="82"/>
      <c r="CF131" s="82"/>
      <c r="CG131" s="82"/>
      <c r="CH131" s="82"/>
      <c r="CI131" s="82"/>
      <c r="CJ131" s="82"/>
      <c r="CK131" s="82"/>
      <c r="CL131" s="82"/>
      <c r="CM131" s="82"/>
      <c r="CN131" s="82"/>
      <c r="CO131" s="82"/>
      <c r="CP131" s="82"/>
      <c r="CQ131" s="82"/>
      <c r="CR131" s="82"/>
      <c r="CS131" s="82"/>
      <c r="CT131" s="82"/>
      <c r="CU131" s="82"/>
      <c r="CV131" s="82"/>
    </row>
    <row r="132" spans="1:100" ht="15" customHeight="1">
      <c r="BG132" s="82"/>
      <c r="BH132" s="82"/>
      <c r="BI132" s="82"/>
      <c r="BJ132" s="82"/>
      <c r="BK132" s="82"/>
      <c r="BL132" s="82"/>
      <c r="BM132" s="82"/>
      <c r="BN132" s="82"/>
      <c r="BO132" s="82"/>
      <c r="BP132" s="82"/>
      <c r="BQ132" s="82"/>
      <c r="BR132" s="82"/>
      <c r="BS132" s="82"/>
      <c r="BT132" s="82"/>
      <c r="BU132" s="82"/>
      <c r="BV132" s="82"/>
      <c r="BW132" s="82"/>
      <c r="BX132" s="82"/>
      <c r="BY132" s="82"/>
      <c r="BZ132" s="82"/>
      <c r="CA132" s="82"/>
      <c r="CB132" s="82"/>
      <c r="CC132" s="82"/>
      <c r="CD132" s="82"/>
      <c r="CE132" s="82"/>
      <c r="CF132" s="82"/>
      <c r="CG132" s="82"/>
      <c r="CH132" s="82"/>
      <c r="CI132" s="82"/>
      <c r="CJ132" s="82"/>
      <c r="CK132" s="82"/>
      <c r="CL132" s="82"/>
      <c r="CM132" s="82"/>
      <c r="CN132" s="82"/>
      <c r="CO132" s="82"/>
      <c r="CP132" s="82"/>
      <c r="CQ132" s="82"/>
      <c r="CR132" s="82"/>
      <c r="CS132" s="82"/>
      <c r="CT132" s="82"/>
      <c r="CU132" s="82"/>
      <c r="CV132" s="82"/>
    </row>
    <row r="133" spans="1:100" ht="15" customHeight="1">
      <c r="BG133" s="82"/>
      <c r="BH133" s="82"/>
      <c r="BI133" s="82"/>
      <c r="BJ133" s="82"/>
      <c r="BK133" s="82"/>
      <c r="BL133" s="82"/>
      <c r="BM133" s="82"/>
      <c r="BN133" s="82"/>
      <c r="BO133" s="82"/>
      <c r="BP133" s="82"/>
      <c r="BQ133" s="82"/>
      <c r="BR133" s="82"/>
      <c r="BS133" s="82"/>
      <c r="BT133" s="82"/>
      <c r="BU133" s="82"/>
      <c r="BV133" s="82"/>
      <c r="BW133" s="82"/>
      <c r="BX133" s="82"/>
      <c r="BY133" s="82"/>
      <c r="BZ133" s="82"/>
      <c r="CA133" s="82"/>
      <c r="CB133" s="82"/>
      <c r="CC133" s="82"/>
      <c r="CD133" s="82"/>
      <c r="CE133" s="82"/>
      <c r="CF133" s="82"/>
      <c r="CG133" s="82"/>
      <c r="CH133" s="82"/>
      <c r="CI133" s="82"/>
      <c r="CJ133" s="82"/>
      <c r="CK133" s="82"/>
      <c r="CL133" s="82"/>
      <c r="CM133" s="82"/>
      <c r="CN133" s="82"/>
      <c r="CO133" s="82"/>
      <c r="CP133" s="82"/>
      <c r="CQ133" s="82"/>
      <c r="CR133" s="82"/>
      <c r="CS133" s="82"/>
      <c r="CT133" s="82"/>
      <c r="CU133" s="82"/>
      <c r="CV133" s="82"/>
    </row>
    <row r="134" spans="1:100" ht="15" customHeight="1">
      <c r="BG134" s="82"/>
      <c r="BH134" s="82"/>
      <c r="BI134" s="82"/>
      <c r="BJ134" s="82"/>
      <c r="BK134" s="82"/>
      <c r="BL134" s="82"/>
      <c r="BM134" s="82"/>
      <c r="BN134" s="82"/>
      <c r="BO134" s="82"/>
      <c r="BP134" s="82"/>
      <c r="BQ134" s="82"/>
      <c r="BR134" s="82"/>
      <c r="BS134" s="82"/>
      <c r="BT134" s="82"/>
      <c r="BU134" s="82"/>
      <c r="BV134" s="82"/>
      <c r="BW134" s="82"/>
      <c r="BX134" s="82"/>
      <c r="BY134" s="82"/>
      <c r="BZ134" s="82"/>
      <c r="CA134" s="82"/>
      <c r="CB134" s="82"/>
      <c r="CC134" s="82"/>
      <c r="CD134" s="82"/>
      <c r="CE134" s="82"/>
      <c r="CF134" s="82"/>
      <c r="CG134" s="82"/>
      <c r="CH134" s="82"/>
      <c r="CI134" s="82"/>
      <c r="CJ134" s="82"/>
      <c r="CK134" s="82"/>
      <c r="CL134" s="82"/>
      <c r="CM134" s="82"/>
      <c r="CN134" s="82"/>
      <c r="CO134" s="82"/>
      <c r="CP134" s="82"/>
      <c r="CQ134" s="82"/>
      <c r="CR134" s="82"/>
      <c r="CS134" s="82"/>
      <c r="CT134" s="82"/>
      <c r="CU134" s="82"/>
      <c r="CV134" s="82"/>
    </row>
    <row r="135" spans="1:100" ht="15" customHeight="1">
      <c r="BG135" s="82"/>
      <c r="BH135" s="82"/>
      <c r="BI135" s="82"/>
      <c r="BJ135" s="82"/>
      <c r="BK135" s="82"/>
      <c r="BL135" s="82"/>
      <c r="BM135" s="82"/>
      <c r="BN135" s="82"/>
      <c r="BO135" s="82"/>
      <c r="BP135" s="82"/>
      <c r="BQ135" s="82"/>
      <c r="BR135" s="82"/>
      <c r="BS135" s="82"/>
      <c r="BT135" s="82"/>
      <c r="BU135" s="82"/>
      <c r="BV135" s="82"/>
      <c r="BW135" s="82"/>
      <c r="BX135" s="82"/>
      <c r="BY135" s="82"/>
      <c r="BZ135" s="82"/>
      <c r="CA135" s="82"/>
      <c r="CB135" s="82"/>
      <c r="CC135" s="82"/>
      <c r="CD135" s="82"/>
      <c r="CE135" s="82"/>
      <c r="CF135" s="82"/>
      <c r="CG135" s="82"/>
      <c r="CH135" s="82"/>
      <c r="CI135" s="82"/>
      <c r="CJ135" s="82"/>
      <c r="CK135" s="82"/>
      <c r="CL135" s="82"/>
      <c r="CM135" s="82"/>
      <c r="CN135" s="82"/>
      <c r="CO135" s="82"/>
      <c r="CP135" s="82"/>
      <c r="CQ135" s="82"/>
      <c r="CR135" s="82"/>
      <c r="CS135" s="82"/>
      <c r="CT135" s="82"/>
      <c r="CU135" s="82"/>
      <c r="CV135" s="82"/>
    </row>
    <row r="136" spans="1:100" ht="15" customHeight="1">
      <c r="BG136" s="82"/>
      <c r="BH136" s="82"/>
      <c r="BI136" s="82"/>
      <c r="BJ136" s="82"/>
      <c r="BK136" s="82"/>
      <c r="BL136" s="82"/>
      <c r="BM136" s="82"/>
      <c r="BN136" s="82"/>
      <c r="BO136" s="82"/>
      <c r="BP136" s="82"/>
      <c r="BQ136" s="82"/>
      <c r="BR136" s="82"/>
      <c r="BS136" s="82"/>
      <c r="BT136" s="82"/>
      <c r="BU136" s="82"/>
      <c r="BV136" s="82"/>
      <c r="BW136" s="82"/>
      <c r="BX136" s="82"/>
      <c r="BY136" s="82"/>
      <c r="BZ136" s="82"/>
      <c r="CA136" s="82"/>
      <c r="CB136" s="82"/>
      <c r="CC136" s="82"/>
      <c r="CD136" s="82"/>
      <c r="CE136" s="82"/>
      <c r="CF136" s="82"/>
      <c r="CG136" s="82"/>
      <c r="CH136" s="82"/>
      <c r="CI136" s="82"/>
      <c r="CJ136" s="82"/>
      <c r="CK136" s="82"/>
      <c r="CL136" s="82"/>
      <c r="CM136" s="82"/>
      <c r="CN136" s="82"/>
      <c r="CO136" s="82"/>
      <c r="CP136" s="82"/>
      <c r="CQ136" s="82"/>
      <c r="CR136" s="82"/>
      <c r="CS136" s="82"/>
      <c r="CT136" s="82"/>
      <c r="CU136" s="82"/>
      <c r="CV136" s="82"/>
    </row>
    <row r="137" spans="1:100" ht="15" customHeight="1">
      <c r="BG137" s="82"/>
      <c r="BH137" s="82"/>
      <c r="BI137" s="82"/>
      <c r="BJ137" s="82"/>
      <c r="BK137" s="82"/>
      <c r="BL137" s="82"/>
      <c r="BM137" s="82"/>
      <c r="BN137" s="82"/>
      <c r="BO137" s="82"/>
      <c r="BP137" s="82"/>
      <c r="BQ137" s="82"/>
      <c r="BR137" s="82"/>
      <c r="BS137" s="82"/>
      <c r="BT137" s="82"/>
      <c r="BU137" s="82"/>
      <c r="BV137" s="82"/>
      <c r="BW137" s="82"/>
      <c r="BX137" s="82"/>
      <c r="BY137" s="82"/>
      <c r="BZ137" s="82"/>
      <c r="CA137" s="82"/>
      <c r="CB137" s="82"/>
      <c r="CC137" s="82"/>
      <c r="CD137" s="82"/>
      <c r="CE137" s="82"/>
      <c r="CF137" s="82"/>
      <c r="CG137" s="82"/>
      <c r="CH137" s="82"/>
      <c r="CI137" s="82"/>
      <c r="CJ137" s="82"/>
      <c r="CK137" s="82"/>
      <c r="CL137" s="82"/>
      <c r="CM137" s="82"/>
      <c r="CN137" s="82"/>
      <c r="CO137" s="82"/>
      <c r="CP137" s="82"/>
      <c r="CQ137" s="82"/>
      <c r="CR137" s="82"/>
      <c r="CS137" s="82"/>
      <c r="CT137" s="82"/>
      <c r="CU137" s="82"/>
      <c r="CV137" s="82"/>
    </row>
    <row r="138" spans="1:100" ht="15" customHeight="1">
      <c r="BG138" s="82"/>
      <c r="BH138" s="82"/>
      <c r="BI138" s="82"/>
      <c r="BJ138" s="82"/>
      <c r="BK138" s="82"/>
      <c r="BL138" s="82"/>
      <c r="BM138" s="82"/>
      <c r="BN138" s="82"/>
      <c r="BO138" s="82"/>
      <c r="BP138" s="82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CC138" s="82"/>
      <c r="CD138" s="82"/>
      <c r="CE138" s="82"/>
      <c r="CF138" s="82"/>
      <c r="CG138" s="82"/>
      <c r="CH138" s="82"/>
      <c r="CI138" s="82"/>
      <c r="CJ138" s="82"/>
      <c r="CK138" s="82"/>
      <c r="CL138" s="82"/>
      <c r="CM138" s="82"/>
      <c r="CN138" s="82"/>
      <c r="CO138" s="82"/>
      <c r="CP138" s="82"/>
      <c r="CQ138" s="82"/>
      <c r="CR138" s="82"/>
      <c r="CS138" s="82"/>
      <c r="CT138" s="82"/>
      <c r="CU138" s="82"/>
      <c r="CV138" s="82"/>
    </row>
    <row r="139" spans="1:100" ht="15" customHeight="1">
      <c r="BG139" s="82"/>
      <c r="BH139" s="82"/>
      <c r="BI139" s="82"/>
      <c r="BJ139" s="82"/>
      <c r="BK139" s="82"/>
      <c r="BL139" s="82"/>
      <c r="BM139" s="82"/>
      <c r="BN139" s="82"/>
      <c r="BO139" s="82"/>
      <c r="BP139" s="82"/>
      <c r="BQ139" s="82"/>
      <c r="BR139" s="82"/>
      <c r="BS139" s="82"/>
      <c r="BT139" s="82"/>
      <c r="BU139" s="82"/>
      <c r="BV139" s="82"/>
      <c r="BW139" s="82"/>
      <c r="BX139" s="82"/>
      <c r="BY139" s="82"/>
      <c r="BZ139" s="82"/>
      <c r="CA139" s="82"/>
      <c r="CB139" s="82"/>
      <c r="CC139" s="82"/>
      <c r="CD139" s="82"/>
      <c r="CE139" s="82"/>
      <c r="CF139" s="82"/>
      <c r="CG139" s="82"/>
      <c r="CH139" s="82"/>
      <c r="CI139" s="82"/>
      <c r="CJ139" s="82"/>
      <c r="CK139" s="82"/>
      <c r="CL139" s="82"/>
      <c r="CM139" s="82"/>
      <c r="CN139" s="82"/>
      <c r="CO139" s="82"/>
      <c r="CP139" s="82"/>
      <c r="CQ139" s="82"/>
      <c r="CR139" s="82"/>
      <c r="CS139" s="82"/>
      <c r="CT139" s="82"/>
      <c r="CU139" s="82"/>
      <c r="CV139" s="82"/>
    </row>
    <row r="140" spans="1:100" ht="15" customHeight="1">
      <c r="BG140" s="82"/>
      <c r="BH140" s="82"/>
      <c r="BI140" s="82"/>
      <c r="BJ140" s="82"/>
      <c r="BK140" s="82"/>
      <c r="BL140" s="82"/>
      <c r="BM140" s="82"/>
      <c r="BN140" s="82"/>
      <c r="BO140" s="82"/>
      <c r="BP140" s="82"/>
      <c r="BQ140" s="82"/>
      <c r="BR140" s="82"/>
      <c r="BS140" s="82"/>
      <c r="BT140" s="82"/>
      <c r="BU140" s="82"/>
      <c r="BV140" s="82"/>
      <c r="BW140" s="82"/>
      <c r="BX140" s="82"/>
      <c r="BY140" s="82"/>
      <c r="BZ140" s="82"/>
      <c r="CA140" s="82"/>
      <c r="CB140" s="82"/>
      <c r="CC140" s="82"/>
      <c r="CD140" s="82"/>
      <c r="CE140" s="82"/>
      <c r="CF140" s="82"/>
      <c r="CG140" s="82"/>
      <c r="CH140" s="82"/>
      <c r="CI140" s="82"/>
      <c r="CJ140" s="82"/>
      <c r="CK140" s="82"/>
      <c r="CL140" s="82"/>
      <c r="CM140" s="82"/>
      <c r="CN140" s="82"/>
      <c r="CO140" s="82"/>
      <c r="CP140" s="82"/>
      <c r="CQ140" s="82"/>
      <c r="CR140" s="82"/>
      <c r="CS140" s="82"/>
      <c r="CT140" s="82"/>
      <c r="CU140" s="82"/>
      <c r="CV140" s="82"/>
    </row>
    <row r="141" spans="1:100" ht="15" customHeight="1">
      <c r="BG141" s="82"/>
      <c r="BH141" s="82"/>
      <c r="BI141" s="82"/>
      <c r="BJ141" s="82"/>
      <c r="BK141" s="82"/>
      <c r="BL141" s="82"/>
      <c r="BM141" s="82"/>
      <c r="BN141" s="82"/>
      <c r="BO141" s="82"/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  <c r="CE141" s="82"/>
      <c r="CF141" s="82"/>
      <c r="CG141" s="82"/>
      <c r="CH141" s="82"/>
      <c r="CI141" s="82"/>
      <c r="CJ141" s="82"/>
      <c r="CK141" s="82"/>
      <c r="CL141" s="82"/>
      <c r="CM141" s="82"/>
      <c r="CN141" s="82"/>
      <c r="CO141" s="82"/>
      <c r="CP141" s="82"/>
      <c r="CQ141" s="82"/>
      <c r="CR141" s="82"/>
      <c r="CS141" s="82"/>
      <c r="CT141" s="82"/>
      <c r="CU141" s="82"/>
      <c r="CV141" s="82"/>
    </row>
    <row r="142" spans="1:100" ht="15" customHeight="1">
      <c r="BG142" s="82"/>
      <c r="BH142" s="82"/>
      <c r="BI142" s="82"/>
      <c r="BJ142" s="82"/>
      <c r="BK142" s="82"/>
      <c r="BL142" s="82"/>
      <c r="BM142" s="82"/>
      <c r="BN142" s="82"/>
      <c r="BO142" s="82"/>
      <c r="BP142" s="82"/>
      <c r="BQ142" s="82"/>
      <c r="BR142" s="82"/>
      <c r="BS142" s="82"/>
      <c r="BT142" s="82"/>
      <c r="BU142" s="82"/>
      <c r="BV142" s="82"/>
      <c r="BW142" s="82"/>
      <c r="BX142" s="82"/>
      <c r="BY142" s="82"/>
      <c r="BZ142" s="82"/>
      <c r="CA142" s="82"/>
      <c r="CB142" s="82"/>
      <c r="CC142" s="82"/>
      <c r="CD142" s="82"/>
      <c r="CE142" s="82"/>
      <c r="CF142" s="82"/>
      <c r="CG142" s="82"/>
      <c r="CH142" s="82"/>
      <c r="CI142" s="82"/>
      <c r="CJ142" s="82"/>
      <c r="CK142" s="82"/>
      <c r="CL142" s="82"/>
      <c r="CM142" s="82"/>
      <c r="CN142" s="82"/>
      <c r="CO142" s="82"/>
      <c r="CP142" s="82"/>
      <c r="CQ142" s="82"/>
      <c r="CR142" s="82"/>
      <c r="CS142" s="82"/>
      <c r="CT142" s="82"/>
      <c r="CU142" s="82"/>
      <c r="CV142" s="82"/>
    </row>
    <row r="143" spans="1:100" ht="15" customHeight="1">
      <c r="BG143" s="82"/>
      <c r="BH143" s="82"/>
      <c r="BI143" s="82"/>
      <c r="BJ143" s="82"/>
      <c r="BK143" s="82"/>
      <c r="BL143" s="82"/>
      <c r="BM143" s="82"/>
      <c r="BN143" s="82"/>
      <c r="BO143" s="82"/>
      <c r="BP143" s="82"/>
      <c r="BQ143" s="82"/>
      <c r="BR143" s="82"/>
      <c r="BS143" s="82"/>
      <c r="BT143" s="82"/>
      <c r="BU143" s="82"/>
      <c r="BV143" s="82"/>
      <c r="BW143" s="82"/>
      <c r="BX143" s="82"/>
      <c r="BY143" s="82"/>
      <c r="BZ143" s="82"/>
      <c r="CA143" s="82"/>
      <c r="CB143" s="82"/>
      <c r="CC143" s="82"/>
      <c r="CD143" s="82"/>
      <c r="CE143" s="82"/>
      <c r="CF143" s="82"/>
      <c r="CG143" s="82"/>
      <c r="CH143" s="82"/>
      <c r="CI143" s="82"/>
      <c r="CJ143" s="82"/>
      <c r="CK143" s="82"/>
      <c r="CL143" s="82"/>
      <c r="CM143" s="82"/>
      <c r="CN143" s="82"/>
      <c r="CO143" s="82"/>
      <c r="CP143" s="82"/>
      <c r="CQ143" s="82"/>
      <c r="CR143" s="82"/>
      <c r="CS143" s="82"/>
      <c r="CT143" s="82"/>
      <c r="CU143" s="82"/>
      <c r="CV143" s="82"/>
    </row>
    <row r="144" spans="1:100" ht="15" customHeight="1"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</row>
    <row r="145" spans="59:100" ht="15" customHeight="1">
      <c r="BG145" s="82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82"/>
      <c r="CB145" s="82"/>
      <c r="CC145" s="82"/>
      <c r="CD145" s="82"/>
      <c r="CE145" s="82"/>
      <c r="CF145" s="82"/>
      <c r="CG145" s="82"/>
      <c r="CH145" s="82"/>
      <c r="CI145" s="82"/>
      <c r="CJ145" s="82"/>
      <c r="CK145" s="82"/>
      <c r="CL145" s="82"/>
      <c r="CM145" s="82"/>
      <c r="CN145" s="82"/>
      <c r="CO145" s="82"/>
      <c r="CP145" s="82"/>
      <c r="CQ145" s="82"/>
      <c r="CR145" s="82"/>
      <c r="CS145" s="82"/>
      <c r="CT145" s="82"/>
      <c r="CU145" s="82"/>
      <c r="CV145" s="82"/>
    </row>
    <row r="146" spans="59:100" ht="15" customHeight="1">
      <c r="BG146" s="82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82"/>
      <c r="CB146" s="82"/>
      <c r="CC146" s="82"/>
      <c r="CD146" s="82"/>
      <c r="CE146" s="82"/>
      <c r="CF146" s="82"/>
      <c r="CG146" s="82"/>
      <c r="CH146" s="82"/>
      <c r="CI146" s="82"/>
      <c r="CJ146" s="82"/>
      <c r="CK146" s="82"/>
      <c r="CL146" s="82"/>
      <c r="CM146" s="82"/>
      <c r="CN146" s="82"/>
      <c r="CO146" s="82"/>
      <c r="CP146" s="82"/>
      <c r="CQ146" s="82"/>
      <c r="CR146" s="82"/>
      <c r="CS146" s="82"/>
      <c r="CT146" s="82"/>
      <c r="CU146" s="82"/>
      <c r="CV146" s="82"/>
    </row>
    <row r="147" spans="59:100" ht="15" customHeight="1">
      <c r="BG147" s="82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82"/>
      <c r="CB147" s="82"/>
      <c r="CC147" s="82"/>
      <c r="CD147" s="82"/>
      <c r="CE147" s="82"/>
      <c r="CF147" s="82"/>
      <c r="CG147" s="82"/>
      <c r="CH147" s="82"/>
      <c r="CI147" s="82"/>
      <c r="CJ147" s="82"/>
      <c r="CK147" s="82"/>
      <c r="CL147" s="82"/>
      <c r="CM147" s="82"/>
      <c r="CN147" s="82"/>
      <c r="CO147" s="82"/>
      <c r="CP147" s="82"/>
      <c r="CQ147" s="82"/>
      <c r="CR147" s="82"/>
      <c r="CS147" s="82"/>
      <c r="CT147" s="82"/>
      <c r="CU147" s="82"/>
      <c r="CV147" s="82"/>
    </row>
    <row r="148" spans="59:100" ht="15" customHeight="1">
      <c r="BG148" s="82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82"/>
      <c r="CB148" s="82"/>
      <c r="CC148" s="82"/>
      <c r="CD148" s="82"/>
      <c r="CE148" s="82"/>
      <c r="CF148" s="82"/>
      <c r="CG148" s="82"/>
      <c r="CH148" s="82"/>
      <c r="CI148" s="82"/>
      <c r="CJ148" s="82"/>
      <c r="CK148" s="82"/>
      <c r="CL148" s="82"/>
      <c r="CM148" s="82"/>
      <c r="CN148" s="82"/>
      <c r="CO148" s="82"/>
      <c r="CP148" s="82"/>
      <c r="CQ148" s="82"/>
      <c r="CR148" s="82"/>
      <c r="CS148" s="82"/>
      <c r="CT148" s="82"/>
      <c r="CU148" s="82"/>
      <c r="CV148" s="82"/>
    </row>
    <row r="149" spans="59:100" ht="15" customHeight="1">
      <c r="BG149" s="82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82"/>
      <c r="CB149" s="82"/>
      <c r="CC149" s="82"/>
      <c r="CD149" s="82"/>
      <c r="CE149" s="82"/>
      <c r="CF149" s="82"/>
      <c r="CG149" s="82"/>
      <c r="CH149" s="82"/>
      <c r="CI149" s="82"/>
      <c r="CJ149" s="82"/>
      <c r="CK149" s="82"/>
      <c r="CL149" s="82"/>
      <c r="CM149" s="82"/>
      <c r="CN149" s="82"/>
      <c r="CO149" s="82"/>
      <c r="CP149" s="82"/>
      <c r="CQ149" s="82"/>
      <c r="CR149" s="82"/>
      <c r="CS149" s="82"/>
      <c r="CT149" s="82"/>
      <c r="CU149" s="82"/>
      <c r="CV149" s="82"/>
    </row>
    <row r="150" spans="59:100" ht="15" customHeight="1">
      <c r="BG150" s="82"/>
      <c r="BH150" s="82"/>
      <c r="BI150" s="82"/>
      <c r="BJ150" s="82"/>
      <c r="BK150" s="82"/>
      <c r="BL150" s="82"/>
      <c r="BM150" s="82"/>
      <c r="BN150" s="82"/>
      <c r="BO150" s="82"/>
      <c r="BP150" s="82"/>
      <c r="BQ150" s="82"/>
      <c r="BR150" s="82"/>
      <c r="BS150" s="82"/>
      <c r="BT150" s="82"/>
      <c r="BU150" s="82"/>
      <c r="BV150" s="82"/>
      <c r="BW150" s="82"/>
      <c r="BX150" s="82"/>
      <c r="BY150" s="82"/>
      <c r="BZ150" s="82"/>
      <c r="CA150" s="82"/>
      <c r="CB150" s="82"/>
      <c r="CC150" s="82"/>
      <c r="CD150" s="82"/>
      <c r="CE150" s="82"/>
      <c r="CF150" s="82"/>
      <c r="CG150" s="82"/>
      <c r="CH150" s="82"/>
      <c r="CI150" s="82"/>
      <c r="CJ150" s="82"/>
      <c r="CK150" s="82"/>
      <c r="CL150" s="82"/>
      <c r="CM150" s="82"/>
      <c r="CN150" s="82"/>
      <c r="CO150" s="82"/>
      <c r="CP150" s="82"/>
      <c r="CQ150" s="82"/>
      <c r="CR150" s="82"/>
      <c r="CS150" s="82"/>
      <c r="CT150" s="82"/>
      <c r="CU150" s="82"/>
      <c r="CV150" s="82"/>
    </row>
    <row r="151" spans="59:100" ht="15" customHeight="1">
      <c r="BG151" s="82"/>
      <c r="BH151" s="82"/>
      <c r="BI151" s="82"/>
      <c r="BJ151" s="82"/>
      <c r="BK151" s="82"/>
      <c r="BL151" s="82"/>
      <c r="BM151" s="82"/>
      <c r="BN151" s="82"/>
      <c r="BO151" s="82"/>
      <c r="BP151" s="82"/>
      <c r="BQ151" s="82"/>
      <c r="BR151" s="82"/>
      <c r="BS151" s="82"/>
      <c r="BT151" s="82"/>
      <c r="BU151" s="82"/>
      <c r="BV151" s="82"/>
      <c r="BW151" s="82"/>
      <c r="BX151" s="82"/>
      <c r="BY151" s="82"/>
      <c r="BZ151" s="82"/>
      <c r="CA151" s="82"/>
      <c r="CB151" s="82"/>
      <c r="CC151" s="82"/>
      <c r="CD151" s="82"/>
      <c r="CE151" s="82"/>
      <c r="CF151" s="82"/>
      <c r="CG151" s="82"/>
      <c r="CH151" s="82"/>
      <c r="CI151" s="82"/>
      <c r="CJ151" s="82"/>
      <c r="CK151" s="82"/>
      <c r="CL151" s="82"/>
      <c r="CM151" s="82"/>
      <c r="CN151" s="82"/>
      <c r="CO151" s="82"/>
      <c r="CP151" s="82"/>
      <c r="CQ151" s="82"/>
      <c r="CR151" s="82"/>
      <c r="CS151" s="82"/>
      <c r="CT151" s="82"/>
      <c r="CU151" s="82"/>
      <c r="CV151" s="82"/>
    </row>
    <row r="152" spans="59:100" ht="15" customHeight="1">
      <c r="BG152" s="82"/>
      <c r="BH152" s="82"/>
      <c r="BI152" s="82"/>
      <c r="BJ152" s="82"/>
      <c r="BK152" s="82"/>
      <c r="BL152" s="82"/>
      <c r="BM152" s="82"/>
      <c r="BN152" s="82"/>
      <c r="BO152" s="82"/>
      <c r="BP152" s="82"/>
      <c r="BQ152" s="82"/>
      <c r="BR152" s="82"/>
      <c r="BS152" s="82"/>
      <c r="BT152" s="82"/>
      <c r="BU152" s="82"/>
      <c r="BV152" s="82"/>
      <c r="BW152" s="82"/>
      <c r="BX152" s="82"/>
      <c r="BY152" s="82"/>
      <c r="BZ152" s="82"/>
      <c r="CA152" s="82"/>
      <c r="CB152" s="82"/>
      <c r="CC152" s="82"/>
      <c r="CD152" s="82"/>
      <c r="CE152" s="82"/>
      <c r="CF152" s="82"/>
      <c r="CG152" s="82"/>
      <c r="CH152" s="82"/>
      <c r="CI152" s="82"/>
      <c r="CJ152" s="82"/>
      <c r="CK152" s="82"/>
      <c r="CL152" s="82"/>
      <c r="CM152" s="82"/>
      <c r="CN152" s="82"/>
      <c r="CO152" s="82"/>
      <c r="CP152" s="82"/>
      <c r="CQ152" s="82"/>
      <c r="CR152" s="82"/>
      <c r="CS152" s="82"/>
      <c r="CT152" s="82"/>
      <c r="CU152" s="82"/>
      <c r="CV152" s="82"/>
    </row>
    <row r="153" spans="59:100" ht="15" customHeight="1">
      <c r="BG153" s="82"/>
      <c r="BH153" s="82"/>
      <c r="BI153" s="82"/>
      <c r="BJ153" s="82"/>
      <c r="BK153" s="82"/>
      <c r="BL153" s="82"/>
      <c r="BM153" s="82"/>
      <c r="BN153" s="82"/>
      <c r="BO153" s="82"/>
      <c r="BP153" s="82"/>
      <c r="BQ153" s="82"/>
      <c r="BR153" s="82"/>
      <c r="BS153" s="82"/>
      <c r="BT153" s="82"/>
      <c r="BU153" s="82"/>
      <c r="BV153" s="82"/>
      <c r="BW153" s="82"/>
      <c r="BX153" s="82"/>
      <c r="BY153" s="82"/>
      <c r="BZ153" s="82"/>
      <c r="CA153" s="82"/>
      <c r="CB153" s="82"/>
      <c r="CC153" s="82"/>
      <c r="CD153" s="82"/>
      <c r="CE153" s="82"/>
      <c r="CF153" s="82"/>
      <c r="CG153" s="82"/>
      <c r="CH153" s="82"/>
      <c r="CI153" s="82"/>
      <c r="CJ153" s="82"/>
      <c r="CK153" s="82"/>
      <c r="CL153" s="82"/>
      <c r="CM153" s="82"/>
      <c r="CN153" s="82"/>
      <c r="CO153" s="82"/>
      <c r="CP153" s="82"/>
      <c r="CQ153" s="82"/>
      <c r="CR153" s="82"/>
      <c r="CS153" s="82"/>
      <c r="CT153" s="82"/>
      <c r="CU153" s="82"/>
      <c r="CV153" s="82"/>
    </row>
    <row r="154" spans="59:100" ht="15" customHeight="1">
      <c r="BG154" s="82"/>
      <c r="BH154" s="82"/>
      <c r="BI154" s="82"/>
      <c r="BJ154" s="82"/>
      <c r="BK154" s="82"/>
      <c r="BL154" s="82"/>
      <c r="BM154" s="82"/>
      <c r="BN154" s="82"/>
      <c r="BO154" s="82"/>
      <c r="BP154" s="82"/>
      <c r="BQ154" s="82"/>
      <c r="BR154" s="82"/>
      <c r="BS154" s="82"/>
      <c r="BT154" s="82"/>
      <c r="BU154" s="82"/>
      <c r="BV154" s="82"/>
      <c r="BW154" s="82"/>
      <c r="BX154" s="82"/>
      <c r="BY154" s="82"/>
      <c r="BZ154" s="82"/>
      <c r="CA154" s="82"/>
      <c r="CB154" s="82"/>
      <c r="CC154" s="82"/>
      <c r="CD154" s="82"/>
      <c r="CE154" s="82"/>
      <c r="CF154" s="82"/>
      <c r="CG154" s="82"/>
      <c r="CH154" s="82"/>
      <c r="CI154" s="82"/>
      <c r="CJ154" s="82"/>
      <c r="CK154" s="82"/>
      <c r="CL154" s="82"/>
      <c r="CM154" s="82"/>
      <c r="CN154" s="82"/>
      <c r="CO154" s="82"/>
      <c r="CP154" s="82"/>
      <c r="CQ154" s="82"/>
      <c r="CR154" s="82"/>
      <c r="CS154" s="82"/>
      <c r="CT154" s="82"/>
      <c r="CU154" s="82"/>
      <c r="CV154" s="82"/>
    </row>
    <row r="155" spans="59:100" ht="15" customHeight="1">
      <c r="BG155" s="82"/>
      <c r="BH155" s="82"/>
      <c r="BI155" s="82"/>
      <c r="BJ155" s="82"/>
      <c r="BK155" s="82"/>
      <c r="BL155" s="82"/>
      <c r="BM155" s="82"/>
      <c r="BN155" s="82"/>
      <c r="BO155" s="82"/>
      <c r="BP155" s="82"/>
      <c r="BQ155" s="82"/>
      <c r="BR155" s="82"/>
      <c r="BS155" s="82"/>
      <c r="BT155" s="82"/>
      <c r="BU155" s="82"/>
      <c r="BV155" s="82"/>
      <c r="BW155" s="82"/>
      <c r="BX155" s="82"/>
      <c r="BY155" s="82"/>
      <c r="BZ155" s="82"/>
      <c r="CA155" s="82"/>
      <c r="CB155" s="82"/>
      <c r="CC155" s="82"/>
      <c r="CD155" s="82"/>
      <c r="CE155" s="82"/>
      <c r="CF155" s="82"/>
      <c r="CG155" s="82"/>
      <c r="CH155" s="82"/>
      <c r="CI155" s="82"/>
      <c r="CJ155" s="82"/>
      <c r="CK155" s="82"/>
      <c r="CL155" s="82"/>
      <c r="CM155" s="82"/>
      <c r="CN155" s="82"/>
      <c r="CO155" s="82"/>
      <c r="CP155" s="82"/>
      <c r="CQ155" s="82"/>
      <c r="CR155" s="82"/>
      <c r="CS155" s="82"/>
      <c r="CT155" s="82"/>
      <c r="CU155" s="82"/>
      <c r="CV155" s="82"/>
    </row>
    <row r="156" spans="59:100" ht="15" customHeight="1"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82"/>
      <c r="CM156" s="82"/>
      <c r="CN156" s="82"/>
      <c r="CO156" s="82"/>
      <c r="CP156" s="82"/>
      <c r="CQ156" s="82"/>
      <c r="CR156" s="82"/>
      <c r="CS156" s="82"/>
      <c r="CT156" s="82"/>
      <c r="CU156" s="82"/>
      <c r="CV156" s="82"/>
    </row>
    <row r="157" spans="59:100" ht="15" customHeight="1">
      <c r="BG157" s="82"/>
      <c r="BH157" s="82"/>
      <c r="BI157" s="82"/>
      <c r="BJ157" s="82"/>
      <c r="BK157" s="82"/>
      <c r="BL157" s="82"/>
      <c r="BM157" s="82"/>
      <c r="BN157" s="82"/>
      <c r="BO157" s="82"/>
      <c r="BP157" s="82"/>
      <c r="BQ157" s="82"/>
      <c r="BR157" s="82"/>
      <c r="BS157" s="82"/>
      <c r="BT157" s="82"/>
      <c r="BU157" s="82"/>
      <c r="BV157" s="82"/>
      <c r="BW157" s="82"/>
      <c r="BX157" s="82"/>
      <c r="BY157" s="82"/>
      <c r="BZ157" s="82"/>
      <c r="CA157" s="82"/>
      <c r="CB157" s="82"/>
      <c r="CC157" s="82"/>
      <c r="CD157" s="82"/>
      <c r="CE157" s="82"/>
      <c r="CF157" s="82"/>
      <c r="CG157" s="82"/>
      <c r="CH157" s="82"/>
      <c r="CI157" s="82"/>
      <c r="CJ157" s="82"/>
      <c r="CK157" s="82"/>
      <c r="CL157" s="82"/>
      <c r="CM157" s="82"/>
      <c r="CN157" s="82"/>
      <c r="CO157" s="82"/>
      <c r="CP157" s="82"/>
      <c r="CQ157" s="82"/>
      <c r="CR157" s="82"/>
      <c r="CS157" s="82"/>
      <c r="CT157" s="82"/>
      <c r="CU157" s="82"/>
      <c r="CV157" s="82"/>
    </row>
    <row r="158" spans="59:100" ht="15" customHeight="1">
      <c r="BG158" s="82"/>
      <c r="BH158" s="82"/>
      <c r="BI158" s="82"/>
      <c r="BJ158" s="82"/>
      <c r="BK158" s="82"/>
      <c r="BL158" s="82"/>
      <c r="BM158" s="82"/>
      <c r="BN158" s="82"/>
      <c r="BO158" s="82"/>
      <c r="BP158" s="82"/>
      <c r="BQ158" s="82"/>
      <c r="BR158" s="82"/>
      <c r="BS158" s="82"/>
      <c r="BT158" s="82"/>
      <c r="BU158" s="82"/>
      <c r="BV158" s="82"/>
      <c r="BW158" s="82"/>
      <c r="BX158" s="82"/>
      <c r="BY158" s="82"/>
      <c r="BZ158" s="82"/>
      <c r="CA158" s="82"/>
      <c r="CB158" s="82"/>
      <c r="CC158" s="82"/>
      <c r="CD158" s="82"/>
      <c r="CE158" s="82"/>
      <c r="CF158" s="82"/>
      <c r="CG158" s="82"/>
      <c r="CH158" s="82"/>
      <c r="CI158" s="82"/>
      <c r="CJ158" s="82"/>
      <c r="CK158" s="82"/>
      <c r="CL158" s="82"/>
      <c r="CM158" s="82"/>
      <c r="CN158" s="82"/>
      <c r="CO158" s="82"/>
      <c r="CP158" s="82"/>
      <c r="CQ158" s="82"/>
      <c r="CR158" s="82"/>
      <c r="CS158" s="82"/>
      <c r="CT158" s="82"/>
      <c r="CU158" s="82"/>
      <c r="CV158" s="82"/>
    </row>
    <row r="159" spans="59:100" ht="15" customHeight="1">
      <c r="BG159" s="82"/>
      <c r="BH159" s="82"/>
      <c r="BI159" s="82"/>
      <c r="BJ159" s="82"/>
      <c r="BK159" s="82"/>
      <c r="BL159" s="82"/>
      <c r="BM159" s="82"/>
      <c r="BN159" s="82"/>
      <c r="BO159" s="82"/>
      <c r="BP159" s="82"/>
      <c r="BQ159" s="82"/>
      <c r="BR159" s="82"/>
      <c r="BS159" s="82"/>
      <c r="BT159" s="82"/>
      <c r="BU159" s="82"/>
      <c r="BV159" s="82"/>
      <c r="BW159" s="82"/>
      <c r="BX159" s="82"/>
      <c r="BY159" s="82"/>
      <c r="BZ159" s="82"/>
      <c r="CA159" s="82"/>
      <c r="CB159" s="82"/>
      <c r="CC159" s="82"/>
      <c r="CD159" s="82"/>
      <c r="CE159" s="82"/>
      <c r="CF159" s="82"/>
      <c r="CG159" s="82"/>
      <c r="CH159" s="82"/>
      <c r="CI159" s="82"/>
      <c r="CJ159" s="82"/>
      <c r="CK159" s="82"/>
      <c r="CL159" s="82"/>
      <c r="CM159" s="82"/>
      <c r="CN159" s="82"/>
      <c r="CO159" s="82"/>
      <c r="CP159" s="82"/>
      <c r="CQ159" s="82"/>
      <c r="CR159" s="82"/>
      <c r="CS159" s="82"/>
      <c r="CT159" s="82"/>
      <c r="CU159" s="82"/>
      <c r="CV159" s="82"/>
    </row>
    <row r="160" spans="59:100" ht="15" customHeight="1">
      <c r="BG160" s="82"/>
      <c r="BH160" s="82"/>
      <c r="BI160" s="82"/>
      <c r="BJ160" s="82"/>
      <c r="BK160" s="82"/>
      <c r="BL160" s="82"/>
      <c r="BM160" s="82"/>
      <c r="BN160" s="82"/>
      <c r="BO160" s="82"/>
      <c r="BP160" s="82"/>
      <c r="BQ160" s="82"/>
      <c r="BR160" s="82"/>
      <c r="BS160" s="82"/>
      <c r="BT160" s="82"/>
      <c r="BU160" s="82"/>
      <c r="BV160" s="82"/>
      <c r="BW160" s="82"/>
      <c r="BX160" s="82"/>
      <c r="BY160" s="82"/>
      <c r="BZ160" s="82"/>
      <c r="CA160" s="82"/>
      <c r="CB160" s="82"/>
      <c r="CC160" s="82"/>
      <c r="CD160" s="82"/>
      <c r="CE160" s="82"/>
      <c r="CF160" s="82"/>
      <c r="CG160" s="82"/>
      <c r="CH160" s="82"/>
      <c r="CI160" s="82"/>
      <c r="CJ160" s="82"/>
      <c r="CK160" s="82"/>
      <c r="CL160" s="82"/>
      <c r="CM160" s="82"/>
      <c r="CN160" s="82"/>
      <c r="CO160" s="82"/>
      <c r="CP160" s="82"/>
      <c r="CQ160" s="82"/>
      <c r="CR160" s="82"/>
      <c r="CS160" s="82"/>
      <c r="CT160" s="82"/>
      <c r="CU160" s="82"/>
      <c r="CV160" s="82"/>
    </row>
    <row r="161" spans="59:100" ht="15" customHeight="1">
      <c r="BG161" s="82"/>
      <c r="BH161" s="82"/>
      <c r="BI161" s="82"/>
      <c r="BJ161" s="82"/>
      <c r="BK161" s="82"/>
      <c r="BL161" s="82"/>
      <c r="BM161" s="82"/>
      <c r="BN161" s="82"/>
      <c r="BO161" s="82"/>
      <c r="BP161" s="82"/>
      <c r="BQ161" s="82"/>
      <c r="BR161" s="82"/>
      <c r="BS161" s="82"/>
      <c r="BT161" s="82"/>
      <c r="BU161" s="82"/>
      <c r="BV161" s="82"/>
      <c r="BW161" s="82"/>
      <c r="BX161" s="82"/>
      <c r="BY161" s="82"/>
      <c r="BZ161" s="82"/>
      <c r="CA161" s="82"/>
      <c r="CB161" s="82"/>
      <c r="CC161" s="82"/>
      <c r="CD161" s="82"/>
      <c r="CE161" s="82"/>
      <c r="CF161" s="82"/>
      <c r="CG161" s="82"/>
      <c r="CH161" s="82"/>
      <c r="CI161" s="82"/>
      <c r="CJ161" s="82"/>
      <c r="CK161" s="82"/>
      <c r="CL161" s="82"/>
      <c r="CM161" s="82"/>
      <c r="CN161" s="82"/>
      <c r="CO161" s="82"/>
      <c r="CP161" s="82"/>
      <c r="CQ161" s="82"/>
      <c r="CR161" s="82"/>
      <c r="CS161" s="82"/>
      <c r="CT161" s="82"/>
      <c r="CU161" s="82"/>
      <c r="CV161" s="82"/>
    </row>
    <row r="162" spans="59:100" ht="15" customHeight="1">
      <c r="BG162" s="82"/>
      <c r="BH162" s="82"/>
      <c r="BI162" s="82"/>
      <c r="BJ162" s="82"/>
      <c r="BK162" s="82"/>
      <c r="BL162" s="82"/>
      <c r="BM162" s="82"/>
      <c r="BN162" s="82"/>
      <c r="BO162" s="82"/>
      <c r="BP162" s="82"/>
      <c r="BQ162" s="82"/>
      <c r="BR162" s="82"/>
      <c r="BS162" s="82"/>
      <c r="BT162" s="82"/>
      <c r="BU162" s="82"/>
      <c r="BV162" s="82"/>
      <c r="BW162" s="82"/>
      <c r="BX162" s="82"/>
      <c r="BY162" s="82"/>
      <c r="BZ162" s="82"/>
      <c r="CA162" s="82"/>
      <c r="CB162" s="82"/>
      <c r="CC162" s="82"/>
      <c r="CD162" s="82"/>
      <c r="CE162" s="82"/>
      <c r="CF162" s="82"/>
      <c r="CG162" s="82"/>
      <c r="CH162" s="82"/>
      <c r="CI162" s="82"/>
      <c r="CJ162" s="82"/>
      <c r="CK162" s="82"/>
      <c r="CL162" s="82"/>
      <c r="CM162" s="82"/>
      <c r="CN162" s="82"/>
      <c r="CO162" s="82"/>
      <c r="CP162" s="82"/>
      <c r="CQ162" s="82"/>
      <c r="CR162" s="82"/>
      <c r="CS162" s="82"/>
      <c r="CT162" s="82"/>
      <c r="CU162" s="82"/>
      <c r="CV162" s="82"/>
    </row>
    <row r="163" spans="59:100" ht="15" customHeight="1">
      <c r="BG163" s="82"/>
      <c r="BH163" s="82"/>
      <c r="BI163" s="82"/>
      <c r="BJ163" s="82"/>
      <c r="BK163" s="82"/>
      <c r="BL163" s="82"/>
      <c r="BM163" s="82"/>
      <c r="BN163" s="82"/>
      <c r="BO163" s="82"/>
      <c r="BP163" s="82"/>
      <c r="BQ163" s="82"/>
      <c r="BR163" s="82"/>
      <c r="BS163" s="82"/>
      <c r="BT163" s="82"/>
      <c r="BU163" s="82"/>
      <c r="BV163" s="82"/>
      <c r="BW163" s="82"/>
      <c r="BX163" s="82"/>
      <c r="BY163" s="82"/>
      <c r="BZ163" s="82"/>
      <c r="CA163" s="82"/>
      <c r="CB163" s="82"/>
      <c r="CC163" s="82"/>
      <c r="CD163" s="82"/>
      <c r="CE163" s="82"/>
      <c r="CF163" s="82"/>
      <c r="CG163" s="82"/>
      <c r="CH163" s="82"/>
      <c r="CI163" s="82"/>
      <c r="CJ163" s="82"/>
      <c r="CK163" s="82"/>
      <c r="CL163" s="82"/>
      <c r="CM163" s="82"/>
      <c r="CN163" s="82"/>
      <c r="CO163" s="82"/>
      <c r="CP163" s="82"/>
      <c r="CQ163" s="82"/>
      <c r="CR163" s="82"/>
      <c r="CS163" s="82"/>
      <c r="CT163" s="82"/>
      <c r="CU163" s="82"/>
      <c r="CV163" s="82"/>
    </row>
    <row r="164" spans="59:100" ht="15" customHeight="1">
      <c r="BG164" s="82"/>
      <c r="BH164" s="82"/>
      <c r="BI164" s="82"/>
      <c r="BJ164" s="82"/>
      <c r="BK164" s="82"/>
      <c r="BL164" s="82"/>
      <c r="BM164" s="82"/>
      <c r="BN164" s="82"/>
      <c r="BO164" s="82"/>
      <c r="BP164" s="82"/>
      <c r="BQ164" s="82"/>
      <c r="BR164" s="82"/>
      <c r="BS164" s="82"/>
      <c r="BT164" s="82"/>
      <c r="BU164" s="82"/>
      <c r="BV164" s="82"/>
      <c r="BW164" s="82"/>
      <c r="BX164" s="82"/>
      <c r="BY164" s="82"/>
      <c r="BZ164" s="82"/>
      <c r="CA164" s="82"/>
      <c r="CB164" s="82"/>
      <c r="CC164" s="82"/>
      <c r="CD164" s="82"/>
      <c r="CE164" s="82"/>
      <c r="CF164" s="82"/>
      <c r="CG164" s="82"/>
      <c r="CH164" s="82"/>
      <c r="CI164" s="82"/>
      <c r="CJ164" s="82"/>
      <c r="CK164" s="82"/>
      <c r="CL164" s="82"/>
      <c r="CM164" s="82"/>
      <c r="CN164" s="82"/>
      <c r="CO164" s="82"/>
      <c r="CP164" s="82"/>
      <c r="CQ164" s="82"/>
      <c r="CR164" s="82"/>
      <c r="CS164" s="82"/>
      <c r="CT164" s="82"/>
      <c r="CU164" s="82"/>
      <c r="CV164" s="82"/>
    </row>
    <row r="165" spans="59:100" ht="15" customHeight="1">
      <c r="BG165" s="82"/>
      <c r="BH165" s="82"/>
      <c r="BI165" s="82"/>
      <c r="BJ165" s="82"/>
      <c r="BK165" s="82"/>
      <c r="BL165" s="82"/>
      <c r="BM165" s="82"/>
      <c r="BN165" s="82"/>
      <c r="BO165" s="82"/>
      <c r="BP165" s="82"/>
      <c r="BQ165" s="82"/>
      <c r="BR165" s="82"/>
      <c r="BS165" s="82"/>
      <c r="BT165" s="82"/>
      <c r="BU165" s="82"/>
      <c r="BV165" s="82"/>
      <c r="BW165" s="82"/>
      <c r="BX165" s="82"/>
      <c r="BY165" s="82"/>
      <c r="BZ165" s="82"/>
      <c r="CA165" s="82"/>
      <c r="CB165" s="82"/>
      <c r="CC165" s="82"/>
      <c r="CD165" s="82"/>
      <c r="CE165" s="82"/>
      <c r="CF165" s="82"/>
      <c r="CG165" s="82"/>
      <c r="CH165" s="82"/>
      <c r="CI165" s="82"/>
      <c r="CJ165" s="82"/>
      <c r="CK165" s="82"/>
      <c r="CL165" s="82"/>
      <c r="CM165" s="82"/>
      <c r="CN165" s="82"/>
      <c r="CO165" s="82"/>
      <c r="CP165" s="82"/>
      <c r="CQ165" s="82"/>
      <c r="CR165" s="82"/>
      <c r="CS165" s="82"/>
      <c r="CT165" s="82"/>
      <c r="CU165" s="82"/>
      <c r="CV165" s="82"/>
    </row>
    <row r="166" spans="59:100" ht="15" customHeight="1">
      <c r="BG166" s="82"/>
      <c r="BH166" s="82"/>
      <c r="BI166" s="82"/>
      <c r="BJ166" s="82"/>
      <c r="BK166" s="82"/>
      <c r="BL166" s="82"/>
      <c r="BM166" s="82"/>
      <c r="BN166" s="82"/>
      <c r="BO166" s="82"/>
      <c r="BP166" s="82"/>
      <c r="BQ166" s="82"/>
      <c r="BR166" s="82"/>
      <c r="BS166" s="82"/>
      <c r="BT166" s="82"/>
      <c r="BU166" s="82"/>
      <c r="BV166" s="82"/>
      <c r="BW166" s="82"/>
      <c r="BX166" s="82"/>
      <c r="BY166" s="82"/>
      <c r="BZ166" s="82"/>
      <c r="CA166" s="82"/>
      <c r="CB166" s="82"/>
      <c r="CC166" s="82"/>
      <c r="CD166" s="82"/>
      <c r="CE166" s="82"/>
      <c r="CF166" s="82"/>
      <c r="CG166" s="82"/>
      <c r="CH166" s="82"/>
      <c r="CI166" s="82"/>
      <c r="CJ166" s="82"/>
      <c r="CK166" s="82"/>
      <c r="CL166" s="82"/>
      <c r="CM166" s="82"/>
      <c r="CN166" s="82"/>
      <c r="CO166" s="82"/>
      <c r="CP166" s="82"/>
      <c r="CQ166" s="82"/>
      <c r="CR166" s="82"/>
      <c r="CS166" s="82"/>
      <c r="CT166" s="82"/>
      <c r="CU166" s="82"/>
      <c r="CV166" s="82"/>
    </row>
    <row r="167" spans="59:100" ht="15" customHeight="1">
      <c r="BG167" s="82"/>
      <c r="BH167" s="82"/>
      <c r="BI167" s="82"/>
      <c r="BJ167" s="82"/>
      <c r="BK167" s="82"/>
      <c r="BL167" s="82"/>
      <c r="BM167" s="82"/>
      <c r="BN167" s="82"/>
      <c r="BO167" s="82"/>
      <c r="BP167" s="82"/>
      <c r="BQ167" s="82"/>
      <c r="BR167" s="82"/>
      <c r="BS167" s="82"/>
      <c r="BT167" s="82"/>
      <c r="BU167" s="82"/>
      <c r="BV167" s="82"/>
      <c r="BW167" s="82"/>
      <c r="BX167" s="82"/>
      <c r="BY167" s="82"/>
      <c r="BZ167" s="82"/>
      <c r="CA167" s="82"/>
      <c r="CB167" s="82"/>
      <c r="CC167" s="82"/>
      <c r="CD167" s="82"/>
      <c r="CE167" s="82"/>
      <c r="CF167" s="82"/>
      <c r="CG167" s="82"/>
      <c r="CH167" s="82"/>
      <c r="CI167" s="82"/>
      <c r="CJ167" s="82"/>
      <c r="CK167" s="82"/>
      <c r="CL167" s="82"/>
      <c r="CM167" s="82"/>
      <c r="CN167" s="82"/>
      <c r="CO167" s="82"/>
      <c r="CP167" s="82"/>
      <c r="CQ167" s="82"/>
      <c r="CR167" s="82"/>
      <c r="CS167" s="82"/>
      <c r="CT167" s="82"/>
      <c r="CU167" s="82"/>
      <c r="CV167" s="82"/>
    </row>
    <row r="168" spans="59:100" ht="15" customHeight="1">
      <c r="BG168" s="82"/>
      <c r="BH168" s="82"/>
      <c r="BI168" s="82"/>
      <c r="BJ168" s="82"/>
      <c r="BK168" s="82"/>
      <c r="BL168" s="82"/>
      <c r="BM168" s="82"/>
      <c r="BN168" s="82"/>
      <c r="BO168" s="82"/>
      <c r="BP168" s="82"/>
      <c r="BQ168" s="82"/>
      <c r="BR168" s="82"/>
      <c r="BS168" s="82"/>
      <c r="BT168" s="82"/>
      <c r="BU168" s="82"/>
      <c r="BV168" s="82"/>
      <c r="BW168" s="82"/>
      <c r="BX168" s="82"/>
      <c r="BY168" s="82"/>
      <c r="BZ168" s="82"/>
      <c r="CA168" s="82"/>
      <c r="CB168" s="82"/>
      <c r="CC168" s="82"/>
      <c r="CD168" s="82"/>
      <c r="CE168" s="82"/>
      <c r="CF168" s="82"/>
      <c r="CG168" s="82"/>
      <c r="CH168" s="82"/>
      <c r="CI168" s="82"/>
      <c r="CJ168" s="82"/>
      <c r="CK168" s="82"/>
      <c r="CL168" s="82"/>
      <c r="CM168" s="82"/>
      <c r="CN168" s="82"/>
      <c r="CO168" s="82"/>
      <c r="CP168" s="82"/>
      <c r="CQ168" s="82"/>
      <c r="CR168" s="82"/>
      <c r="CS168" s="82"/>
      <c r="CT168" s="82"/>
      <c r="CU168" s="82"/>
      <c r="CV168" s="82"/>
    </row>
    <row r="169" spans="59:100" ht="15" customHeight="1">
      <c r="BG169" s="82"/>
      <c r="BH169" s="82"/>
      <c r="BI169" s="82"/>
      <c r="BJ169" s="82"/>
      <c r="BK169" s="82"/>
      <c r="BL169" s="82"/>
      <c r="BM169" s="82"/>
      <c r="BN169" s="82"/>
      <c r="BO169" s="82"/>
      <c r="BP169" s="82"/>
      <c r="BQ169" s="82"/>
      <c r="BR169" s="82"/>
      <c r="BS169" s="82"/>
      <c r="BT169" s="82"/>
      <c r="BU169" s="82"/>
      <c r="BV169" s="82"/>
      <c r="BW169" s="82"/>
      <c r="BX169" s="82"/>
      <c r="BY169" s="82"/>
      <c r="BZ169" s="82"/>
      <c r="CA169" s="82"/>
      <c r="CB169" s="82"/>
      <c r="CC169" s="82"/>
      <c r="CD169" s="82"/>
      <c r="CE169" s="82"/>
      <c r="CF169" s="82"/>
      <c r="CG169" s="82"/>
      <c r="CH169" s="82"/>
      <c r="CI169" s="82"/>
      <c r="CJ169" s="82"/>
      <c r="CK169" s="82"/>
      <c r="CL169" s="82"/>
      <c r="CM169" s="82"/>
      <c r="CN169" s="82"/>
      <c r="CO169" s="82"/>
      <c r="CP169" s="82"/>
      <c r="CQ169" s="82"/>
      <c r="CR169" s="82"/>
      <c r="CS169" s="82"/>
      <c r="CT169" s="82"/>
      <c r="CU169" s="82"/>
      <c r="CV169" s="82"/>
    </row>
    <row r="170" spans="59:100" ht="15" customHeight="1">
      <c r="BG170" s="82"/>
      <c r="BH170" s="82"/>
      <c r="BI170" s="82"/>
      <c r="BJ170" s="82"/>
      <c r="BK170" s="82"/>
      <c r="BL170" s="82"/>
      <c r="BM170" s="82"/>
      <c r="BN170" s="82"/>
      <c r="BO170" s="82"/>
      <c r="BP170" s="82"/>
      <c r="BQ170" s="82"/>
      <c r="BR170" s="82"/>
      <c r="BS170" s="82"/>
      <c r="BT170" s="82"/>
      <c r="BU170" s="82"/>
      <c r="BV170" s="82"/>
      <c r="BW170" s="82"/>
      <c r="BX170" s="82"/>
      <c r="BY170" s="82"/>
      <c r="BZ170" s="82"/>
      <c r="CA170" s="82"/>
      <c r="CB170" s="82"/>
      <c r="CC170" s="82"/>
      <c r="CD170" s="82"/>
      <c r="CE170" s="82"/>
      <c r="CF170" s="82"/>
      <c r="CG170" s="82"/>
      <c r="CH170" s="82"/>
      <c r="CI170" s="82"/>
      <c r="CJ170" s="82"/>
      <c r="CK170" s="82"/>
      <c r="CL170" s="82"/>
      <c r="CM170" s="82"/>
      <c r="CN170" s="82"/>
      <c r="CO170" s="82"/>
      <c r="CP170" s="82"/>
      <c r="CQ170" s="82"/>
      <c r="CR170" s="82"/>
      <c r="CS170" s="82"/>
      <c r="CT170" s="82"/>
      <c r="CU170" s="82"/>
      <c r="CV170" s="82"/>
    </row>
    <row r="171" spans="59:100" ht="15" customHeight="1">
      <c r="BG171" s="82"/>
      <c r="BH171" s="82"/>
      <c r="BI171" s="82"/>
      <c r="BJ171" s="82"/>
      <c r="BK171" s="82"/>
      <c r="BL171" s="82"/>
      <c r="BM171" s="82"/>
      <c r="BN171" s="82"/>
      <c r="BO171" s="82"/>
      <c r="BP171" s="82"/>
      <c r="BQ171" s="82"/>
      <c r="BR171" s="82"/>
      <c r="BS171" s="82"/>
      <c r="BT171" s="82"/>
      <c r="BU171" s="82"/>
      <c r="BV171" s="82"/>
      <c r="BW171" s="82"/>
      <c r="BX171" s="82"/>
      <c r="BY171" s="82"/>
      <c r="BZ171" s="82"/>
      <c r="CA171" s="82"/>
      <c r="CB171" s="82"/>
      <c r="CC171" s="82"/>
      <c r="CD171" s="82"/>
      <c r="CE171" s="82"/>
      <c r="CF171" s="82"/>
      <c r="CG171" s="82"/>
      <c r="CH171" s="82"/>
      <c r="CI171" s="82"/>
      <c r="CJ171" s="82"/>
      <c r="CK171" s="82"/>
      <c r="CL171" s="82"/>
      <c r="CM171" s="82"/>
      <c r="CN171" s="82"/>
      <c r="CO171" s="82"/>
      <c r="CP171" s="82"/>
      <c r="CQ171" s="82"/>
      <c r="CR171" s="82"/>
      <c r="CS171" s="82"/>
      <c r="CT171" s="82"/>
      <c r="CU171" s="82"/>
      <c r="CV171" s="82"/>
    </row>
    <row r="172" spans="59:100" ht="15" customHeight="1">
      <c r="BG172" s="82"/>
      <c r="BH172" s="82"/>
      <c r="BI172" s="82"/>
      <c r="BJ172" s="82"/>
      <c r="BK172" s="82"/>
      <c r="BL172" s="82"/>
      <c r="BM172" s="82"/>
      <c r="BN172" s="82"/>
      <c r="BO172" s="82"/>
      <c r="BP172" s="82"/>
      <c r="BQ172" s="82"/>
      <c r="BR172" s="82"/>
      <c r="BS172" s="82"/>
      <c r="BT172" s="82"/>
      <c r="BU172" s="82"/>
      <c r="BV172" s="82"/>
      <c r="BW172" s="82"/>
      <c r="BX172" s="82"/>
      <c r="BY172" s="82"/>
      <c r="BZ172" s="82"/>
      <c r="CA172" s="82"/>
      <c r="CB172" s="82"/>
      <c r="CC172" s="82"/>
      <c r="CD172" s="82"/>
      <c r="CE172" s="82"/>
      <c r="CF172" s="82"/>
      <c r="CG172" s="82"/>
      <c r="CH172" s="82"/>
      <c r="CI172" s="82"/>
      <c r="CJ172" s="82"/>
      <c r="CK172" s="82"/>
      <c r="CL172" s="82"/>
      <c r="CM172" s="82"/>
      <c r="CN172" s="82"/>
      <c r="CO172" s="82"/>
      <c r="CP172" s="82"/>
      <c r="CQ172" s="82"/>
      <c r="CR172" s="82"/>
      <c r="CS172" s="82"/>
      <c r="CT172" s="82"/>
      <c r="CU172" s="82"/>
      <c r="CV172" s="82"/>
    </row>
    <row r="173" spans="59:100" ht="15" customHeight="1">
      <c r="BG173" s="82"/>
      <c r="BH173" s="82"/>
      <c r="BI173" s="82"/>
      <c r="BJ173" s="82"/>
      <c r="BK173" s="82"/>
      <c r="BL173" s="82"/>
      <c r="BM173" s="82"/>
      <c r="BN173" s="82"/>
      <c r="BO173" s="82"/>
      <c r="BP173" s="82"/>
      <c r="BQ173" s="82"/>
      <c r="BR173" s="82"/>
      <c r="BS173" s="82"/>
      <c r="BT173" s="82"/>
      <c r="BU173" s="82"/>
      <c r="BV173" s="82"/>
      <c r="BW173" s="82"/>
      <c r="BX173" s="82"/>
      <c r="BY173" s="82"/>
      <c r="BZ173" s="82"/>
      <c r="CA173" s="82"/>
      <c r="CB173" s="82"/>
      <c r="CC173" s="82"/>
      <c r="CD173" s="82"/>
      <c r="CE173" s="82"/>
      <c r="CF173" s="82"/>
      <c r="CG173" s="82"/>
      <c r="CH173" s="82"/>
      <c r="CI173" s="82"/>
      <c r="CJ173" s="82"/>
      <c r="CK173" s="82"/>
      <c r="CL173" s="82"/>
      <c r="CM173" s="82"/>
      <c r="CN173" s="82"/>
      <c r="CO173" s="82"/>
      <c r="CP173" s="82"/>
      <c r="CQ173" s="82"/>
      <c r="CR173" s="82"/>
      <c r="CS173" s="82"/>
      <c r="CT173" s="82"/>
      <c r="CU173" s="82"/>
      <c r="CV173" s="82"/>
    </row>
    <row r="174" spans="59:100" ht="15" customHeight="1">
      <c r="BG174" s="82"/>
      <c r="BH174" s="82"/>
      <c r="BI174" s="82"/>
      <c r="BJ174" s="82"/>
      <c r="BK174" s="82"/>
      <c r="BL174" s="82"/>
      <c r="BM174" s="82"/>
      <c r="BN174" s="82"/>
      <c r="BO174" s="82"/>
      <c r="BP174" s="82"/>
      <c r="BQ174" s="82"/>
      <c r="BR174" s="82"/>
      <c r="BS174" s="82"/>
      <c r="BT174" s="82"/>
      <c r="BU174" s="82"/>
      <c r="BV174" s="82"/>
      <c r="BW174" s="82"/>
      <c r="BX174" s="82"/>
      <c r="BY174" s="82"/>
      <c r="BZ174" s="82"/>
      <c r="CA174" s="82"/>
      <c r="CB174" s="82"/>
      <c r="CC174" s="82"/>
      <c r="CD174" s="82"/>
      <c r="CE174" s="82"/>
      <c r="CF174" s="82"/>
      <c r="CG174" s="82"/>
      <c r="CH174" s="82"/>
      <c r="CI174" s="82"/>
      <c r="CJ174" s="82"/>
      <c r="CK174" s="82"/>
      <c r="CL174" s="82"/>
      <c r="CM174" s="82"/>
      <c r="CN174" s="82"/>
      <c r="CO174" s="82"/>
      <c r="CP174" s="82"/>
      <c r="CQ174" s="82"/>
      <c r="CR174" s="82"/>
      <c r="CS174" s="82"/>
      <c r="CT174" s="82"/>
      <c r="CU174" s="82"/>
      <c r="CV174" s="82"/>
    </row>
    <row r="175" spans="59:100" ht="15" customHeight="1">
      <c r="BG175" s="82"/>
      <c r="BH175" s="82"/>
      <c r="BI175" s="82"/>
      <c r="BJ175" s="82"/>
      <c r="BK175" s="82"/>
      <c r="BL175" s="82"/>
      <c r="BM175" s="82"/>
      <c r="BN175" s="82"/>
      <c r="BO175" s="82"/>
      <c r="BP175" s="82"/>
      <c r="BQ175" s="82"/>
      <c r="BR175" s="82"/>
      <c r="BS175" s="82"/>
      <c r="BT175" s="82"/>
      <c r="BU175" s="82"/>
      <c r="BV175" s="82"/>
      <c r="BW175" s="82"/>
      <c r="BX175" s="82"/>
      <c r="BY175" s="82"/>
      <c r="BZ175" s="82"/>
      <c r="CA175" s="82"/>
      <c r="CB175" s="82"/>
      <c r="CC175" s="82"/>
      <c r="CD175" s="82"/>
      <c r="CE175" s="82"/>
      <c r="CF175" s="82"/>
      <c r="CG175" s="82"/>
      <c r="CH175" s="82"/>
      <c r="CI175" s="82"/>
      <c r="CJ175" s="82"/>
      <c r="CK175" s="82"/>
      <c r="CL175" s="82"/>
      <c r="CM175" s="82"/>
      <c r="CN175" s="82"/>
      <c r="CO175" s="82"/>
      <c r="CP175" s="82"/>
      <c r="CQ175" s="82"/>
      <c r="CR175" s="82"/>
      <c r="CS175" s="82"/>
      <c r="CT175" s="82"/>
      <c r="CU175" s="82"/>
      <c r="CV175" s="82"/>
    </row>
    <row r="176" spans="59:100" ht="15" customHeight="1">
      <c r="BG176" s="82"/>
      <c r="BH176" s="82"/>
      <c r="BI176" s="82"/>
      <c r="BJ176" s="82"/>
      <c r="BK176" s="82"/>
      <c r="BL176" s="82"/>
      <c r="BM176" s="82"/>
      <c r="BN176" s="82"/>
      <c r="BO176" s="82"/>
      <c r="BP176" s="82"/>
      <c r="BQ176" s="82"/>
      <c r="BR176" s="82"/>
      <c r="BS176" s="82"/>
      <c r="BT176" s="82"/>
      <c r="BU176" s="82"/>
      <c r="BV176" s="82"/>
      <c r="BW176" s="82"/>
      <c r="BX176" s="82"/>
      <c r="BY176" s="82"/>
      <c r="BZ176" s="82"/>
      <c r="CA176" s="82"/>
      <c r="CB176" s="82"/>
      <c r="CC176" s="82"/>
      <c r="CD176" s="82"/>
      <c r="CE176" s="82"/>
      <c r="CF176" s="82"/>
      <c r="CG176" s="82"/>
      <c r="CH176" s="82"/>
      <c r="CI176" s="82"/>
      <c r="CJ176" s="82"/>
      <c r="CK176" s="82"/>
      <c r="CL176" s="82"/>
      <c r="CM176" s="82"/>
      <c r="CN176" s="82"/>
      <c r="CO176" s="82"/>
      <c r="CP176" s="82"/>
      <c r="CQ176" s="82"/>
      <c r="CR176" s="82"/>
      <c r="CS176" s="82"/>
      <c r="CT176" s="82"/>
      <c r="CU176" s="82"/>
      <c r="CV176" s="82"/>
    </row>
    <row r="177" spans="59:100" ht="15" customHeight="1">
      <c r="BG177" s="82"/>
      <c r="BH177" s="82"/>
      <c r="BI177" s="82"/>
      <c r="BJ177" s="82"/>
      <c r="BK177" s="82"/>
      <c r="BL177" s="82"/>
      <c r="BM177" s="82"/>
      <c r="BN177" s="82"/>
      <c r="BO177" s="82"/>
      <c r="BP177" s="82"/>
      <c r="BQ177" s="82"/>
      <c r="BR177" s="82"/>
      <c r="BS177" s="82"/>
      <c r="BT177" s="82"/>
      <c r="BU177" s="82"/>
      <c r="BV177" s="82"/>
      <c r="BW177" s="82"/>
      <c r="BX177" s="82"/>
      <c r="BY177" s="82"/>
      <c r="BZ177" s="82"/>
      <c r="CA177" s="82"/>
      <c r="CB177" s="82"/>
      <c r="CC177" s="82"/>
      <c r="CD177" s="82"/>
      <c r="CE177" s="82"/>
      <c r="CF177" s="82"/>
      <c r="CG177" s="82"/>
      <c r="CH177" s="82"/>
      <c r="CI177" s="82"/>
      <c r="CJ177" s="82"/>
      <c r="CK177" s="82"/>
      <c r="CL177" s="82"/>
      <c r="CM177" s="82"/>
      <c r="CN177" s="82"/>
      <c r="CO177" s="82"/>
      <c r="CP177" s="82"/>
      <c r="CQ177" s="82"/>
      <c r="CR177" s="82"/>
      <c r="CS177" s="82"/>
      <c r="CT177" s="82"/>
      <c r="CU177" s="82"/>
      <c r="CV177" s="82"/>
    </row>
    <row r="178" spans="59:100" ht="15" customHeight="1">
      <c r="BG178" s="82"/>
      <c r="BH178" s="82"/>
      <c r="BI178" s="82"/>
      <c r="BJ178" s="82"/>
      <c r="BK178" s="82"/>
      <c r="BL178" s="82"/>
      <c r="BM178" s="82"/>
      <c r="BN178" s="82"/>
      <c r="BO178" s="82"/>
      <c r="BP178" s="82"/>
      <c r="BQ178" s="82"/>
      <c r="BR178" s="82"/>
      <c r="BS178" s="82"/>
      <c r="BT178" s="82"/>
      <c r="BU178" s="82"/>
      <c r="BV178" s="82"/>
      <c r="BW178" s="82"/>
      <c r="BX178" s="82"/>
      <c r="BY178" s="82"/>
      <c r="BZ178" s="82"/>
      <c r="CA178" s="82"/>
      <c r="CB178" s="82"/>
      <c r="CC178" s="82"/>
      <c r="CD178" s="82"/>
      <c r="CE178" s="82"/>
      <c r="CF178" s="82"/>
      <c r="CG178" s="82"/>
      <c r="CH178" s="82"/>
      <c r="CI178" s="82"/>
      <c r="CJ178" s="82"/>
      <c r="CK178" s="82"/>
      <c r="CL178" s="82"/>
      <c r="CM178" s="82"/>
      <c r="CN178" s="82"/>
      <c r="CO178" s="82"/>
      <c r="CP178" s="82"/>
      <c r="CQ178" s="82"/>
      <c r="CR178" s="82"/>
      <c r="CS178" s="82"/>
      <c r="CT178" s="82"/>
      <c r="CU178" s="82"/>
      <c r="CV178" s="82"/>
    </row>
    <row r="179" spans="59:100" ht="15" customHeight="1">
      <c r="BG179" s="82"/>
      <c r="BH179" s="82"/>
      <c r="BI179" s="82"/>
      <c r="BJ179" s="82"/>
      <c r="BK179" s="82"/>
      <c r="BL179" s="82"/>
      <c r="BM179" s="82"/>
      <c r="BN179" s="82"/>
      <c r="BO179" s="82"/>
      <c r="BP179" s="82"/>
      <c r="BQ179" s="82"/>
      <c r="BR179" s="82"/>
      <c r="BS179" s="82"/>
      <c r="BT179" s="82"/>
      <c r="BU179" s="82"/>
      <c r="BV179" s="82"/>
      <c r="BW179" s="82"/>
      <c r="BX179" s="82"/>
      <c r="BY179" s="82"/>
      <c r="BZ179" s="82"/>
      <c r="CA179" s="82"/>
      <c r="CB179" s="82"/>
      <c r="CC179" s="82"/>
      <c r="CD179" s="82"/>
      <c r="CE179" s="82"/>
      <c r="CF179" s="82"/>
      <c r="CG179" s="82"/>
      <c r="CH179" s="82"/>
      <c r="CI179" s="82"/>
      <c r="CJ179" s="82"/>
      <c r="CK179" s="82"/>
      <c r="CL179" s="82"/>
      <c r="CM179" s="82"/>
      <c r="CN179" s="82"/>
      <c r="CO179" s="82"/>
      <c r="CP179" s="82"/>
      <c r="CQ179" s="82"/>
      <c r="CR179" s="82"/>
      <c r="CS179" s="82"/>
      <c r="CT179" s="82"/>
      <c r="CU179" s="82"/>
      <c r="CV179" s="82"/>
    </row>
    <row r="180" spans="59:100" ht="15" customHeight="1">
      <c r="BG180" s="82"/>
      <c r="BH180" s="82"/>
      <c r="BI180" s="82"/>
      <c r="BJ180" s="82"/>
      <c r="BK180" s="82"/>
      <c r="BL180" s="82"/>
      <c r="BM180" s="82"/>
      <c r="BN180" s="82"/>
      <c r="BO180" s="82"/>
      <c r="BP180" s="82"/>
      <c r="BQ180" s="82"/>
      <c r="BR180" s="82"/>
      <c r="BS180" s="82"/>
      <c r="BT180" s="82"/>
      <c r="BU180" s="82"/>
      <c r="BV180" s="82"/>
      <c r="BW180" s="82"/>
      <c r="BX180" s="82"/>
      <c r="BY180" s="82"/>
      <c r="BZ180" s="82"/>
      <c r="CA180" s="82"/>
      <c r="CB180" s="82"/>
      <c r="CC180" s="82"/>
      <c r="CD180" s="82"/>
      <c r="CE180" s="82"/>
      <c r="CF180" s="82"/>
      <c r="CG180" s="82"/>
      <c r="CH180" s="82"/>
      <c r="CI180" s="82"/>
      <c r="CJ180" s="82"/>
      <c r="CK180" s="82"/>
      <c r="CL180" s="82"/>
      <c r="CM180" s="82"/>
      <c r="CN180" s="82"/>
      <c r="CO180" s="82"/>
      <c r="CP180" s="82"/>
      <c r="CQ180" s="82"/>
      <c r="CR180" s="82"/>
      <c r="CS180" s="82"/>
      <c r="CT180" s="82"/>
      <c r="CU180" s="82"/>
      <c r="CV180" s="82"/>
    </row>
    <row r="181" spans="59:100" ht="15" customHeight="1">
      <c r="BG181" s="82"/>
      <c r="BH181" s="82"/>
      <c r="BI181" s="82"/>
      <c r="BJ181" s="82"/>
      <c r="BK181" s="82"/>
      <c r="BL181" s="82"/>
      <c r="BM181" s="82"/>
      <c r="BN181" s="82"/>
      <c r="BO181" s="82"/>
      <c r="BP181" s="82"/>
      <c r="BQ181" s="82"/>
      <c r="BR181" s="82"/>
      <c r="BS181" s="82"/>
      <c r="BT181" s="82"/>
      <c r="BU181" s="82"/>
      <c r="BV181" s="82"/>
      <c r="BW181" s="82"/>
      <c r="BX181" s="82"/>
      <c r="BY181" s="82"/>
      <c r="BZ181" s="82"/>
      <c r="CA181" s="82"/>
      <c r="CB181" s="82"/>
      <c r="CC181" s="82"/>
      <c r="CD181" s="82"/>
      <c r="CE181" s="82"/>
      <c r="CF181" s="82"/>
      <c r="CG181" s="82"/>
      <c r="CH181" s="82"/>
      <c r="CI181" s="82"/>
      <c r="CJ181" s="82"/>
      <c r="CK181" s="82"/>
      <c r="CL181" s="82"/>
      <c r="CM181" s="82"/>
      <c r="CN181" s="82"/>
      <c r="CO181" s="82"/>
      <c r="CP181" s="82"/>
      <c r="CQ181" s="82"/>
      <c r="CR181" s="82"/>
      <c r="CS181" s="82"/>
      <c r="CT181" s="82"/>
      <c r="CU181" s="82"/>
      <c r="CV181" s="82"/>
    </row>
    <row r="182" spans="59:100" ht="15" customHeight="1"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  <c r="CI182" s="82"/>
      <c r="CJ182" s="82"/>
      <c r="CK182" s="82"/>
      <c r="CL182" s="82"/>
      <c r="CM182" s="82"/>
      <c r="CN182" s="82"/>
      <c r="CO182" s="82"/>
      <c r="CP182" s="82"/>
      <c r="CQ182" s="82"/>
      <c r="CR182" s="82"/>
      <c r="CS182" s="82"/>
      <c r="CT182" s="82"/>
      <c r="CU182" s="82"/>
      <c r="CV182" s="82"/>
    </row>
    <row r="183" spans="59:100" ht="15" customHeight="1">
      <c r="BG183" s="82"/>
      <c r="BH183" s="82"/>
      <c r="BI183" s="82"/>
      <c r="BJ183" s="82"/>
      <c r="BK183" s="82"/>
      <c r="BL183" s="82"/>
      <c r="BM183" s="82"/>
      <c r="BN183" s="82"/>
      <c r="BO183" s="82"/>
      <c r="BP183" s="82"/>
      <c r="BQ183" s="82"/>
      <c r="BR183" s="82"/>
      <c r="BS183" s="82"/>
      <c r="BT183" s="82"/>
      <c r="BU183" s="82"/>
      <c r="BV183" s="82"/>
      <c r="BW183" s="82"/>
      <c r="BX183" s="82"/>
      <c r="BY183" s="82"/>
      <c r="BZ183" s="82"/>
      <c r="CA183" s="82"/>
      <c r="CB183" s="82"/>
      <c r="CC183" s="82"/>
      <c r="CD183" s="82"/>
      <c r="CE183" s="82"/>
      <c r="CF183" s="82"/>
      <c r="CG183" s="82"/>
      <c r="CH183" s="82"/>
      <c r="CI183" s="82"/>
      <c r="CJ183" s="82"/>
      <c r="CK183" s="82"/>
      <c r="CL183" s="82"/>
      <c r="CM183" s="82"/>
      <c r="CN183" s="82"/>
      <c r="CO183" s="82"/>
      <c r="CP183" s="82"/>
      <c r="CQ183" s="82"/>
      <c r="CR183" s="82"/>
      <c r="CS183" s="82"/>
      <c r="CT183" s="82"/>
      <c r="CU183" s="82"/>
      <c r="CV183" s="82"/>
    </row>
    <row r="184" spans="59:100" ht="15" customHeight="1">
      <c r="BG184" s="82"/>
      <c r="BH184" s="82"/>
      <c r="BI184" s="82"/>
      <c r="BJ184" s="82"/>
      <c r="BK184" s="82"/>
      <c r="BL184" s="82"/>
      <c r="BM184" s="82"/>
      <c r="BN184" s="82"/>
      <c r="BO184" s="82"/>
      <c r="BP184" s="82"/>
      <c r="BQ184" s="82"/>
      <c r="BR184" s="82"/>
      <c r="BS184" s="82"/>
      <c r="BT184" s="82"/>
      <c r="BU184" s="82"/>
      <c r="BV184" s="82"/>
      <c r="BW184" s="82"/>
      <c r="BX184" s="82"/>
      <c r="BY184" s="82"/>
      <c r="BZ184" s="82"/>
      <c r="CA184" s="82"/>
      <c r="CB184" s="82"/>
      <c r="CC184" s="82"/>
      <c r="CD184" s="82"/>
      <c r="CE184" s="82"/>
      <c r="CF184" s="82"/>
      <c r="CG184" s="82"/>
      <c r="CH184" s="82"/>
      <c r="CI184" s="82"/>
      <c r="CJ184" s="82"/>
      <c r="CK184" s="82"/>
      <c r="CL184" s="82"/>
      <c r="CM184" s="82"/>
      <c r="CN184" s="82"/>
      <c r="CO184" s="82"/>
      <c r="CP184" s="82"/>
      <c r="CQ184" s="82"/>
      <c r="CR184" s="82"/>
      <c r="CS184" s="82"/>
      <c r="CT184" s="82"/>
      <c r="CU184" s="82"/>
      <c r="CV184" s="82"/>
    </row>
    <row r="185" spans="59:100" ht="15" customHeight="1">
      <c r="BG185" s="82"/>
      <c r="BH185" s="82"/>
      <c r="BI185" s="82"/>
      <c r="BJ185" s="82"/>
      <c r="BK185" s="82"/>
      <c r="BL185" s="82"/>
      <c r="BM185" s="82"/>
      <c r="BN185" s="82"/>
      <c r="BO185" s="82"/>
      <c r="BP185" s="82"/>
      <c r="BQ185" s="82"/>
      <c r="BR185" s="82"/>
      <c r="BS185" s="82"/>
      <c r="BT185" s="82"/>
      <c r="BU185" s="82"/>
      <c r="BV185" s="82"/>
      <c r="BW185" s="82"/>
      <c r="BX185" s="82"/>
      <c r="BY185" s="82"/>
      <c r="BZ185" s="82"/>
      <c r="CA185" s="82"/>
      <c r="CB185" s="82"/>
      <c r="CC185" s="82"/>
      <c r="CD185" s="82"/>
      <c r="CE185" s="82"/>
      <c r="CF185" s="82"/>
      <c r="CG185" s="82"/>
      <c r="CH185" s="82"/>
      <c r="CI185" s="82"/>
      <c r="CJ185" s="82"/>
      <c r="CK185" s="82"/>
      <c r="CL185" s="82"/>
      <c r="CM185" s="82"/>
      <c r="CN185" s="82"/>
      <c r="CO185" s="82"/>
      <c r="CP185" s="82"/>
      <c r="CQ185" s="82"/>
      <c r="CR185" s="82"/>
      <c r="CS185" s="82"/>
      <c r="CT185" s="82"/>
      <c r="CU185" s="82"/>
      <c r="CV185" s="82"/>
    </row>
    <row r="186" spans="59:100" ht="15" customHeight="1">
      <c r="BG186" s="82"/>
      <c r="BH186" s="82"/>
      <c r="BI186" s="82"/>
      <c r="BJ186" s="82"/>
      <c r="BK186" s="82"/>
      <c r="BL186" s="82"/>
      <c r="BM186" s="82"/>
      <c r="BN186" s="82"/>
      <c r="BO186" s="82"/>
      <c r="BP186" s="82"/>
      <c r="BQ186" s="82"/>
      <c r="BR186" s="82"/>
      <c r="BS186" s="82"/>
      <c r="BT186" s="82"/>
      <c r="BU186" s="82"/>
      <c r="BV186" s="82"/>
      <c r="BW186" s="82"/>
      <c r="BX186" s="82"/>
      <c r="BY186" s="82"/>
      <c r="BZ186" s="82"/>
      <c r="CA186" s="82"/>
      <c r="CB186" s="82"/>
      <c r="CC186" s="82"/>
      <c r="CD186" s="82"/>
      <c r="CE186" s="82"/>
      <c r="CF186" s="82"/>
      <c r="CG186" s="82"/>
      <c r="CH186" s="82"/>
      <c r="CI186" s="82"/>
      <c r="CJ186" s="82"/>
      <c r="CK186" s="82"/>
      <c r="CL186" s="82"/>
      <c r="CM186" s="82"/>
      <c r="CN186" s="82"/>
      <c r="CO186" s="82"/>
      <c r="CP186" s="82"/>
      <c r="CQ186" s="82"/>
      <c r="CR186" s="82"/>
      <c r="CS186" s="82"/>
      <c r="CT186" s="82"/>
      <c r="CU186" s="82"/>
      <c r="CV186" s="82"/>
    </row>
    <row r="187" spans="59:100" ht="15" customHeight="1">
      <c r="BG187" s="82"/>
      <c r="BH187" s="82"/>
      <c r="BI187" s="82"/>
      <c r="BJ187" s="82"/>
      <c r="BK187" s="82"/>
      <c r="BL187" s="82"/>
      <c r="BM187" s="82"/>
      <c r="BN187" s="82"/>
      <c r="BO187" s="82"/>
      <c r="BP187" s="82"/>
      <c r="BQ187" s="82"/>
      <c r="BR187" s="82"/>
      <c r="BS187" s="82"/>
      <c r="BT187" s="82"/>
      <c r="BU187" s="82"/>
      <c r="BV187" s="82"/>
      <c r="BW187" s="82"/>
      <c r="BX187" s="82"/>
      <c r="BY187" s="82"/>
      <c r="BZ187" s="82"/>
      <c r="CA187" s="82"/>
      <c r="CB187" s="82"/>
      <c r="CC187" s="82"/>
      <c r="CD187" s="82"/>
      <c r="CE187" s="82"/>
      <c r="CF187" s="82"/>
      <c r="CG187" s="82"/>
      <c r="CH187" s="82"/>
      <c r="CI187" s="82"/>
      <c r="CJ187" s="82"/>
      <c r="CK187" s="82"/>
      <c r="CL187" s="82"/>
      <c r="CM187" s="82"/>
      <c r="CN187" s="82"/>
      <c r="CO187" s="82"/>
      <c r="CP187" s="82"/>
      <c r="CQ187" s="82"/>
      <c r="CR187" s="82"/>
      <c r="CS187" s="82"/>
      <c r="CT187" s="82"/>
      <c r="CU187" s="82"/>
      <c r="CV187" s="82"/>
    </row>
    <row r="188" spans="59:100" ht="15" customHeight="1">
      <c r="BG188" s="82"/>
      <c r="BH188" s="82"/>
      <c r="BI188" s="82"/>
      <c r="BJ188" s="82"/>
      <c r="BK188" s="82"/>
      <c r="BL188" s="82"/>
      <c r="BM188" s="82"/>
      <c r="BN188" s="82"/>
      <c r="BO188" s="82"/>
      <c r="BP188" s="82"/>
      <c r="BQ188" s="82"/>
      <c r="BR188" s="82"/>
      <c r="BS188" s="82"/>
      <c r="BT188" s="82"/>
      <c r="BU188" s="82"/>
      <c r="BV188" s="82"/>
      <c r="BW188" s="82"/>
      <c r="BX188" s="82"/>
      <c r="BY188" s="82"/>
      <c r="BZ188" s="82"/>
      <c r="CA188" s="82"/>
      <c r="CB188" s="82"/>
      <c r="CC188" s="82"/>
      <c r="CD188" s="82"/>
      <c r="CE188" s="82"/>
      <c r="CF188" s="82"/>
      <c r="CG188" s="82"/>
      <c r="CH188" s="82"/>
      <c r="CI188" s="82"/>
      <c r="CJ188" s="82"/>
      <c r="CK188" s="82"/>
      <c r="CL188" s="82"/>
      <c r="CM188" s="82"/>
      <c r="CN188" s="82"/>
      <c r="CO188" s="82"/>
      <c r="CP188" s="82"/>
      <c r="CQ188" s="82"/>
      <c r="CR188" s="82"/>
      <c r="CS188" s="82"/>
      <c r="CT188" s="82"/>
      <c r="CU188" s="82"/>
      <c r="CV188" s="82"/>
    </row>
    <row r="189" spans="59:100" ht="15" customHeight="1">
      <c r="BG189" s="82"/>
      <c r="BH189" s="82"/>
      <c r="BI189" s="82"/>
      <c r="BJ189" s="82"/>
      <c r="BK189" s="82"/>
      <c r="BL189" s="82"/>
      <c r="BM189" s="82"/>
      <c r="BN189" s="82"/>
      <c r="BO189" s="82"/>
      <c r="BP189" s="82"/>
      <c r="BQ189" s="82"/>
      <c r="BR189" s="82"/>
      <c r="BS189" s="82"/>
      <c r="BT189" s="82"/>
      <c r="BU189" s="82"/>
      <c r="BV189" s="82"/>
      <c r="BW189" s="82"/>
      <c r="BX189" s="82"/>
      <c r="BY189" s="82"/>
      <c r="BZ189" s="82"/>
      <c r="CA189" s="82"/>
      <c r="CB189" s="82"/>
      <c r="CC189" s="82"/>
      <c r="CD189" s="82"/>
      <c r="CE189" s="82"/>
      <c r="CF189" s="82"/>
      <c r="CG189" s="82"/>
      <c r="CH189" s="82"/>
      <c r="CI189" s="82"/>
      <c r="CJ189" s="82"/>
      <c r="CK189" s="82"/>
      <c r="CL189" s="82"/>
      <c r="CM189" s="82"/>
      <c r="CN189" s="82"/>
      <c r="CO189" s="82"/>
      <c r="CP189" s="82"/>
      <c r="CQ189" s="82"/>
      <c r="CR189" s="82"/>
      <c r="CS189" s="82"/>
      <c r="CT189" s="82"/>
      <c r="CU189" s="82"/>
      <c r="CV189" s="82"/>
    </row>
  </sheetData>
  <mergeCells count="17">
    <mergeCell ref="V3:Z4"/>
    <mergeCell ref="A1:T4"/>
    <mergeCell ref="V1:Z2"/>
    <mergeCell ref="AA1:AO2"/>
    <mergeCell ref="AQ1:AU2"/>
    <mergeCell ref="AA3:AO4"/>
    <mergeCell ref="AQ3:AU4"/>
    <mergeCell ref="B7:D7"/>
    <mergeCell ref="E7:R7"/>
    <mergeCell ref="S7:U7"/>
    <mergeCell ref="V7:AT7"/>
    <mergeCell ref="AU7:BA7"/>
    <mergeCell ref="AV3:AX4"/>
    <mergeCell ref="AY3:BE4"/>
    <mergeCell ref="BB7:BD7"/>
    <mergeCell ref="AY1:BE2"/>
    <mergeCell ref="AV1:AX2"/>
  </mergeCells>
  <phoneticPr fontId="1"/>
  <pageMargins left="0.39370078740157483" right="0.39370078740157483" top="0.47244094488188981" bottom="0.43307086614173229" header="0.19685039370078741" footer="0.23622047244094491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35</v>
      </c>
    </row>
    <row r="2" spans="2:4">
      <c r="B2" s="1" t="s">
        <v>1750</v>
      </c>
      <c r="C2" s="1" t="s">
        <v>1913</v>
      </c>
      <c r="D2" s="1" t="s">
        <v>36</v>
      </c>
    </row>
    <row r="3" spans="2:4">
      <c r="B3" s="1" t="s">
        <v>1751</v>
      </c>
      <c r="C3" s="79"/>
      <c r="D3" s="1" t="s">
        <v>38</v>
      </c>
    </row>
    <row r="4" spans="2:4">
      <c r="B4" s="1"/>
      <c r="C4" s="1"/>
      <c r="D4" s="1"/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4:B94"/>
  <sheetViews>
    <sheetView topLeftCell="B1" workbookViewId="0">
      <selection activeCell="B5" sqref="B5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1914</v>
      </c>
    </row>
    <row r="6" spans="2:2">
      <c r="B6" s="1"/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F5"/>
  <sheetViews>
    <sheetView workbookViewId="0">
      <selection activeCell="E2" sqref="E2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152</v>
      </c>
    </row>
    <row r="2" spans="2:6">
      <c r="B2" s="1" t="s">
        <v>1748</v>
      </c>
      <c r="C2" s="1"/>
      <c r="D2" s="1" t="s">
        <v>396</v>
      </c>
      <c r="E2" s="1" t="s">
        <v>147</v>
      </c>
      <c r="F2" s="1" t="s">
        <v>1749</v>
      </c>
    </row>
    <row r="3" spans="2:6">
      <c r="B3" s="1"/>
      <c r="C3" s="1"/>
      <c r="D3" s="1"/>
      <c r="E3" s="1"/>
      <c r="F3" s="1"/>
    </row>
    <row r="4" spans="2:6">
      <c r="B4" s="1"/>
      <c r="C4" s="1"/>
      <c r="D4" s="1"/>
      <c r="E4" s="1"/>
      <c r="F4" s="1"/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T527"/>
  <sheetViews>
    <sheetView showGridLines="0" view="pageBreakPreview" topLeftCell="H4" zoomScale="85" zoomScaleNormal="80" zoomScaleSheetLayoutView="85" workbookViewId="0">
      <selection activeCell="N17" sqref="N17"/>
    </sheetView>
  </sheetViews>
  <sheetFormatPr defaultColWidth="8.75" defaultRowHeight="16.5" outlineLevelCol="1"/>
  <cols>
    <col min="1" max="1" width="6.5" style="208" bestFit="1" customWidth="1"/>
    <col min="2" max="2" width="8.25" style="209" customWidth="1"/>
    <col min="3" max="3" width="9.625" style="209" bestFit="1" customWidth="1"/>
    <col min="4" max="4" width="22.75" style="208" customWidth="1"/>
    <col min="5" max="5" width="35.75" style="210" customWidth="1"/>
    <col min="6" max="6" width="22.75" style="208" customWidth="1"/>
    <col min="7" max="7" width="35.75" style="210" customWidth="1"/>
    <col min="8" max="8" width="22.75" style="208" customWidth="1"/>
    <col min="9" max="9" width="35.75" style="210" customWidth="1"/>
    <col min="10" max="10" width="22.75" style="208" customWidth="1" outlineLevel="1"/>
    <col min="11" max="11" width="35.75" style="208" customWidth="1" outlineLevel="1"/>
    <col min="12" max="12" width="22.75" style="208" customWidth="1" outlineLevel="1"/>
    <col min="13" max="13" width="35.75" style="208" customWidth="1" outlineLevel="1"/>
    <col min="14" max="14" width="22.75" style="208" customWidth="1" outlineLevel="1"/>
    <col min="15" max="15" width="35.75" style="208" customWidth="1" outlineLevel="1"/>
    <col min="16" max="16" width="8.75" style="208" bestFit="1" customWidth="1"/>
    <col min="17" max="17" width="11.875" style="208" bestFit="1" customWidth="1"/>
    <col min="18" max="18" width="54.25" style="208" bestFit="1" customWidth="1"/>
    <col min="19" max="19" width="8.25" style="208" bestFit="1" customWidth="1"/>
    <col min="20" max="20" width="34.125" style="208" bestFit="1" customWidth="1"/>
    <col min="21" max="16384" width="8.75" style="208"/>
  </cols>
  <sheetData>
    <row r="1" spans="1:20">
      <c r="A1" s="208" t="s">
        <v>1752</v>
      </c>
      <c r="F1" s="208" t="s">
        <v>1753</v>
      </c>
    </row>
    <row r="3" spans="1:20">
      <c r="A3" s="208" t="s">
        <v>1188</v>
      </c>
    </row>
    <row r="5" spans="1:20" ht="18" customHeight="1">
      <c r="A5" s="390" t="s">
        <v>1189</v>
      </c>
      <c r="B5" s="393" t="s">
        <v>1190</v>
      </c>
      <c r="C5" s="393" t="s">
        <v>1191</v>
      </c>
      <c r="D5" s="396" t="s">
        <v>1192</v>
      </c>
      <c r="E5" s="397"/>
      <c r="F5" s="397"/>
      <c r="G5" s="397"/>
      <c r="H5" s="397"/>
      <c r="I5" s="398"/>
      <c r="J5" s="397"/>
      <c r="K5" s="397"/>
      <c r="L5" s="397"/>
      <c r="M5" s="397"/>
      <c r="N5" s="397"/>
      <c r="O5" s="399"/>
      <c r="P5" s="390" t="s">
        <v>1193</v>
      </c>
      <c r="Q5" s="400"/>
      <c r="R5" s="401"/>
      <c r="S5" s="407" t="s">
        <v>1194</v>
      </c>
      <c r="T5" s="404" t="s">
        <v>1195</v>
      </c>
    </row>
    <row r="6" spans="1:20" ht="16.149999999999999" customHeight="1">
      <c r="A6" s="391"/>
      <c r="B6" s="394"/>
      <c r="C6" s="394"/>
      <c r="D6" s="405" t="s">
        <v>1196</v>
      </c>
      <c r="E6" s="405"/>
      <c r="F6" s="405" t="s">
        <v>1197</v>
      </c>
      <c r="G6" s="405"/>
      <c r="H6" s="405" t="s">
        <v>1198</v>
      </c>
      <c r="I6" s="406"/>
      <c r="J6" s="405" t="s">
        <v>1199</v>
      </c>
      <c r="K6" s="405"/>
      <c r="L6" s="405" t="s">
        <v>1200</v>
      </c>
      <c r="M6" s="405"/>
      <c r="N6" s="405" t="s">
        <v>1201</v>
      </c>
      <c r="O6" s="405"/>
      <c r="P6" s="392"/>
      <c r="Q6" s="402"/>
      <c r="R6" s="403"/>
      <c r="S6" s="407"/>
      <c r="T6" s="404"/>
    </row>
    <row r="7" spans="1:20">
      <c r="A7" s="392"/>
      <c r="B7" s="395"/>
      <c r="C7" s="395"/>
      <c r="D7" s="211" t="s">
        <v>1202</v>
      </c>
      <c r="E7" s="212" t="s">
        <v>1203</v>
      </c>
      <c r="F7" s="211" t="s">
        <v>1202</v>
      </c>
      <c r="G7" s="212" t="s">
        <v>1203</v>
      </c>
      <c r="H7" s="211" t="s">
        <v>1202</v>
      </c>
      <c r="I7" s="212" t="s">
        <v>1203</v>
      </c>
      <c r="J7" s="211" t="s">
        <v>1202</v>
      </c>
      <c r="K7" s="213" t="s">
        <v>1203</v>
      </c>
      <c r="L7" s="211" t="s">
        <v>1202</v>
      </c>
      <c r="M7" s="213" t="s">
        <v>1203</v>
      </c>
      <c r="N7" s="211" t="s">
        <v>1202</v>
      </c>
      <c r="O7" s="213" t="s">
        <v>1203</v>
      </c>
      <c r="P7" s="214" t="s">
        <v>1204</v>
      </c>
      <c r="Q7" s="215" t="s">
        <v>1205</v>
      </c>
      <c r="R7" s="215" t="s">
        <v>1206</v>
      </c>
      <c r="S7" s="407"/>
      <c r="T7" s="404"/>
    </row>
    <row r="8" spans="1:20">
      <c r="A8" s="216">
        <f>ROW()-7</f>
        <v>1</v>
      </c>
      <c r="B8" s="217">
        <v>1</v>
      </c>
      <c r="C8" s="218" t="s">
        <v>1207</v>
      </c>
      <c r="D8" s="219" t="s">
        <v>1208</v>
      </c>
      <c r="E8" s="220" t="s">
        <v>1209</v>
      </c>
      <c r="F8" s="219" t="s">
        <v>1210</v>
      </c>
      <c r="G8" s="220" t="s">
        <v>1210</v>
      </c>
      <c r="H8" s="219" t="s">
        <v>1210</v>
      </c>
      <c r="I8" s="220" t="s">
        <v>1210</v>
      </c>
      <c r="J8" s="219" t="s">
        <v>1210</v>
      </c>
      <c r="K8" s="221" t="s">
        <v>1210</v>
      </c>
      <c r="L8" s="219" t="s">
        <v>1210</v>
      </c>
      <c r="M8" s="221" t="s">
        <v>1210</v>
      </c>
      <c r="N8" s="219" t="s">
        <v>1210</v>
      </c>
      <c r="O8" s="221" t="s">
        <v>1210</v>
      </c>
      <c r="P8" s="222" t="s">
        <v>1211</v>
      </c>
      <c r="Q8" s="223" t="s">
        <v>1212</v>
      </c>
      <c r="R8" s="223" t="s">
        <v>1212</v>
      </c>
      <c r="S8" s="222"/>
      <c r="T8" s="216"/>
    </row>
    <row r="9" spans="1:20">
      <c r="A9" s="216">
        <f t="shared" ref="A9:A86" si="0">ROW()-7</f>
        <v>2</v>
      </c>
      <c r="B9" s="224">
        <v>1</v>
      </c>
      <c r="C9" s="225" t="s">
        <v>1207</v>
      </c>
      <c r="D9" s="219" t="s">
        <v>1208</v>
      </c>
      <c r="E9" s="220" t="s">
        <v>1213</v>
      </c>
      <c r="F9" s="219" t="s">
        <v>1210</v>
      </c>
      <c r="G9" s="220" t="s">
        <v>1210</v>
      </c>
      <c r="H9" s="219" t="s">
        <v>1210</v>
      </c>
      <c r="I9" s="220" t="s">
        <v>1210</v>
      </c>
      <c r="J9" s="219" t="s">
        <v>1210</v>
      </c>
      <c r="K9" s="221" t="s">
        <v>1210</v>
      </c>
      <c r="L9" s="219" t="s">
        <v>1210</v>
      </c>
      <c r="M9" s="221" t="s">
        <v>1210</v>
      </c>
      <c r="N9" s="219" t="s">
        <v>1210</v>
      </c>
      <c r="O9" s="221" t="s">
        <v>1210</v>
      </c>
      <c r="P9" s="222" t="s">
        <v>1211</v>
      </c>
      <c r="Q9" s="223" t="s">
        <v>1212</v>
      </c>
      <c r="R9" s="223" t="s">
        <v>1212</v>
      </c>
      <c r="S9" s="222"/>
      <c r="T9" s="216"/>
    </row>
    <row r="10" spans="1:20">
      <c r="A10" s="216">
        <f t="shared" si="0"/>
        <v>3</v>
      </c>
      <c r="B10" s="224">
        <v>1</v>
      </c>
      <c r="C10" s="225" t="s">
        <v>1207</v>
      </c>
      <c r="D10" s="219" t="s">
        <v>1208</v>
      </c>
      <c r="E10" s="220" t="s">
        <v>1214</v>
      </c>
      <c r="F10" s="219" t="s">
        <v>1210</v>
      </c>
      <c r="G10" s="220" t="s">
        <v>1210</v>
      </c>
      <c r="H10" s="219" t="s">
        <v>1210</v>
      </c>
      <c r="I10" s="220" t="s">
        <v>1210</v>
      </c>
      <c r="J10" s="219" t="s">
        <v>1210</v>
      </c>
      <c r="K10" s="221" t="s">
        <v>1210</v>
      </c>
      <c r="L10" s="219" t="s">
        <v>1210</v>
      </c>
      <c r="M10" s="221" t="s">
        <v>1210</v>
      </c>
      <c r="N10" s="219" t="s">
        <v>1210</v>
      </c>
      <c r="O10" s="221" t="s">
        <v>1210</v>
      </c>
      <c r="P10" s="222" t="s">
        <v>1211</v>
      </c>
      <c r="Q10" s="223" t="s">
        <v>1212</v>
      </c>
      <c r="R10" s="223" t="s">
        <v>1212</v>
      </c>
      <c r="S10" s="222"/>
      <c r="T10" s="216"/>
    </row>
    <row r="11" spans="1:20">
      <c r="A11" s="216">
        <f t="shared" si="0"/>
        <v>4</v>
      </c>
      <c r="B11" s="224">
        <v>1</v>
      </c>
      <c r="C11" s="225" t="s">
        <v>1207</v>
      </c>
      <c r="D11" s="226" t="s">
        <v>1208</v>
      </c>
      <c r="E11" s="227" t="s">
        <v>1215</v>
      </c>
      <c r="F11" s="226" t="s">
        <v>1210</v>
      </c>
      <c r="G11" s="227" t="s">
        <v>1210</v>
      </c>
      <c r="H11" s="226" t="s">
        <v>1210</v>
      </c>
      <c r="I11" s="227" t="s">
        <v>1210</v>
      </c>
      <c r="J11" s="226" t="s">
        <v>1210</v>
      </c>
      <c r="K11" s="228" t="s">
        <v>1210</v>
      </c>
      <c r="L11" s="226" t="s">
        <v>1210</v>
      </c>
      <c r="M11" s="228" t="s">
        <v>1210</v>
      </c>
      <c r="N11" s="226" t="s">
        <v>1210</v>
      </c>
      <c r="O11" s="228" t="s">
        <v>1210</v>
      </c>
      <c r="P11" s="229" t="s">
        <v>1216</v>
      </c>
      <c r="Q11" s="230" t="s">
        <v>1207</v>
      </c>
      <c r="R11" s="230" t="s">
        <v>1217</v>
      </c>
      <c r="S11" s="222"/>
      <c r="T11" s="216"/>
    </row>
    <row r="12" spans="1:20">
      <c r="A12" s="216">
        <f t="shared" si="0"/>
        <v>5</v>
      </c>
      <c r="B12" s="224">
        <v>1</v>
      </c>
      <c r="C12" s="225" t="s">
        <v>1207</v>
      </c>
      <c r="D12" s="226" t="s">
        <v>1208</v>
      </c>
      <c r="E12" s="227" t="s">
        <v>1218</v>
      </c>
      <c r="F12" s="226" t="s">
        <v>1210</v>
      </c>
      <c r="G12" s="227" t="s">
        <v>1210</v>
      </c>
      <c r="H12" s="226" t="s">
        <v>1210</v>
      </c>
      <c r="I12" s="227" t="s">
        <v>1210</v>
      </c>
      <c r="J12" s="226"/>
      <c r="K12" s="228"/>
      <c r="L12" s="226"/>
      <c r="M12" s="228"/>
      <c r="N12" s="226"/>
      <c r="O12" s="228"/>
      <c r="P12" s="229" t="s">
        <v>1216</v>
      </c>
      <c r="Q12" s="230" t="s">
        <v>1207</v>
      </c>
      <c r="R12" s="230" t="s">
        <v>1217</v>
      </c>
      <c r="S12" s="222"/>
      <c r="T12" s="216"/>
    </row>
    <row r="13" spans="1:20">
      <c r="A13" s="216">
        <f t="shared" si="0"/>
        <v>6</v>
      </c>
      <c r="B13" s="224">
        <v>1</v>
      </c>
      <c r="C13" s="225" t="s">
        <v>1207</v>
      </c>
      <c r="D13" s="226" t="s">
        <v>1208</v>
      </c>
      <c r="E13" s="227" t="s">
        <v>1219</v>
      </c>
      <c r="F13" s="226" t="s">
        <v>1210</v>
      </c>
      <c r="G13" s="227" t="s">
        <v>1210</v>
      </c>
      <c r="H13" s="226" t="s">
        <v>1210</v>
      </c>
      <c r="I13" s="227" t="s">
        <v>1210</v>
      </c>
      <c r="J13" s="226"/>
      <c r="K13" s="228"/>
      <c r="L13" s="226"/>
      <c r="M13" s="228"/>
      <c r="N13" s="226"/>
      <c r="O13" s="228"/>
      <c r="P13" s="229" t="s">
        <v>1216</v>
      </c>
      <c r="Q13" s="230" t="s">
        <v>1207</v>
      </c>
      <c r="R13" s="230" t="s">
        <v>1217</v>
      </c>
      <c r="S13" s="222"/>
      <c r="T13" s="216"/>
    </row>
    <row r="14" spans="1:20">
      <c r="A14" s="216">
        <f t="shared" si="0"/>
        <v>7</v>
      </c>
      <c r="B14" s="224">
        <v>1</v>
      </c>
      <c r="C14" s="225" t="s">
        <v>1207</v>
      </c>
      <c r="D14" s="226" t="s">
        <v>1208</v>
      </c>
      <c r="E14" s="227" t="s">
        <v>1220</v>
      </c>
      <c r="F14" s="226" t="s">
        <v>1210</v>
      </c>
      <c r="G14" s="227" t="s">
        <v>1210</v>
      </c>
      <c r="H14" s="226" t="s">
        <v>1210</v>
      </c>
      <c r="I14" s="227" t="s">
        <v>1210</v>
      </c>
      <c r="J14" s="226"/>
      <c r="K14" s="228"/>
      <c r="L14" s="226"/>
      <c r="M14" s="228"/>
      <c r="N14" s="226"/>
      <c r="O14" s="228"/>
      <c r="P14" s="229" t="s">
        <v>1216</v>
      </c>
      <c r="Q14" s="230" t="s">
        <v>1207</v>
      </c>
      <c r="R14" s="230" t="s">
        <v>1217</v>
      </c>
      <c r="S14" s="222"/>
      <c r="T14" s="216"/>
    </row>
    <row r="15" spans="1:20">
      <c r="A15" s="216">
        <f t="shared" si="0"/>
        <v>8</v>
      </c>
      <c r="B15" s="224">
        <v>1</v>
      </c>
      <c r="C15" s="225" t="s">
        <v>1207</v>
      </c>
      <c r="D15" s="226" t="s">
        <v>1208</v>
      </c>
      <c r="E15" s="227" t="s">
        <v>1221</v>
      </c>
      <c r="F15" s="226" t="s">
        <v>1210</v>
      </c>
      <c r="G15" s="227" t="s">
        <v>1210</v>
      </c>
      <c r="H15" s="226" t="s">
        <v>1210</v>
      </c>
      <c r="I15" s="227" t="s">
        <v>1210</v>
      </c>
      <c r="J15" s="226"/>
      <c r="K15" s="228"/>
      <c r="L15" s="226"/>
      <c r="M15" s="228"/>
      <c r="N15" s="226"/>
      <c r="O15" s="228"/>
      <c r="P15" s="229" t="s">
        <v>1216</v>
      </c>
      <c r="Q15" s="230" t="s">
        <v>1207</v>
      </c>
      <c r="R15" s="230" t="s">
        <v>1217</v>
      </c>
      <c r="S15" s="222"/>
      <c r="T15" s="216"/>
    </row>
    <row r="16" spans="1:20">
      <c r="A16" s="216">
        <f t="shared" si="0"/>
        <v>9</v>
      </c>
      <c r="B16" s="217">
        <v>2</v>
      </c>
      <c r="C16" s="218" t="s">
        <v>1222</v>
      </c>
      <c r="D16" s="219" t="s">
        <v>1208</v>
      </c>
      <c r="E16" s="220" t="s">
        <v>1223</v>
      </c>
      <c r="F16" s="219" t="s">
        <v>1210</v>
      </c>
      <c r="G16" s="220" t="s">
        <v>1210</v>
      </c>
      <c r="H16" s="219" t="s">
        <v>1210</v>
      </c>
      <c r="I16" s="220" t="s">
        <v>1210</v>
      </c>
      <c r="J16" s="219" t="s">
        <v>1210</v>
      </c>
      <c r="K16" s="221" t="s">
        <v>1210</v>
      </c>
      <c r="L16" s="219" t="s">
        <v>1210</v>
      </c>
      <c r="M16" s="221" t="s">
        <v>1210</v>
      </c>
      <c r="N16" s="219" t="s">
        <v>1210</v>
      </c>
      <c r="O16" s="221" t="s">
        <v>1210</v>
      </c>
      <c r="P16" s="222" t="s">
        <v>1211</v>
      </c>
      <c r="Q16" s="223" t="s">
        <v>1212</v>
      </c>
      <c r="R16" s="223" t="s">
        <v>1212</v>
      </c>
      <c r="S16" s="222"/>
      <c r="T16" s="216"/>
    </row>
    <row r="17" spans="1:20">
      <c r="A17" s="216">
        <f t="shared" si="0"/>
        <v>10</v>
      </c>
      <c r="B17" s="231">
        <v>2</v>
      </c>
      <c r="C17" s="232" t="s">
        <v>1222</v>
      </c>
      <c r="D17" s="226" t="s">
        <v>1208</v>
      </c>
      <c r="E17" s="227" t="s">
        <v>1224</v>
      </c>
      <c r="F17" s="226" t="s">
        <v>1210</v>
      </c>
      <c r="G17" s="227" t="s">
        <v>1210</v>
      </c>
      <c r="H17" s="226" t="s">
        <v>1210</v>
      </c>
      <c r="I17" s="227" t="s">
        <v>1210</v>
      </c>
      <c r="J17" s="226" t="s">
        <v>1210</v>
      </c>
      <c r="K17" s="228" t="s">
        <v>1210</v>
      </c>
      <c r="L17" s="226" t="s">
        <v>1210</v>
      </c>
      <c r="M17" s="228" t="s">
        <v>1210</v>
      </c>
      <c r="N17" s="226" t="s">
        <v>1210</v>
      </c>
      <c r="O17" s="228" t="s">
        <v>1210</v>
      </c>
      <c r="P17" s="229" t="s">
        <v>1216</v>
      </c>
      <c r="Q17" s="230" t="s">
        <v>1222</v>
      </c>
      <c r="R17" s="230" t="s">
        <v>1225</v>
      </c>
      <c r="S17" s="222"/>
      <c r="T17" s="216"/>
    </row>
    <row r="18" spans="1:20">
      <c r="A18" s="216">
        <f t="shared" si="0"/>
        <v>11</v>
      </c>
      <c r="B18" s="217">
        <v>3</v>
      </c>
      <c r="C18" s="218" t="s">
        <v>1226</v>
      </c>
      <c r="D18" s="219" t="s">
        <v>1208</v>
      </c>
      <c r="E18" s="220" t="s">
        <v>1223</v>
      </c>
      <c r="F18" s="219" t="s">
        <v>1210</v>
      </c>
      <c r="G18" s="220" t="s">
        <v>1210</v>
      </c>
      <c r="H18" s="219" t="s">
        <v>1210</v>
      </c>
      <c r="I18" s="220" t="s">
        <v>1210</v>
      </c>
      <c r="J18" s="219" t="s">
        <v>1210</v>
      </c>
      <c r="K18" s="221" t="s">
        <v>1210</v>
      </c>
      <c r="L18" s="219" t="s">
        <v>1210</v>
      </c>
      <c r="M18" s="221" t="s">
        <v>1210</v>
      </c>
      <c r="N18" s="219" t="s">
        <v>1210</v>
      </c>
      <c r="O18" s="221" t="s">
        <v>1210</v>
      </c>
      <c r="P18" s="222" t="s">
        <v>1211</v>
      </c>
      <c r="Q18" s="223" t="s">
        <v>1212</v>
      </c>
      <c r="R18" s="223" t="s">
        <v>1212</v>
      </c>
      <c r="S18" s="222"/>
      <c r="T18" s="216"/>
    </row>
    <row r="19" spans="1:20">
      <c r="A19" s="216">
        <f t="shared" si="0"/>
        <v>12</v>
      </c>
      <c r="B19" s="224">
        <v>3</v>
      </c>
      <c r="C19" s="225" t="s">
        <v>1226</v>
      </c>
      <c r="D19" s="226" t="s">
        <v>1208</v>
      </c>
      <c r="E19" s="227" t="s">
        <v>1227</v>
      </c>
      <c r="F19" s="226" t="s">
        <v>1210</v>
      </c>
      <c r="G19" s="227" t="s">
        <v>1210</v>
      </c>
      <c r="H19" s="226" t="s">
        <v>1210</v>
      </c>
      <c r="I19" s="227" t="s">
        <v>1210</v>
      </c>
      <c r="J19" s="226" t="s">
        <v>1210</v>
      </c>
      <c r="K19" s="228" t="s">
        <v>1210</v>
      </c>
      <c r="L19" s="226" t="s">
        <v>1210</v>
      </c>
      <c r="M19" s="228" t="s">
        <v>1210</v>
      </c>
      <c r="N19" s="226" t="s">
        <v>1210</v>
      </c>
      <c r="O19" s="228" t="s">
        <v>1210</v>
      </c>
      <c r="P19" s="229" t="s">
        <v>1228</v>
      </c>
      <c r="Q19" s="230" t="s">
        <v>1226</v>
      </c>
      <c r="R19" s="230" t="s">
        <v>1229</v>
      </c>
      <c r="S19" s="222"/>
      <c r="T19" s="216"/>
    </row>
    <row r="20" spans="1:20">
      <c r="A20" s="216">
        <f t="shared" si="0"/>
        <v>13</v>
      </c>
      <c r="B20" s="224">
        <v>3</v>
      </c>
      <c r="C20" s="225" t="s">
        <v>1226</v>
      </c>
      <c r="D20" s="226" t="s">
        <v>1208</v>
      </c>
      <c r="E20" s="227" t="s">
        <v>1230</v>
      </c>
      <c r="F20" s="226" t="s">
        <v>1210</v>
      </c>
      <c r="G20" s="227" t="s">
        <v>1210</v>
      </c>
      <c r="H20" s="226" t="s">
        <v>1210</v>
      </c>
      <c r="I20" s="227" t="s">
        <v>1210</v>
      </c>
      <c r="J20" s="226" t="s">
        <v>1210</v>
      </c>
      <c r="K20" s="228" t="s">
        <v>1210</v>
      </c>
      <c r="L20" s="226" t="s">
        <v>1210</v>
      </c>
      <c r="M20" s="228" t="s">
        <v>1210</v>
      </c>
      <c r="N20" s="226" t="s">
        <v>1210</v>
      </c>
      <c r="O20" s="228" t="s">
        <v>1210</v>
      </c>
      <c r="P20" s="229" t="s">
        <v>1216</v>
      </c>
      <c r="Q20" s="230" t="s">
        <v>1226</v>
      </c>
      <c r="R20" s="230" t="s">
        <v>1229</v>
      </c>
      <c r="S20" s="222"/>
      <c r="T20" s="216"/>
    </row>
    <row r="21" spans="1:20">
      <c r="A21" s="216">
        <f t="shared" si="0"/>
        <v>14</v>
      </c>
      <c r="B21" s="231">
        <v>3</v>
      </c>
      <c r="C21" s="232" t="s">
        <v>1226</v>
      </c>
      <c r="D21" s="226" t="s">
        <v>1208</v>
      </c>
      <c r="E21" s="227" t="s">
        <v>1231</v>
      </c>
      <c r="F21" s="226" t="s">
        <v>1210</v>
      </c>
      <c r="G21" s="227" t="s">
        <v>1210</v>
      </c>
      <c r="H21" s="226" t="s">
        <v>1210</v>
      </c>
      <c r="I21" s="227" t="s">
        <v>1210</v>
      </c>
      <c r="J21" s="226" t="s">
        <v>1210</v>
      </c>
      <c r="K21" s="228" t="s">
        <v>1210</v>
      </c>
      <c r="L21" s="226" t="s">
        <v>1210</v>
      </c>
      <c r="M21" s="228" t="s">
        <v>1210</v>
      </c>
      <c r="N21" s="226" t="s">
        <v>1210</v>
      </c>
      <c r="O21" s="228" t="s">
        <v>1210</v>
      </c>
      <c r="P21" s="229" t="s">
        <v>1216</v>
      </c>
      <c r="Q21" s="230" t="s">
        <v>1226</v>
      </c>
      <c r="R21" s="230" t="s">
        <v>1229</v>
      </c>
      <c r="S21" s="222"/>
      <c r="T21" s="216"/>
    </row>
    <row r="22" spans="1:20">
      <c r="A22" s="216">
        <f t="shared" si="0"/>
        <v>15</v>
      </c>
      <c r="B22" s="217">
        <v>4</v>
      </c>
      <c r="C22" s="218" t="s">
        <v>1232</v>
      </c>
      <c r="D22" s="219" t="s">
        <v>1233</v>
      </c>
      <c r="E22" s="220" t="s">
        <v>1234</v>
      </c>
      <c r="F22" s="219" t="s">
        <v>1210</v>
      </c>
      <c r="G22" s="220" t="s">
        <v>1210</v>
      </c>
      <c r="H22" s="219" t="s">
        <v>1210</v>
      </c>
      <c r="I22" s="220" t="s">
        <v>1210</v>
      </c>
      <c r="J22" s="219" t="s">
        <v>1210</v>
      </c>
      <c r="K22" s="221" t="s">
        <v>1210</v>
      </c>
      <c r="L22" s="219" t="s">
        <v>1210</v>
      </c>
      <c r="M22" s="221" t="s">
        <v>1210</v>
      </c>
      <c r="N22" s="219" t="s">
        <v>1210</v>
      </c>
      <c r="O22" s="221" t="s">
        <v>1210</v>
      </c>
      <c r="P22" s="222" t="s">
        <v>1211</v>
      </c>
      <c r="Q22" s="223" t="s">
        <v>1212</v>
      </c>
      <c r="R22" s="223" t="s">
        <v>1212</v>
      </c>
      <c r="S22" s="222"/>
      <c r="T22" s="216"/>
    </row>
    <row r="23" spans="1:20">
      <c r="A23" s="216">
        <f t="shared" si="0"/>
        <v>16</v>
      </c>
      <c r="B23" s="224">
        <v>4</v>
      </c>
      <c r="C23" s="225" t="s">
        <v>1232</v>
      </c>
      <c r="D23" s="226" t="s">
        <v>1233</v>
      </c>
      <c r="E23" s="227" t="s">
        <v>1235</v>
      </c>
      <c r="F23" s="226" t="s">
        <v>1210</v>
      </c>
      <c r="G23" s="227" t="s">
        <v>1210</v>
      </c>
      <c r="H23" s="226" t="s">
        <v>1210</v>
      </c>
      <c r="I23" s="227" t="s">
        <v>1210</v>
      </c>
      <c r="J23" s="226" t="s">
        <v>1210</v>
      </c>
      <c r="K23" s="228" t="s">
        <v>1210</v>
      </c>
      <c r="L23" s="226" t="s">
        <v>1210</v>
      </c>
      <c r="M23" s="228" t="s">
        <v>1210</v>
      </c>
      <c r="N23" s="226" t="s">
        <v>1210</v>
      </c>
      <c r="O23" s="228" t="s">
        <v>1210</v>
      </c>
      <c r="P23" s="229" t="s">
        <v>1216</v>
      </c>
      <c r="Q23" s="230" t="s">
        <v>1232</v>
      </c>
      <c r="R23" s="230" t="s">
        <v>1236</v>
      </c>
      <c r="S23" s="222"/>
      <c r="T23" s="216"/>
    </row>
    <row r="24" spans="1:20">
      <c r="A24" s="216">
        <f t="shared" si="0"/>
        <v>17</v>
      </c>
      <c r="B24" s="224">
        <v>4</v>
      </c>
      <c r="C24" s="225" t="s">
        <v>1232</v>
      </c>
      <c r="D24" s="226" t="s">
        <v>1233</v>
      </c>
      <c r="E24" s="227" t="s">
        <v>1237</v>
      </c>
      <c r="F24" s="226" t="s">
        <v>1210</v>
      </c>
      <c r="G24" s="227" t="s">
        <v>1210</v>
      </c>
      <c r="H24" s="226" t="s">
        <v>1210</v>
      </c>
      <c r="I24" s="227" t="s">
        <v>1210</v>
      </c>
      <c r="J24" s="226" t="s">
        <v>1210</v>
      </c>
      <c r="K24" s="228" t="s">
        <v>1210</v>
      </c>
      <c r="L24" s="226" t="s">
        <v>1210</v>
      </c>
      <c r="M24" s="228" t="s">
        <v>1210</v>
      </c>
      <c r="N24" s="226" t="s">
        <v>1210</v>
      </c>
      <c r="O24" s="228" t="s">
        <v>1210</v>
      </c>
      <c r="P24" s="229" t="s">
        <v>1216</v>
      </c>
      <c r="Q24" s="230" t="s">
        <v>1232</v>
      </c>
      <c r="R24" s="230" t="s">
        <v>1236</v>
      </c>
      <c r="S24" s="222"/>
      <c r="T24" s="216"/>
    </row>
    <row r="25" spans="1:20">
      <c r="A25" s="216">
        <f t="shared" si="0"/>
        <v>18</v>
      </c>
      <c r="B25" s="224">
        <v>4</v>
      </c>
      <c r="C25" s="225" t="s">
        <v>1232</v>
      </c>
      <c r="D25" s="226" t="s">
        <v>1233</v>
      </c>
      <c r="E25" s="227" t="s">
        <v>1238</v>
      </c>
      <c r="F25" s="226" t="s">
        <v>1210</v>
      </c>
      <c r="G25" s="227" t="s">
        <v>1210</v>
      </c>
      <c r="H25" s="226" t="s">
        <v>1210</v>
      </c>
      <c r="I25" s="227" t="s">
        <v>1210</v>
      </c>
      <c r="J25" s="226" t="s">
        <v>1210</v>
      </c>
      <c r="K25" s="228" t="s">
        <v>1210</v>
      </c>
      <c r="L25" s="226" t="s">
        <v>1210</v>
      </c>
      <c r="M25" s="228" t="s">
        <v>1210</v>
      </c>
      <c r="N25" s="226" t="s">
        <v>1210</v>
      </c>
      <c r="O25" s="228" t="s">
        <v>1210</v>
      </c>
      <c r="P25" s="229" t="s">
        <v>1216</v>
      </c>
      <c r="Q25" s="230" t="s">
        <v>1232</v>
      </c>
      <c r="R25" s="230" t="s">
        <v>1236</v>
      </c>
      <c r="S25" s="222"/>
      <c r="T25" s="216"/>
    </row>
    <row r="26" spans="1:20">
      <c r="A26" s="216">
        <f t="shared" si="0"/>
        <v>19</v>
      </c>
      <c r="B26" s="224">
        <v>4</v>
      </c>
      <c r="C26" s="225" t="s">
        <v>1232</v>
      </c>
      <c r="D26" s="226" t="s">
        <v>1233</v>
      </c>
      <c r="E26" s="227" t="s">
        <v>1239</v>
      </c>
      <c r="F26" s="226" t="s">
        <v>1210</v>
      </c>
      <c r="G26" s="227" t="s">
        <v>1210</v>
      </c>
      <c r="H26" s="226" t="s">
        <v>1210</v>
      </c>
      <c r="I26" s="227" t="s">
        <v>1210</v>
      </c>
      <c r="J26" s="226" t="s">
        <v>1210</v>
      </c>
      <c r="K26" s="228" t="s">
        <v>1210</v>
      </c>
      <c r="L26" s="226" t="s">
        <v>1210</v>
      </c>
      <c r="M26" s="228" t="s">
        <v>1210</v>
      </c>
      <c r="N26" s="226" t="s">
        <v>1210</v>
      </c>
      <c r="O26" s="228" t="s">
        <v>1210</v>
      </c>
      <c r="P26" s="229" t="s">
        <v>1216</v>
      </c>
      <c r="Q26" s="230" t="s">
        <v>1232</v>
      </c>
      <c r="R26" s="230" t="s">
        <v>1236</v>
      </c>
      <c r="S26" s="222"/>
      <c r="T26" s="216"/>
    </row>
    <row r="27" spans="1:20">
      <c r="A27" s="216">
        <f t="shared" si="0"/>
        <v>20</v>
      </c>
      <c r="B27" s="231">
        <v>4</v>
      </c>
      <c r="C27" s="232" t="s">
        <v>1232</v>
      </c>
      <c r="D27" s="226" t="s">
        <v>1233</v>
      </c>
      <c r="E27" s="227" t="s">
        <v>1240</v>
      </c>
      <c r="F27" s="226" t="s">
        <v>1210</v>
      </c>
      <c r="G27" s="227" t="s">
        <v>1210</v>
      </c>
      <c r="H27" s="226" t="s">
        <v>1210</v>
      </c>
      <c r="I27" s="227" t="s">
        <v>1210</v>
      </c>
      <c r="J27" s="226" t="s">
        <v>1210</v>
      </c>
      <c r="K27" s="228" t="s">
        <v>1210</v>
      </c>
      <c r="L27" s="226" t="s">
        <v>1210</v>
      </c>
      <c r="M27" s="228" t="s">
        <v>1210</v>
      </c>
      <c r="N27" s="226" t="s">
        <v>1210</v>
      </c>
      <c r="O27" s="228" t="s">
        <v>1210</v>
      </c>
      <c r="P27" s="229" t="s">
        <v>1216</v>
      </c>
      <c r="Q27" s="230" t="s">
        <v>1232</v>
      </c>
      <c r="R27" s="230" t="s">
        <v>1236</v>
      </c>
      <c r="S27" s="222"/>
      <c r="T27" s="216"/>
    </row>
    <row r="28" spans="1:20">
      <c r="A28" s="216">
        <f t="shared" si="0"/>
        <v>21</v>
      </c>
      <c r="B28" s="217">
        <v>5</v>
      </c>
      <c r="C28" s="218" t="s">
        <v>1241</v>
      </c>
      <c r="D28" s="219" t="s">
        <v>1242</v>
      </c>
      <c r="E28" s="220">
        <v>19900101</v>
      </c>
      <c r="F28" s="219" t="s">
        <v>1210</v>
      </c>
      <c r="G28" s="220" t="s">
        <v>1210</v>
      </c>
      <c r="H28" s="219" t="s">
        <v>1210</v>
      </c>
      <c r="I28" s="220" t="s">
        <v>1210</v>
      </c>
      <c r="J28" s="219" t="s">
        <v>1210</v>
      </c>
      <c r="K28" s="221" t="s">
        <v>1210</v>
      </c>
      <c r="L28" s="219" t="s">
        <v>1210</v>
      </c>
      <c r="M28" s="221" t="s">
        <v>1210</v>
      </c>
      <c r="N28" s="219" t="s">
        <v>1210</v>
      </c>
      <c r="O28" s="221" t="s">
        <v>1210</v>
      </c>
      <c r="P28" s="222" t="s">
        <v>1211</v>
      </c>
      <c r="Q28" s="223" t="s">
        <v>1212</v>
      </c>
      <c r="R28" s="223" t="s">
        <v>1212</v>
      </c>
      <c r="S28" s="222"/>
      <c r="T28" s="216"/>
    </row>
    <row r="29" spans="1:20">
      <c r="A29" s="216">
        <f t="shared" si="0"/>
        <v>22</v>
      </c>
      <c r="B29" s="231">
        <v>5</v>
      </c>
      <c r="C29" s="232" t="s">
        <v>1241</v>
      </c>
      <c r="D29" s="226" t="s">
        <v>1242</v>
      </c>
      <c r="E29" s="227" t="s">
        <v>1224</v>
      </c>
      <c r="F29" s="226" t="s">
        <v>1210</v>
      </c>
      <c r="G29" s="227" t="s">
        <v>1210</v>
      </c>
      <c r="H29" s="226" t="s">
        <v>1210</v>
      </c>
      <c r="I29" s="227" t="s">
        <v>1210</v>
      </c>
      <c r="J29" s="226" t="s">
        <v>1210</v>
      </c>
      <c r="K29" s="228" t="s">
        <v>1210</v>
      </c>
      <c r="L29" s="226" t="s">
        <v>1210</v>
      </c>
      <c r="M29" s="228" t="s">
        <v>1210</v>
      </c>
      <c r="N29" s="226" t="s">
        <v>1210</v>
      </c>
      <c r="O29" s="228" t="s">
        <v>1210</v>
      </c>
      <c r="P29" s="229" t="s">
        <v>1216</v>
      </c>
      <c r="Q29" s="230" t="s">
        <v>1241</v>
      </c>
      <c r="R29" s="230" t="s">
        <v>1243</v>
      </c>
      <c r="S29" s="222"/>
      <c r="T29" s="216"/>
    </row>
    <row r="30" spans="1:20">
      <c r="A30" s="216">
        <f t="shared" si="0"/>
        <v>23</v>
      </c>
      <c r="B30" s="217">
        <v>6</v>
      </c>
      <c r="C30" s="218" t="s">
        <v>1244</v>
      </c>
      <c r="D30" s="219" t="s">
        <v>1242</v>
      </c>
      <c r="E30" s="220" t="s">
        <v>1245</v>
      </c>
      <c r="F30" s="219" t="s">
        <v>1210</v>
      </c>
      <c r="G30" s="220" t="s">
        <v>1210</v>
      </c>
      <c r="H30" s="219" t="s">
        <v>1210</v>
      </c>
      <c r="I30" s="220" t="s">
        <v>1210</v>
      </c>
      <c r="J30" s="219" t="s">
        <v>1210</v>
      </c>
      <c r="K30" s="221" t="s">
        <v>1210</v>
      </c>
      <c r="L30" s="219" t="s">
        <v>1210</v>
      </c>
      <c r="M30" s="221" t="s">
        <v>1210</v>
      </c>
      <c r="N30" s="219" t="s">
        <v>1210</v>
      </c>
      <c r="O30" s="221" t="s">
        <v>1210</v>
      </c>
      <c r="P30" s="222" t="s">
        <v>1211</v>
      </c>
      <c r="Q30" s="223" t="s">
        <v>1212</v>
      </c>
      <c r="R30" s="223" t="s">
        <v>1212</v>
      </c>
      <c r="S30" s="222"/>
      <c r="T30" s="216"/>
    </row>
    <row r="31" spans="1:20">
      <c r="A31" s="216">
        <f t="shared" si="0"/>
        <v>24</v>
      </c>
      <c r="B31" s="231">
        <v>6</v>
      </c>
      <c r="C31" s="232" t="s">
        <v>1244</v>
      </c>
      <c r="D31" s="226" t="s">
        <v>1242</v>
      </c>
      <c r="E31" s="233" t="s">
        <v>1246</v>
      </c>
      <c r="F31" s="226" t="s">
        <v>1210</v>
      </c>
      <c r="G31" s="227" t="s">
        <v>1210</v>
      </c>
      <c r="H31" s="226" t="s">
        <v>1210</v>
      </c>
      <c r="I31" s="227" t="s">
        <v>1210</v>
      </c>
      <c r="J31" s="226" t="s">
        <v>1210</v>
      </c>
      <c r="K31" s="228" t="s">
        <v>1210</v>
      </c>
      <c r="L31" s="226" t="s">
        <v>1210</v>
      </c>
      <c r="M31" s="228" t="s">
        <v>1210</v>
      </c>
      <c r="N31" s="226" t="s">
        <v>1210</v>
      </c>
      <c r="O31" s="228" t="s">
        <v>1210</v>
      </c>
      <c r="P31" s="229" t="s">
        <v>1216</v>
      </c>
      <c r="Q31" s="230" t="s">
        <v>1244</v>
      </c>
      <c r="R31" s="230" t="s">
        <v>1247</v>
      </c>
      <c r="S31" s="222"/>
      <c r="T31" s="216"/>
    </row>
    <row r="32" spans="1:20">
      <c r="A32" s="216">
        <f t="shared" si="0"/>
        <v>25</v>
      </c>
      <c r="B32" s="217">
        <v>7</v>
      </c>
      <c r="C32" s="218" t="s">
        <v>1248</v>
      </c>
      <c r="D32" s="219" t="s">
        <v>1249</v>
      </c>
      <c r="E32" s="220">
        <v>1234567</v>
      </c>
      <c r="F32" s="219" t="s">
        <v>1210</v>
      </c>
      <c r="G32" s="220" t="s">
        <v>1210</v>
      </c>
      <c r="H32" s="219" t="s">
        <v>1210</v>
      </c>
      <c r="I32" s="220" t="s">
        <v>1210</v>
      </c>
      <c r="J32" s="219" t="s">
        <v>1210</v>
      </c>
      <c r="K32" s="221" t="s">
        <v>1210</v>
      </c>
      <c r="L32" s="219" t="s">
        <v>1210</v>
      </c>
      <c r="M32" s="221" t="s">
        <v>1210</v>
      </c>
      <c r="N32" s="219" t="s">
        <v>1210</v>
      </c>
      <c r="O32" s="221" t="s">
        <v>1210</v>
      </c>
      <c r="P32" s="222" t="s">
        <v>1211</v>
      </c>
      <c r="Q32" s="223" t="s">
        <v>1212</v>
      </c>
      <c r="R32" s="223" t="s">
        <v>1212</v>
      </c>
      <c r="S32" s="222"/>
      <c r="T32" s="216"/>
    </row>
    <row r="33" spans="1:20">
      <c r="A33" s="216">
        <f t="shared" si="0"/>
        <v>26</v>
      </c>
      <c r="B33" s="224">
        <v>7</v>
      </c>
      <c r="C33" s="225" t="s">
        <v>1248</v>
      </c>
      <c r="D33" s="226" t="s">
        <v>1249</v>
      </c>
      <c r="E33" s="234" t="s">
        <v>1250</v>
      </c>
      <c r="F33" s="226" t="s">
        <v>1210</v>
      </c>
      <c r="G33" s="227" t="s">
        <v>1210</v>
      </c>
      <c r="H33" s="226" t="s">
        <v>1210</v>
      </c>
      <c r="I33" s="227" t="s">
        <v>1210</v>
      </c>
      <c r="J33" s="226" t="s">
        <v>1210</v>
      </c>
      <c r="K33" s="228" t="s">
        <v>1210</v>
      </c>
      <c r="L33" s="226" t="s">
        <v>1210</v>
      </c>
      <c r="M33" s="228" t="s">
        <v>1210</v>
      </c>
      <c r="N33" s="226" t="s">
        <v>1210</v>
      </c>
      <c r="O33" s="228" t="s">
        <v>1210</v>
      </c>
      <c r="P33" s="229" t="s">
        <v>1228</v>
      </c>
      <c r="Q33" s="230" t="s">
        <v>1248</v>
      </c>
      <c r="R33" s="230" t="s">
        <v>1251</v>
      </c>
      <c r="S33" s="222"/>
      <c r="T33" s="216"/>
    </row>
    <row r="34" spans="1:20">
      <c r="A34" s="216">
        <f t="shared" si="0"/>
        <v>27</v>
      </c>
      <c r="B34" s="224">
        <v>7</v>
      </c>
      <c r="C34" s="225" t="s">
        <v>1248</v>
      </c>
      <c r="D34" s="226" t="s">
        <v>1249</v>
      </c>
      <c r="E34" s="227">
        <v>1111111</v>
      </c>
      <c r="F34" s="226" t="s">
        <v>1210</v>
      </c>
      <c r="G34" s="227" t="s">
        <v>1210</v>
      </c>
      <c r="H34" s="226" t="s">
        <v>1210</v>
      </c>
      <c r="I34" s="227" t="s">
        <v>1210</v>
      </c>
      <c r="J34" s="226" t="s">
        <v>1210</v>
      </c>
      <c r="K34" s="228" t="s">
        <v>1210</v>
      </c>
      <c r="L34" s="226" t="s">
        <v>1210</v>
      </c>
      <c r="M34" s="228" t="s">
        <v>1210</v>
      </c>
      <c r="N34" s="226" t="s">
        <v>1210</v>
      </c>
      <c r="O34" s="228" t="s">
        <v>1210</v>
      </c>
      <c r="P34" s="229" t="s">
        <v>1228</v>
      </c>
      <c r="Q34" s="230" t="s">
        <v>1248</v>
      </c>
      <c r="R34" s="230" t="s">
        <v>1251</v>
      </c>
      <c r="S34" s="222"/>
      <c r="T34" s="216"/>
    </row>
    <row r="35" spans="1:20">
      <c r="A35" s="216">
        <f t="shared" si="0"/>
        <v>28</v>
      </c>
      <c r="B35" s="224">
        <v>7</v>
      </c>
      <c r="C35" s="225" t="s">
        <v>1248</v>
      </c>
      <c r="D35" s="226" t="s">
        <v>1249</v>
      </c>
      <c r="E35" s="227">
        <v>2222222</v>
      </c>
      <c r="F35" s="226" t="s">
        <v>1210</v>
      </c>
      <c r="G35" s="227" t="s">
        <v>1210</v>
      </c>
      <c r="H35" s="226" t="s">
        <v>1210</v>
      </c>
      <c r="I35" s="227" t="s">
        <v>1210</v>
      </c>
      <c r="J35" s="226" t="s">
        <v>1210</v>
      </c>
      <c r="K35" s="228" t="s">
        <v>1210</v>
      </c>
      <c r="L35" s="226" t="s">
        <v>1210</v>
      </c>
      <c r="M35" s="228" t="s">
        <v>1210</v>
      </c>
      <c r="N35" s="226" t="s">
        <v>1210</v>
      </c>
      <c r="O35" s="228" t="s">
        <v>1210</v>
      </c>
      <c r="P35" s="229" t="s">
        <v>1228</v>
      </c>
      <c r="Q35" s="230" t="s">
        <v>1248</v>
      </c>
      <c r="R35" s="230" t="s">
        <v>1251</v>
      </c>
      <c r="S35" s="222"/>
      <c r="T35" s="216"/>
    </row>
    <row r="36" spans="1:20">
      <c r="A36" s="216">
        <f t="shared" si="0"/>
        <v>29</v>
      </c>
      <c r="B36" s="224">
        <v>7</v>
      </c>
      <c r="C36" s="225" t="s">
        <v>1248</v>
      </c>
      <c r="D36" s="226" t="s">
        <v>1249</v>
      </c>
      <c r="E36" s="227">
        <v>3333333</v>
      </c>
      <c r="F36" s="226" t="s">
        <v>1210</v>
      </c>
      <c r="G36" s="227" t="s">
        <v>1210</v>
      </c>
      <c r="H36" s="226" t="s">
        <v>1210</v>
      </c>
      <c r="I36" s="227" t="s">
        <v>1210</v>
      </c>
      <c r="J36" s="226" t="s">
        <v>1210</v>
      </c>
      <c r="K36" s="228" t="s">
        <v>1210</v>
      </c>
      <c r="L36" s="226" t="s">
        <v>1210</v>
      </c>
      <c r="M36" s="228" t="s">
        <v>1210</v>
      </c>
      <c r="N36" s="226" t="s">
        <v>1210</v>
      </c>
      <c r="O36" s="228" t="s">
        <v>1210</v>
      </c>
      <c r="P36" s="229" t="s">
        <v>1228</v>
      </c>
      <c r="Q36" s="230" t="s">
        <v>1248</v>
      </c>
      <c r="R36" s="230" t="s">
        <v>1251</v>
      </c>
      <c r="S36" s="222"/>
      <c r="T36" s="216"/>
    </row>
    <row r="37" spans="1:20">
      <c r="A37" s="216">
        <f t="shared" si="0"/>
        <v>30</v>
      </c>
      <c r="B37" s="224">
        <v>7</v>
      </c>
      <c r="C37" s="225" t="s">
        <v>1248</v>
      </c>
      <c r="D37" s="226" t="s">
        <v>1249</v>
      </c>
      <c r="E37" s="227">
        <v>4444444</v>
      </c>
      <c r="F37" s="226" t="s">
        <v>1210</v>
      </c>
      <c r="G37" s="227" t="s">
        <v>1210</v>
      </c>
      <c r="H37" s="226" t="s">
        <v>1210</v>
      </c>
      <c r="I37" s="227" t="s">
        <v>1210</v>
      </c>
      <c r="J37" s="226" t="s">
        <v>1210</v>
      </c>
      <c r="K37" s="228" t="s">
        <v>1210</v>
      </c>
      <c r="L37" s="226" t="s">
        <v>1210</v>
      </c>
      <c r="M37" s="228" t="s">
        <v>1210</v>
      </c>
      <c r="N37" s="226" t="s">
        <v>1210</v>
      </c>
      <c r="O37" s="228" t="s">
        <v>1210</v>
      </c>
      <c r="P37" s="229" t="s">
        <v>1228</v>
      </c>
      <c r="Q37" s="230" t="s">
        <v>1248</v>
      </c>
      <c r="R37" s="230" t="s">
        <v>1251</v>
      </c>
      <c r="S37" s="222"/>
      <c r="T37" s="216"/>
    </row>
    <row r="38" spans="1:20">
      <c r="A38" s="216">
        <f t="shared" si="0"/>
        <v>31</v>
      </c>
      <c r="B38" s="224">
        <v>7</v>
      </c>
      <c r="C38" s="225" t="s">
        <v>1248</v>
      </c>
      <c r="D38" s="226" t="s">
        <v>1249</v>
      </c>
      <c r="E38" s="227">
        <v>5555555</v>
      </c>
      <c r="F38" s="226" t="s">
        <v>1210</v>
      </c>
      <c r="G38" s="227" t="s">
        <v>1210</v>
      </c>
      <c r="H38" s="226" t="s">
        <v>1210</v>
      </c>
      <c r="I38" s="227" t="s">
        <v>1210</v>
      </c>
      <c r="J38" s="226" t="s">
        <v>1210</v>
      </c>
      <c r="K38" s="228" t="s">
        <v>1210</v>
      </c>
      <c r="L38" s="226" t="s">
        <v>1210</v>
      </c>
      <c r="M38" s="228" t="s">
        <v>1210</v>
      </c>
      <c r="N38" s="226" t="s">
        <v>1210</v>
      </c>
      <c r="O38" s="228" t="s">
        <v>1210</v>
      </c>
      <c r="P38" s="229" t="s">
        <v>1228</v>
      </c>
      <c r="Q38" s="230" t="s">
        <v>1248</v>
      </c>
      <c r="R38" s="230" t="s">
        <v>1251</v>
      </c>
      <c r="S38" s="222"/>
      <c r="T38" s="216"/>
    </row>
    <row r="39" spans="1:20">
      <c r="A39" s="216">
        <f t="shared" si="0"/>
        <v>32</v>
      </c>
      <c r="B39" s="224">
        <v>7</v>
      </c>
      <c r="C39" s="225" t="s">
        <v>1248</v>
      </c>
      <c r="D39" s="226" t="s">
        <v>1249</v>
      </c>
      <c r="E39" s="227">
        <v>6666666</v>
      </c>
      <c r="F39" s="226" t="s">
        <v>1210</v>
      </c>
      <c r="G39" s="227" t="s">
        <v>1210</v>
      </c>
      <c r="H39" s="226" t="s">
        <v>1210</v>
      </c>
      <c r="I39" s="227" t="s">
        <v>1210</v>
      </c>
      <c r="J39" s="226" t="s">
        <v>1210</v>
      </c>
      <c r="K39" s="228" t="s">
        <v>1210</v>
      </c>
      <c r="L39" s="226" t="s">
        <v>1210</v>
      </c>
      <c r="M39" s="228" t="s">
        <v>1210</v>
      </c>
      <c r="N39" s="226" t="s">
        <v>1210</v>
      </c>
      <c r="O39" s="228" t="s">
        <v>1210</v>
      </c>
      <c r="P39" s="229" t="s">
        <v>1228</v>
      </c>
      <c r="Q39" s="230" t="s">
        <v>1248</v>
      </c>
      <c r="R39" s="230" t="s">
        <v>1251</v>
      </c>
      <c r="S39" s="222"/>
      <c r="T39" s="216"/>
    </row>
    <row r="40" spans="1:20">
      <c r="A40" s="216">
        <f t="shared" si="0"/>
        <v>33</v>
      </c>
      <c r="B40" s="224">
        <v>7</v>
      </c>
      <c r="C40" s="225" t="s">
        <v>1248</v>
      </c>
      <c r="D40" s="226" t="s">
        <v>1249</v>
      </c>
      <c r="E40" s="227">
        <v>7777777</v>
      </c>
      <c r="F40" s="226" t="s">
        <v>1210</v>
      </c>
      <c r="G40" s="227" t="s">
        <v>1210</v>
      </c>
      <c r="H40" s="226" t="s">
        <v>1210</v>
      </c>
      <c r="I40" s="227" t="s">
        <v>1210</v>
      </c>
      <c r="J40" s="226" t="s">
        <v>1210</v>
      </c>
      <c r="K40" s="228" t="s">
        <v>1210</v>
      </c>
      <c r="L40" s="226" t="s">
        <v>1210</v>
      </c>
      <c r="M40" s="228" t="s">
        <v>1210</v>
      </c>
      <c r="N40" s="226" t="s">
        <v>1210</v>
      </c>
      <c r="O40" s="228" t="s">
        <v>1210</v>
      </c>
      <c r="P40" s="229" t="s">
        <v>1228</v>
      </c>
      <c r="Q40" s="230" t="s">
        <v>1248</v>
      </c>
      <c r="R40" s="230" t="s">
        <v>1251</v>
      </c>
      <c r="S40" s="222"/>
      <c r="T40" s="216"/>
    </row>
    <row r="41" spans="1:20">
      <c r="A41" s="216">
        <f t="shared" si="0"/>
        <v>34</v>
      </c>
      <c r="B41" s="224">
        <v>7</v>
      </c>
      <c r="C41" s="225" t="s">
        <v>1248</v>
      </c>
      <c r="D41" s="226" t="s">
        <v>1249</v>
      </c>
      <c r="E41" s="227">
        <v>8888888</v>
      </c>
      <c r="F41" s="226" t="s">
        <v>1210</v>
      </c>
      <c r="G41" s="227" t="s">
        <v>1210</v>
      </c>
      <c r="H41" s="226" t="s">
        <v>1210</v>
      </c>
      <c r="I41" s="227" t="s">
        <v>1210</v>
      </c>
      <c r="J41" s="226" t="s">
        <v>1210</v>
      </c>
      <c r="K41" s="228" t="s">
        <v>1210</v>
      </c>
      <c r="L41" s="226" t="s">
        <v>1210</v>
      </c>
      <c r="M41" s="228" t="s">
        <v>1210</v>
      </c>
      <c r="N41" s="226" t="s">
        <v>1210</v>
      </c>
      <c r="O41" s="228" t="s">
        <v>1210</v>
      </c>
      <c r="P41" s="229" t="s">
        <v>1228</v>
      </c>
      <c r="Q41" s="230" t="s">
        <v>1248</v>
      </c>
      <c r="R41" s="230" t="s">
        <v>1251</v>
      </c>
      <c r="S41" s="222"/>
      <c r="T41" s="216"/>
    </row>
    <row r="42" spans="1:20">
      <c r="A42" s="216">
        <f t="shared" si="0"/>
        <v>35</v>
      </c>
      <c r="B42" s="224">
        <v>7</v>
      </c>
      <c r="C42" s="225" t="s">
        <v>1248</v>
      </c>
      <c r="D42" s="226" t="s">
        <v>1249</v>
      </c>
      <c r="E42" s="227">
        <v>9999999</v>
      </c>
      <c r="F42" s="226" t="s">
        <v>1210</v>
      </c>
      <c r="G42" s="227" t="s">
        <v>1210</v>
      </c>
      <c r="H42" s="226" t="s">
        <v>1210</v>
      </c>
      <c r="I42" s="227" t="s">
        <v>1210</v>
      </c>
      <c r="J42" s="226" t="s">
        <v>1210</v>
      </c>
      <c r="K42" s="228" t="s">
        <v>1210</v>
      </c>
      <c r="L42" s="226" t="s">
        <v>1210</v>
      </c>
      <c r="M42" s="228" t="s">
        <v>1210</v>
      </c>
      <c r="N42" s="226" t="s">
        <v>1210</v>
      </c>
      <c r="O42" s="228" t="s">
        <v>1210</v>
      </c>
      <c r="P42" s="229" t="s">
        <v>1228</v>
      </c>
      <c r="Q42" s="230" t="s">
        <v>1248</v>
      </c>
      <c r="R42" s="230" t="s">
        <v>1251</v>
      </c>
      <c r="S42" s="222"/>
      <c r="T42" s="216"/>
    </row>
    <row r="43" spans="1:20">
      <c r="A43" s="216">
        <f t="shared" si="0"/>
        <v>36</v>
      </c>
      <c r="B43" s="231">
        <v>7</v>
      </c>
      <c r="C43" s="232" t="s">
        <v>1248</v>
      </c>
      <c r="D43" s="226" t="s">
        <v>548</v>
      </c>
      <c r="E43" s="227" t="s">
        <v>1252</v>
      </c>
      <c r="F43" s="226" t="s">
        <v>1212</v>
      </c>
      <c r="G43" s="227" t="s">
        <v>1212</v>
      </c>
      <c r="H43" s="226" t="s">
        <v>1212</v>
      </c>
      <c r="I43" s="227" t="s">
        <v>1212</v>
      </c>
      <c r="J43" s="226" t="s">
        <v>1212</v>
      </c>
      <c r="K43" s="228" t="s">
        <v>1212</v>
      </c>
      <c r="L43" s="226" t="s">
        <v>1212</v>
      </c>
      <c r="M43" s="228" t="s">
        <v>1212</v>
      </c>
      <c r="N43" s="226" t="s">
        <v>1212</v>
      </c>
      <c r="O43" s="228" t="s">
        <v>1212</v>
      </c>
      <c r="P43" s="229" t="s">
        <v>1228</v>
      </c>
      <c r="Q43" s="230" t="s">
        <v>1248</v>
      </c>
      <c r="R43" s="230" t="s">
        <v>1251</v>
      </c>
      <c r="S43" s="222"/>
      <c r="T43" s="216"/>
    </row>
    <row r="44" spans="1:20">
      <c r="A44" s="216">
        <f t="shared" si="0"/>
        <v>37</v>
      </c>
      <c r="B44" s="217">
        <v>8</v>
      </c>
      <c r="C44" s="218" t="s">
        <v>1253</v>
      </c>
      <c r="D44" s="219" t="s">
        <v>1249</v>
      </c>
      <c r="E44" s="220">
        <v>1234567</v>
      </c>
      <c r="F44" s="219" t="s">
        <v>1210</v>
      </c>
      <c r="G44" s="220" t="s">
        <v>1210</v>
      </c>
      <c r="H44" s="219" t="s">
        <v>1210</v>
      </c>
      <c r="I44" s="220" t="s">
        <v>1210</v>
      </c>
      <c r="J44" s="219" t="s">
        <v>1210</v>
      </c>
      <c r="K44" s="221" t="s">
        <v>1210</v>
      </c>
      <c r="L44" s="219" t="s">
        <v>1210</v>
      </c>
      <c r="M44" s="221" t="s">
        <v>1210</v>
      </c>
      <c r="N44" s="219" t="s">
        <v>1210</v>
      </c>
      <c r="O44" s="221" t="s">
        <v>1210</v>
      </c>
      <c r="P44" s="222" t="s">
        <v>1211</v>
      </c>
      <c r="Q44" s="223" t="s">
        <v>1212</v>
      </c>
      <c r="R44" s="223" t="s">
        <v>1212</v>
      </c>
      <c r="S44" s="222"/>
      <c r="T44" s="216"/>
    </row>
    <row r="45" spans="1:20">
      <c r="A45" s="216">
        <f t="shared" si="0"/>
        <v>38</v>
      </c>
      <c r="B45" s="224">
        <v>8</v>
      </c>
      <c r="C45" s="225" t="s">
        <v>1253</v>
      </c>
      <c r="D45" s="219" t="s">
        <v>1249</v>
      </c>
      <c r="E45" s="220" t="s">
        <v>1254</v>
      </c>
      <c r="F45" s="219" t="s">
        <v>1210</v>
      </c>
      <c r="G45" s="220" t="s">
        <v>1210</v>
      </c>
      <c r="H45" s="219" t="s">
        <v>1210</v>
      </c>
      <c r="I45" s="220" t="s">
        <v>1210</v>
      </c>
      <c r="J45" s="219" t="s">
        <v>1210</v>
      </c>
      <c r="K45" s="221" t="s">
        <v>1210</v>
      </c>
      <c r="L45" s="219" t="s">
        <v>1210</v>
      </c>
      <c r="M45" s="221" t="s">
        <v>1210</v>
      </c>
      <c r="N45" s="219" t="s">
        <v>1210</v>
      </c>
      <c r="O45" s="221" t="s">
        <v>1210</v>
      </c>
      <c r="P45" s="222" t="s">
        <v>1211</v>
      </c>
      <c r="Q45" s="223" t="s">
        <v>1212</v>
      </c>
      <c r="R45" s="223" t="s">
        <v>1212</v>
      </c>
      <c r="S45" s="222"/>
      <c r="T45" s="216"/>
    </row>
    <row r="46" spans="1:20">
      <c r="A46" s="216">
        <f t="shared" si="0"/>
        <v>39</v>
      </c>
      <c r="B46" s="224">
        <v>8</v>
      </c>
      <c r="C46" s="225" t="s">
        <v>1253</v>
      </c>
      <c r="D46" s="226" t="s">
        <v>1249</v>
      </c>
      <c r="E46" s="227" t="s">
        <v>1255</v>
      </c>
      <c r="F46" s="226" t="s">
        <v>1210</v>
      </c>
      <c r="G46" s="227" t="s">
        <v>1210</v>
      </c>
      <c r="H46" s="226" t="s">
        <v>1210</v>
      </c>
      <c r="I46" s="227" t="s">
        <v>1210</v>
      </c>
      <c r="J46" s="226" t="s">
        <v>1210</v>
      </c>
      <c r="K46" s="228" t="s">
        <v>1210</v>
      </c>
      <c r="L46" s="226" t="s">
        <v>1210</v>
      </c>
      <c r="M46" s="228" t="s">
        <v>1210</v>
      </c>
      <c r="N46" s="226" t="s">
        <v>1210</v>
      </c>
      <c r="O46" s="228" t="s">
        <v>1210</v>
      </c>
      <c r="P46" s="229" t="s">
        <v>1216</v>
      </c>
      <c r="Q46" s="230" t="s">
        <v>1253</v>
      </c>
      <c r="R46" s="230" t="s">
        <v>1256</v>
      </c>
      <c r="S46" s="222"/>
      <c r="T46" s="216"/>
    </row>
    <row r="47" spans="1:20">
      <c r="A47" s="216">
        <f t="shared" si="0"/>
        <v>40</v>
      </c>
      <c r="B47" s="224">
        <v>8</v>
      </c>
      <c r="C47" s="225" t="s">
        <v>1253</v>
      </c>
      <c r="D47" s="226" t="s">
        <v>1249</v>
      </c>
      <c r="E47" s="227" t="s">
        <v>1257</v>
      </c>
      <c r="F47" s="226" t="s">
        <v>1210</v>
      </c>
      <c r="G47" s="227" t="s">
        <v>1210</v>
      </c>
      <c r="H47" s="226" t="s">
        <v>1210</v>
      </c>
      <c r="I47" s="227" t="s">
        <v>1210</v>
      </c>
      <c r="J47" s="226" t="s">
        <v>1210</v>
      </c>
      <c r="K47" s="228" t="s">
        <v>1210</v>
      </c>
      <c r="L47" s="226" t="s">
        <v>1210</v>
      </c>
      <c r="M47" s="228" t="s">
        <v>1210</v>
      </c>
      <c r="N47" s="226" t="s">
        <v>1210</v>
      </c>
      <c r="O47" s="228" t="s">
        <v>1210</v>
      </c>
      <c r="P47" s="229" t="s">
        <v>1216</v>
      </c>
      <c r="Q47" s="230" t="s">
        <v>1253</v>
      </c>
      <c r="R47" s="230" t="s">
        <v>1256</v>
      </c>
      <c r="S47" s="222"/>
      <c r="T47" s="216"/>
    </row>
    <row r="48" spans="1:20">
      <c r="A48" s="216">
        <f t="shared" si="0"/>
        <v>41</v>
      </c>
      <c r="B48" s="224">
        <v>8</v>
      </c>
      <c r="C48" s="225" t="s">
        <v>1253</v>
      </c>
      <c r="D48" s="226" t="s">
        <v>1249</v>
      </c>
      <c r="E48" s="227" t="s">
        <v>1258</v>
      </c>
      <c r="F48" s="226" t="s">
        <v>1210</v>
      </c>
      <c r="G48" s="227" t="s">
        <v>1210</v>
      </c>
      <c r="H48" s="226" t="s">
        <v>1210</v>
      </c>
      <c r="I48" s="227" t="s">
        <v>1210</v>
      </c>
      <c r="J48" s="226" t="s">
        <v>1210</v>
      </c>
      <c r="K48" s="228" t="s">
        <v>1210</v>
      </c>
      <c r="L48" s="226" t="s">
        <v>1210</v>
      </c>
      <c r="M48" s="228" t="s">
        <v>1210</v>
      </c>
      <c r="N48" s="226" t="s">
        <v>1210</v>
      </c>
      <c r="O48" s="228" t="s">
        <v>1210</v>
      </c>
      <c r="P48" s="229" t="s">
        <v>1216</v>
      </c>
      <c r="Q48" s="230" t="s">
        <v>1253</v>
      </c>
      <c r="R48" s="230" t="s">
        <v>1256</v>
      </c>
      <c r="S48" s="222"/>
      <c r="T48" s="216"/>
    </row>
    <row r="49" spans="1:20">
      <c r="A49" s="216">
        <f t="shared" si="0"/>
        <v>42</v>
      </c>
      <c r="B49" s="224">
        <v>8</v>
      </c>
      <c r="C49" s="225" t="s">
        <v>1253</v>
      </c>
      <c r="D49" s="226" t="s">
        <v>1249</v>
      </c>
      <c r="E49" s="227" t="s">
        <v>1259</v>
      </c>
      <c r="F49" s="226" t="s">
        <v>1210</v>
      </c>
      <c r="G49" s="227" t="s">
        <v>1210</v>
      </c>
      <c r="H49" s="226" t="s">
        <v>1210</v>
      </c>
      <c r="I49" s="227" t="s">
        <v>1210</v>
      </c>
      <c r="J49" s="226" t="s">
        <v>1210</v>
      </c>
      <c r="K49" s="228" t="s">
        <v>1210</v>
      </c>
      <c r="L49" s="226" t="s">
        <v>1210</v>
      </c>
      <c r="M49" s="228" t="s">
        <v>1210</v>
      </c>
      <c r="N49" s="226" t="s">
        <v>1210</v>
      </c>
      <c r="O49" s="228" t="s">
        <v>1210</v>
      </c>
      <c r="P49" s="229" t="s">
        <v>1216</v>
      </c>
      <c r="Q49" s="230" t="s">
        <v>1253</v>
      </c>
      <c r="R49" s="230" t="s">
        <v>1256</v>
      </c>
      <c r="S49" s="222"/>
      <c r="T49" s="216"/>
    </row>
    <row r="50" spans="1:20">
      <c r="A50" s="216">
        <f t="shared" si="0"/>
        <v>43</v>
      </c>
      <c r="B50" s="231">
        <v>8</v>
      </c>
      <c r="C50" s="232" t="s">
        <v>1253</v>
      </c>
      <c r="D50" s="226" t="s">
        <v>1249</v>
      </c>
      <c r="E50" s="235" t="s">
        <v>1260</v>
      </c>
      <c r="F50" s="226" t="s">
        <v>1210</v>
      </c>
      <c r="G50" s="227" t="s">
        <v>1210</v>
      </c>
      <c r="H50" s="226" t="s">
        <v>1210</v>
      </c>
      <c r="I50" s="227" t="s">
        <v>1210</v>
      </c>
      <c r="J50" s="226" t="s">
        <v>1210</v>
      </c>
      <c r="K50" s="228" t="s">
        <v>1210</v>
      </c>
      <c r="L50" s="226" t="s">
        <v>1210</v>
      </c>
      <c r="M50" s="228" t="s">
        <v>1210</v>
      </c>
      <c r="N50" s="226" t="s">
        <v>1210</v>
      </c>
      <c r="O50" s="228" t="s">
        <v>1210</v>
      </c>
      <c r="P50" s="229" t="s">
        <v>1216</v>
      </c>
      <c r="Q50" s="230" t="s">
        <v>1253</v>
      </c>
      <c r="R50" s="230" t="s">
        <v>1256</v>
      </c>
      <c r="S50" s="222"/>
      <c r="T50" s="216"/>
    </row>
    <row r="51" spans="1:20">
      <c r="A51" s="216">
        <f t="shared" si="0"/>
        <v>44</v>
      </c>
      <c r="B51" s="217">
        <v>9</v>
      </c>
      <c r="C51" s="218" t="s">
        <v>1261</v>
      </c>
      <c r="D51" s="219" t="s">
        <v>1262</v>
      </c>
      <c r="E51" s="220" t="s">
        <v>1263</v>
      </c>
      <c r="F51" s="219" t="s">
        <v>1264</v>
      </c>
      <c r="G51" s="220" t="s">
        <v>1265</v>
      </c>
      <c r="H51" s="219" t="s">
        <v>1210</v>
      </c>
      <c r="I51" s="220" t="s">
        <v>1210</v>
      </c>
      <c r="J51" s="219" t="s">
        <v>1210</v>
      </c>
      <c r="K51" s="221" t="s">
        <v>1210</v>
      </c>
      <c r="L51" s="219" t="s">
        <v>1210</v>
      </c>
      <c r="M51" s="221" t="s">
        <v>1210</v>
      </c>
      <c r="N51" s="219" t="s">
        <v>1210</v>
      </c>
      <c r="O51" s="221" t="s">
        <v>1210</v>
      </c>
      <c r="P51" s="222" t="s">
        <v>1211</v>
      </c>
      <c r="Q51" s="223" t="s">
        <v>1212</v>
      </c>
      <c r="R51" s="223" t="s">
        <v>1212</v>
      </c>
      <c r="S51" s="222"/>
      <c r="T51" s="216"/>
    </row>
    <row r="52" spans="1:20">
      <c r="A52" s="216">
        <f t="shared" si="0"/>
        <v>45</v>
      </c>
      <c r="B52" s="224">
        <v>9</v>
      </c>
      <c r="C52" s="225" t="s">
        <v>1261</v>
      </c>
      <c r="D52" s="219" t="s">
        <v>1262</v>
      </c>
      <c r="E52" s="220" t="s">
        <v>1263</v>
      </c>
      <c r="F52" s="219" t="s">
        <v>1264</v>
      </c>
      <c r="G52" s="220" t="s">
        <v>1224</v>
      </c>
      <c r="H52" s="219" t="s">
        <v>1210</v>
      </c>
      <c r="I52" s="220" t="s">
        <v>1210</v>
      </c>
      <c r="J52" s="219" t="s">
        <v>1210</v>
      </c>
      <c r="K52" s="221" t="s">
        <v>1210</v>
      </c>
      <c r="L52" s="219" t="s">
        <v>1210</v>
      </c>
      <c r="M52" s="221" t="s">
        <v>1210</v>
      </c>
      <c r="N52" s="219" t="s">
        <v>1210</v>
      </c>
      <c r="O52" s="221" t="s">
        <v>1210</v>
      </c>
      <c r="P52" s="222" t="s">
        <v>1211</v>
      </c>
      <c r="Q52" s="223" t="s">
        <v>1212</v>
      </c>
      <c r="R52" s="223" t="s">
        <v>1212</v>
      </c>
      <c r="S52" s="222"/>
      <c r="T52" s="216"/>
    </row>
    <row r="53" spans="1:20">
      <c r="A53" s="216">
        <f t="shared" si="0"/>
        <v>46</v>
      </c>
      <c r="B53" s="224">
        <v>9</v>
      </c>
      <c r="C53" s="225" t="s">
        <v>1261</v>
      </c>
      <c r="D53" s="219" t="s">
        <v>1262</v>
      </c>
      <c r="E53" s="220" t="s">
        <v>1224</v>
      </c>
      <c r="F53" s="219" t="s">
        <v>1264</v>
      </c>
      <c r="G53" s="220" t="s">
        <v>1265</v>
      </c>
      <c r="H53" s="219" t="s">
        <v>1210</v>
      </c>
      <c r="I53" s="220" t="s">
        <v>1210</v>
      </c>
      <c r="J53" s="219" t="s">
        <v>1210</v>
      </c>
      <c r="K53" s="221" t="s">
        <v>1210</v>
      </c>
      <c r="L53" s="219" t="s">
        <v>1210</v>
      </c>
      <c r="M53" s="221" t="s">
        <v>1210</v>
      </c>
      <c r="N53" s="219" t="s">
        <v>1210</v>
      </c>
      <c r="O53" s="221" t="s">
        <v>1210</v>
      </c>
      <c r="P53" s="222" t="s">
        <v>1211</v>
      </c>
      <c r="Q53" s="223" t="s">
        <v>1212</v>
      </c>
      <c r="R53" s="223" t="s">
        <v>1212</v>
      </c>
      <c r="S53" s="222"/>
      <c r="T53" s="216"/>
    </row>
    <row r="54" spans="1:20">
      <c r="A54" s="216">
        <f t="shared" si="0"/>
        <v>47</v>
      </c>
      <c r="B54" s="231">
        <v>9</v>
      </c>
      <c r="C54" s="232" t="s">
        <v>1261</v>
      </c>
      <c r="D54" s="226" t="s">
        <v>1262</v>
      </c>
      <c r="E54" s="227" t="s">
        <v>1224</v>
      </c>
      <c r="F54" s="226" t="s">
        <v>1264</v>
      </c>
      <c r="G54" s="227" t="s">
        <v>1224</v>
      </c>
      <c r="H54" s="226" t="s">
        <v>1210</v>
      </c>
      <c r="I54" s="227" t="s">
        <v>1210</v>
      </c>
      <c r="J54" s="226" t="s">
        <v>1210</v>
      </c>
      <c r="K54" s="228" t="s">
        <v>1210</v>
      </c>
      <c r="L54" s="226" t="s">
        <v>1210</v>
      </c>
      <c r="M54" s="228" t="s">
        <v>1210</v>
      </c>
      <c r="N54" s="226" t="s">
        <v>1210</v>
      </c>
      <c r="O54" s="228" t="s">
        <v>1210</v>
      </c>
      <c r="P54" s="229" t="s">
        <v>1216</v>
      </c>
      <c r="Q54" s="230" t="s">
        <v>1261</v>
      </c>
      <c r="R54" s="230" t="s">
        <v>1266</v>
      </c>
      <c r="S54" s="222"/>
      <c r="T54" s="216"/>
    </row>
    <row r="55" spans="1:20">
      <c r="A55" s="216">
        <f t="shared" si="0"/>
        <v>48</v>
      </c>
      <c r="B55" s="217">
        <v>10</v>
      </c>
      <c r="C55" s="218" t="s">
        <v>1267</v>
      </c>
      <c r="D55" s="219" t="s">
        <v>1268</v>
      </c>
      <c r="E55" s="236" t="s">
        <v>1269</v>
      </c>
      <c r="F55" s="219" t="s">
        <v>1210</v>
      </c>
      <c r="G55" s="220" t="s">
        <v>1210</v>
      </c>
      <c r="H55" s="219" t="s">
        <v>1210</v>
      </c>
      <c r="I55" s="220" t="s">
        <v>1210</v>
      </c>
      <c r="J55" s="219" t="s">
        <v>1210</v>
      </c>
      <c r="K55" s="221" t="s">
        <v>1210</v>
      </c>
      <c r="L55" s="219" t="s">
        <v>1210</v>
      </c>
      <c r="M55" s="221" t="s">
        <v>1210</v>
      </c>
      <c r="N55" s="219" t="s">
        <v>1210</v>
      </c>
      <c r="O55" s="221" t="s">
        <v>1210</v>
      </c>
      <c r="P55" s="222" t="s">
        <v>1211</v>
      </c>
      <c r="Q55" s="223" t="s">
        <v>1212</v>
      </c>
      <c r="R55" s="223" t="s">
        <v>1212</v>
      </c>
      <c r="S55" s="222"/>
      <c r="T55" s="216"/>
    </row>
    <row r="56" spans="1:20">
      <c r="A56" s="216">
        <f t="shared" si="0"/>
        <v>49</v>
      </c>
      <c r="B56" s="224">
        <v>10</v>
      </c>
      <c r="C56" s="225" t="s">
        <v>1267</v>
      </c>
      <c r="D56" s="226" t="s">
        <v>1268</v>
      </c>
      <c r="E56" s="234" t="s">
        <v>1270</v>
      </c>
      <c r="F56" s="226" t="s">
        <v>1210</v>
      </c>
      <c r="G56" s="227" t="s">
        <v>1210</v>
      </c>
      <c r="H56" s="226" t="s">
        <v>1210</v>
      </c>
      <c r="I56" s="227" t="s">
        <v>1210</v>
      </c>
      <c r="J56" s="226" t="s">
        <v>1210</v>
      </c>
      <c r="K56" s="228" t="s">
        <v>1210</v>
      </c>
      <c r="L56" s="226" t="s">
        <v>1210</v>
      </c>
      <c r="M56" s="228" t="s">
        <v>1210</v>
      </c>
      <c r="N56" s="226" t="s">
        <v>1210</v>
      </c>
      <c r="O56" s="228" t="s">
        <v>1210</v>
      </c>
      <c r="P56" s="229" t="s">
        <v>1216</v>
      </c>
      <c r="Q56" s="230" t="s">
        <v>1267</v>
      </c>
      <c r="R56" s="230" t="s">
        <v>1271</v>
      </c>
      <c r="S56" s="222"/>
      <c r="T56" s="216"/>
    </row>
    <row r="57" spans="1:20">
      <c r="A57" s="216">
        <f t="shared" si="0"/>
        <v>50</v>
      </c>
      <c r="B57" s="224">
        <v>10</v>
      </c>
      <c r="C57" s="225" t="s">
        <v>1267</v>
      </c>
      <c r="D57" s="219" t="s">
        <v>1268</v>
      </c>
      <c r="E57" s="236" t="s">
        <v>1272</v>
      </c>
      <c r="F57" s="219" t="s">
        <v>1210</v>
      </c>
      <c r="G57" s="220" t="s">
        <v>1210</v>
      </c>
      <c r="H57" s="219" t="s">
        <v>1210</v>
      </c>
      <c r="I57" s="220" t="s">
        <v>1210</v>
      </c>
      <c r="J57" s="219" t="s">
        <v>1210</v>
      </c>
      <c r="K57" s="221" t="s">
        <v>1210</v>
      </c>
      <c r="L57" s="219" t="s">
        <v>1210</v>
      </c>
      <c r="M57" s="221" t="s">
        <v>1210</v>
      </c>
      <c r="N57" s="219" t="s">
        <v>1210</v>
      </c>
      <c r="O57" s="221" t="s">
        <v>1210</v>
      </c>
      <c r="P57" s="222" t="s">
        <v>1211</v>
      </c>
      <c r="Q57" s="223" t="s">
        <v>1212</v>
      </c>
      <c r="R57" s="223" t="s">
        <v>1212</v>
      </c>
      <c r="S57" s="222"/>
      <c r="T57" s="216"/>
    </row>
    <row r="58" spans="1:20">
      <c r="A58" s="216">
        <f t="shared" si="0"/>
        <v>51</v>
      </c>
      <c r="B58" s="224">
        <v>10</v>
      </c>
      <c r="C58" s="225" t="s">
        <v>1267</v>
      </c>
      <c r="D58" s="219" t="s">
        <v>1268</v>
      </c>
      <c r="E58" s="236" t="s">
        <v>1273</v>
      </c>
      <c r="F58" s="219" t="s">
        <v>1210</v>
      </c>
      <c r="G58" s="220" t="s">
        <v>1210</v>
      </c>
      <c r="H58" s="219" t="s">
        <v>1210</v>
      </c>
      <c r="I58" s="220" t="s">
        <v>1210</v>
      </c>
      <c r="J58" s="219" t="s">
        <v>1210</v>
      </c>
      <c r="K58" s="221" t="s">
        <v>1210</v>
      </c>
      <c r="L58" s="219" t="s">
        <v>1210</v>
      </c>
      <c r="M58" s="221" t="s">
        <v>1210</v>
      </c>
      <c r="N58" s="219" t="s">
        <v>1210</v>
      </c>
      <c r="O58" s="221" t="s">
        <v>1210</v>
      </c>
      <c r="P58" s="222" t="s">
        <v>1211</v>
      </c>
      <c r="Q58" s="223" t="s">
        <v>1212</v>
      </c>
      <c r="R58" s="223" t="s">
        <v>1212</v>
      </c>
      <c r="S58" s="222"/>
      <c r="T58" s="216"/>
    </row>
    <row r="59" spans="1:20">
      <c r="A59" s="216">
        <f t="shared" si="0"/>
        <v>52</v>
      </c>
      <c r="B59" s="224">
        <v>10</v>
      </c>
      <c r="C59" s="225" t="s">
        <v>1267</v>
      </c>
      <c r="D59" s="226" t="s">
        <v>1268</v>
      </c>
      <c r="E59" s="227" t="s">
        <v>1274</v>
      </c>
      <c r="F59" s="226" t="s">
        <v>1210</v>
      </c>
      <c r="G59" s="227" t="s">
        <v>1210</v>
      </c>
      <c r="H59" s="226" t="s">
        <v>1210</v>
      </c>
      <c r="I59" s="227" t="s">
        <v>1210</v>
      </c>
      <c r="J59" s="226" t="s">
        <v>1210</v>
      </c>
      <c r="K59" s="228" t="s">
        <v>1210</v>
      </c>
      <c r="L59" s="226" t="s">
        <v>1210</v>
      </c>
      <c r="M59" s="228" t="s">
        <v>1210</v>
      </c>
      <c r="N59" s="226" t="s">
        <v>1210</v>
      </c>
      <c r="O59" s="228" t="s">
        <v>1210</v>
      </c>
      <c r="P59" s="229" t="s">
        <v>1216</v>
      </c>
      <c r="Q59" s="230" t="s">
        <v>1267</v>
      </c>
      <c r="R59" s="230" t="s">
        <v>1271</v>
      </c>
      <c r="S59" s="222"/>
      <c r="T59" s="216"/>
    </row>
    <row r="60" spans="1:20">
      <c r="A60" s="216">
        <f t="shared" si="0"/>
        <v>53</v>
      </c>
      <c r="B60" s="224">
        <v>10</v>
      </c>
      <c r="C60" s="225" t="s">
        <v>1267</v>
      </c>
      <c r="D60" s="219" t="s">
        <v>1268</v>
      </c>
      <c r="E60" s="220" t="s">
        <v>1275</v>
      </c>
      <c r="F60" s="219" t="s">
        <v>1210</v>
      </c>
      <c r="G60" s="220" t="s">
        <v>1210</v>
      </c>
      <c r="H60" s="219" t="s">
        <v>1210</v>
      </c>
      <c r="I60" s="220" t="s">
        <v>1210</v>
      </c>
      <c r="J60" s="219" t="s">
        <v>1210</v>
      </c>
      <c r="K60" s="221" t="s">
        <v>1210</v>
      </c>
      <c r="L60" s="219" t="s">
        <v>1210</v>
      </c>
      <c r="M60" s="221" t="s">
        <v>1210</v>
      </c>
      <c r="N60" s="219" t="s">
        <v>1210</v>
      </c>
      <c r="O60" s="221" t="s">
        <v>1210</v>
      </c>
      <c r="P60" s="222" t="s">
        <v>1211</v>
      </c>
      <c r="Q60" s="223" t="s">
        <v>1212</v>
      </c>
      <c r="R60" s="223" t="s">
        <v>1212</v>
      </c>
      <c r="S60" s="222"/>
      <c r="T60" s="216"/>
    </row>
    <row r="61" spans="1:20">
      <c r="A61" s="216">
        <f t="shared" si="0"/>
        <v>54</v>
      </c>
      <c r="B61" s="231">
        <v>10</v>
      </c>
      <c r="C61" s="232" t="s">
        <v>1267</v>
      </c>
      <c r="D61" s="219" t="s">
        <v>1268</v>
      </c>
      <c r="E61" s="236" t="s">
        <v>1276</v>
      </c>
      <c r="F61" s="219" t="s">
        <v>1210</v>
      </c>
      <c r="G61" s="220" t="s">
        <v>1210</v>
      </c>
      <c r="H61" s="219" t="s">
        <v>1210</v>
      </c>
      <c r="I61" s="220" t="s">
        <v>1210</v>
      </c>
      <c r="J61" s="219" t="s">
        <v>1210</v>
      </c>
      <c r="K61" s="221" t="s">
        <v>1210</v>
      </c>
      <c r="L61" s="219" t="s">
        <v>1210</v>
      </c>
      <c r="M61" s="221" t="s">
        <v>1210</v>
      </c>
      <c r="N61" s="219" t="s">
        <v>1210</v>
      </c>
      <c r="O61" s="221" t="s">
        <v>1210</v>
      </c>
      <c r="P61" s="222" t="s">
        <v>1211</v>
      </c>
      <c r="Q61" s="223" t="s">
        <v>1212</v>
      </c>
      <c r="R61" s="223" t="s">
        <v>1212</v>
      </c>
      <c r="S61" s="222"/>
      <c r="T61" s="216"/>
    </row>
    <row r="62" spans="1:20">
      <c r="A62" s="216">
        <f t="shared" si="0"/>
        <v>55</v>
      </c>
      <c r="B62" s="217">
        <v>11</v>
      </c>
      <c r="C62" s="218" t="s">
        <v>1267</v>
      </c>
      <c r="D62" s="219" t="s">
        <v>1268</v>
      </c>
      <c r="E62" s="236" t="s">
        <v>1272</v>
      </c>
      <c r="F62" s="219" t="s">
        <v>1210</v>
      </c>
      <c r="G62" s="220" t="s">
        <v>1210</v>
      </c>
      <c r="H62" s="219" t="s">
        <v>1210</v>
      </c>
      <c r="I62" s="220" t="s">
        <v>1210</v>
      </c>
      <c r="J62" s="219" t="s">
        <v>1210</v>
      </c>
      <c r="K62" s="221" t="s">
        <v>1210</v>
      </c>
      <c r="L62" s="219" t="s">
        <v>1210</v>
      </c>
      <c r="M62" s="221" t="s">
        <v>1210</v>
      </c>
      <c r="N62" s="219" t="s">
        <v>1210</v>
      </c>
      <c r="O62" s="221" t="s">
        <v>1210</v>
      </c>
      <c r="P62" s="222" t="s">
        <v>1211</v>
      </c>
      <c r="Q62" s="223" t="s">
        <v>1212</v>
      </c>
      <c r="R62" s="223" t="s">
        <v>1212</v>
      </c>
      <c r="S62" s="222"/>
      <c r="T62" s="216"/>
    </row>
    <row r="63" spans="1:20">
      <c r="A63" s="216">
        <f t="shared" si="0"/>
        <v>56</v>
      </c>
      <c r="B63" s="224">
        <v>11</v>
      </c>
      <c r="C63" s="225" t="s">
        <v>1267</v>
      </c>
      <c r="D63" s="226" t="s">
        <v>1268</v>
      </c>
      <c r="E63" s="234" t="s">
        <v>1277</v>
      </c>
      <c r="F63" s="226" t="s">
        <v>1210</v>
      </c>
      <c r="G63" s="227" t="s">
        <v>1210</v>
      </c>
      <c r="H63" s="226" t="s">
        <v>1210</v>
      </c>
      <c r="I63" s="227" t="s">
        <v>1210</v>
      </c>
      <c r="J63" s="226" t="s">
        <v>1210</v>
      </c>
      <c r="K63" s="228" t="s">
        <v>1210</v>
      </c>
      <c r="L63" s="226" t="s">
        <v>1210</v>
      </c>
      <c r="M63" s="228" t="s">
        <v>1210</v>
      </c>
      <c r="N63" s="226" t="s">
        <v>1210</v>
      </c>
      <c r="O63" s="228" t="s">
        <v>1210</v>
      </c>
      <c r="P63" s="229" t="s">
        <v>1216</v>
      </c>
      <c r="Q63" s="230" t="s">
        <v>1267</v>
      </c>
      <c r="R63" s="230" t="s">
        <v>1271</v>
      </c>
      <c r="S63" s="222"/>
      <c r="T63" s="216"/>
    </row>
    <row r="64" spans="1:20">
      <c r="A64" s="216">
        <f t="shared" si="0"/>
        <v>57</v>
      </c>
      <c r="B64" s="231">
        <v>11</v>
      </c>
      <c r="C64" s="232" t="s">
        <v>1267</v>
      </c>
      <c r="D64" s="226" t="s">
        <v>1268</v>
      </c>
      <c r="E64" s="234" t="s">
        <v>1278</v>
      </c>
      <c r="F64" s="226" t="s">
        <v>1210</v>
      </c>
      <c r="G64" s="227" t="s">
        <v>1210</v>
      </c>
      <c r="H64" s="226" t="s">
        <v>1210</v>
      </c>
      <c r="I64" s="227" t="s">
        <v>1210</v>
      </c>
      <c r="J64" s="226" t="s">
        <v>1210</v>
      </c>
      <c r="K64" s="228" t="s">
        <v>1210</v>
      </c>
      <c r="L64" s="226" t="s">
        <v>1210</v>
      </c>
      <c r="M64" s="228" t="s">
        <v>1210</v>
      </c>
      <c r="N64" s="226" t="s">
        <v>1210</v>
      </c>
      <c r="O64" s="228" t="s">
        <v>1210</v>
      </c>
      <c r="P64" s="229" t="s">
        <v>1216</v>
      </c>
      <c r="Q64" s="230" t="s">
        <v>1267</v>
      </c>
      <c r="R64" s="230" t="s">
        <v>1271</v>
      </c>
      <c r="S64" s="222"/>
      <c r="T64" s="216"/>
    </row>
    <row r="65" spans="1:20">
      <c r="A65" s="216">
        <f t="shared" si="0"/>
        <v>58</v>
      </c>
      <c r="B65" s="217">
        <v>12</v>
      </c>
      <c r="C65" s="218" t="s">
        <v>1279</v>
      </c>
      <c r="D65" s="219" t="s">
        <v>556</v>
      </c>
      <c r="E65" s="236" t="s">
        <v>1280</v>
      </c>
      <c r="F65" s="219" t="s">
        <v>1212</v>
      </c>
      <c r="G65" s="220" t="s">
        <v>1212</v>
      </c>
      <c r="H65" s="219" t="s">
        <v>1212</v>
      </c>
      <c r="I65" s="220" t="s">
        <v>1212</v>
      </c>
      <c r="J65" s="219" t="s">
        <v>1212</v>
      </c>
      <c r="K65" s="221" t="s">
        <v>1212</v>
      </c>
      <c r="L65" s="219" t="s">
        <v>1212</v>
      </c>
      <c r="M65" s="221" t="s">
        <v>1212</v>
      </c>
      <c r="N65" s="219" t="s">
        <v>1212</v>
      </c>
      <c r="O65" s="221" t="s">
        <v>1212</v>
      </c>
      <c r="P65" s="222" t="s">
        <v>1281</v>
      </c>
      <c r="Q65" s="223" t="s">
        <v>1212</v>
      </c>
      <c r="R65" s="223" t="s">
        <v>1212</v>
      </c>
      <c r="S65" s="222"/>
      <c r="T65" s="216"/>
    </row>
    <row r="66" spans="1:20">
      <c r="A66" s="216">
        <f t="shared" si="0"/>
        <v>59</v>
      </c>
      <c r="B66" s="224">
        <v>12</v>
      </c>
      <c r="C66" s="225" t="s">
        <v>1279</v>
      </c>
      <c r="D66" s="219" t="s">
        <v>556</v>
      </c>
      <c r="E66" s="236" t="s">
        <v>1282</v>
      </c>
      <c r="F66" s="219" t="s">
        <v>1212</v>
      </c>
      <c r="G66" s="220" t="s">
        <v>1212</v>
      </c>
      <c r="H66" s="219" t="s">
        <v>1212</v>
      </c>
      <c r="I66" s="220" t="s">
        <v>1212</v>
      </c>
      <c r="J66" s="219" t="s">
        <v>1212</v>
      </c>
      <c r="K66" s="221" t="s">
        <v>1212</v>
      </c>
      <c r="L66" s="219" t="s">
        <v>1212</v>
      </c>
      <c r="M66" s="221" t="s">
        <v>1212</v>
      </c>
      <c r="N66" s="219" t="s">
        <v>1212</v>
      </c>
      <c r="O66" s="221" t="s">
        <v>1212</v>
      </c>
      <c r="P66" s="222" t="s">
        <v>1281</v>
      </c>
      <c r="Q66" s="223" t="s">
        <v>1212</v>
      </c>
      <c r="R66" s="223" t="s">
        <v>1212</v>
      </c>
      <c r="S66" s="222"/>
      <c r="T66" s="216"/>
    </row>
    <row r="67" spans="1:20">
      <c r="A67" s="216">
        <f t="shared" si="0"/>
        <v>60</v>
      </c>
      <c r="B67" s="224">
        <v>12</v>
      </c>
      <c r="C67" s="225" t="s">
        <v>1279</v>
      </c>
      <c r="D67" s="219" t="s">
        <v>556</v>
      </c>
      <c r="E67" s="236" t="s">
        <v>1283</v>
      </c>
      <c r="F67" s="219" t="s">
        <v>1212</v>
      </c>
      <c r="G67" s="220" t="s">
        <v>1212</v>
      </c>
      <c r="H67" s="219" t="s">
        <v>1212</v>
      </c>
      <c r="I67" s="220" t="s">
        <v>1212</v>
      </c>
      <c r="J67" s="219" t="s">
        <v>1212</v>
      </c>
      <c r="K67" s="221" t="s">
        <v>1212</v>
      </c>
      <c r="L67" s="219" t="s">
        <v>1212</v>
      </c>
      <c r="M67" s="221" t="s">
        <v>1212</v>
      </c>
      <c r="N67" s="219" t="s">
        <v>1212</v>
      </c>
      <c r="O67" s="221" t="s">
        <v>1212</v>
      </c>
      <c r="P67" s="222" t="s">
        <v>1281</v>
      </c>
      <c r="Q67" s="223" t="s">
        <v>1212</v>
      </c>
      <c r="R67" s="223" t="s">
        <v>1212</v>
      </c>
      <c r="S67" s="222"/>
      <c r="T67" s="216"/>
    </row>
    <row r="68" spans="1:20">
      <c r="A68" s="216">
        <f t="shared" si="0"/>
        <v>61</v>
      </c>
      <c r="B68" s="224">
        <v>12</v>
      </c>
      <c r="C68" s="225" t="s">
        <v>1279</v>
      </c>
      <c r="D68" s="219" t="s">
        <v>556</v>
      </c>
      <c r="E68" s="236" t="s">
        <v>1284</v>
      </c>
      <c r="F68" s="219" t="s">
        <v>1212</v>
      </c>
      <c r="G68" s="220" t="s">
        <v>1212</v>
      </c>
      <c r="H68" s="219" t="s">
        <v>1212</v>
      </c>
      <c r="I68" s="220" t="s">
        <v>1212</v>
      </c>
      <c r="J68" s="219" t="s">
        <v>1212</v>
      </c>
      <c r="K68" s="221" t="s">
        <v>1212</v>
      </c>
      <c r="L68" s="219" t="s">
        <v>1212</v>
      </c>
      <c r="M68" s="221" t="s">
        <v>1212</v>
      </c>
      <c r="N68" s="219" t="s">
        <v>1212</v>
      </c>
      <c r="O68" s="221" t="s">
        <v>1212</v>
      </c>
      <c r="P68" s="222" t="s">
        <v>1281</v>
      </c>
      <c r="Q68" s="223" t="s">
        <v>1212</v>
      </c>
      <c r="R68" s="223" t="s">
        <v>1212</v>
      </c>
      <c r="S68" s="222"/>
      <c r="T68" s="216"/>
    </row>
    <row r="69" spans="1:20">
      <c r="A69" s="216">
        <f t="shared" si="0"/>
        <v>62</v>
      </c>
      <c r="B69" s="224">
        <v>12</v>
      </c>
      <c r="C69" s="225" t="s">
        <v>1279</v>
      </c>
      <c r="D69" s="219" t="s">
        <v>556</v>
      </c>
      <c r="E69" s="236" t="s">
        <v>1285</v>
      </c>
      <c r="F69" s="219" t="s">
        <v>1212</v>
      </c>
      <c r="G69" s="220" t="s">
        <v>1212</v>
      </c>
      <c r="H69" s="219" t="s">
        <v>1212</v>
      </c>
      <c r="I69" s="220" t="s">
        <v>1212</v>
      </c>
      <c r="J69" s="219" t="s">
        <v>1212</v>
      </c>
      <c r="K69" s="221" t="s">
        <v>1212</v>
      </c>
      <c r="L69" s="219" t="s">
        <v>1212</v>
      </c>
      <c r="M69" s="221" t="s">
        <v>1212</v>
      </c>
      <c r="N69" s="219" t="s">
        <v>1212</v>
      </c>
      <c r="O69" s="221" t="s">
        <v>1212</v>
      </c>
      <c r="P69" s="222" t="s">
        <v>1281</v>
      </c>
      <c r="Q69" s="223" t="s">
        <v>1212</v>
      </c>
      <c r="R69" s="223" t="s">
        <v>1212</v>
      </c>
      <c r="S69" s="222"/>
      <c r="T69" s="216"/>
    </row>
    <row r="70" spans="1:20">
      <c r="A70" s="216">
        <f t="shared" si="0"/>
        <v>63</v>
      </c>
      <c r="B70" s="224">
        <v>12</v>
      </c>
      <c r="C70" s="225" t="s">
        <v>1279</v>
      </c>
      <c r="D70" s="219" t="s">
        <v>556</v>
      </c>
      <c r="E70" s="236" t="s">
        <v>1286</v>
      </c>
      <c r="F70" s="219" t="s">
        <v>1212</v>
      </c>
      <c r="G70" s="220" t="s">
        <v>1212</v>
      </c>
      <c r="H70" s="219" t="s">
        <v>1212</v>
      </c>
      <c r="I70" s="220" t="s">
        <v>1212</v>
      </c>
      <c r="J70" s="219" t="s">
        <v>1212</v>
      </c>
      <c r="K70" s="221" t="s">
        <v>1212</v>
      </c>
      <c r="L70" s="219" t="s">
        <v>1212</v>
      </c>
      <c r="M70" s="221" t="s">
        <v>1212</v>
      </c>
      <c r="N70" s="219" t="s">
        <v>1212</v>
      </c>
      <c r="O70" s="221" t="s">
        <v>1212</v>
      </c>
      <c r="P70" s="222" t="s">
        <v>1281</v>
      </c>
      <c r="Q70" s="223" t="s">
        <v>1212</v>
      </c>
      <c r="R70" s="223" t="s">
        <v>1212</v>
      </c>
      <c r="S70" s="222"/>
      <c r="T70" s="216"/>
    </row>
    <row r="71" spans="1:20">
      <c r="A71" s="216">
        <f t="shared" si="0"/>
        <v>64</v>
      </c>
      <c r="B71" s="224">
        <v>12</v>
      </c>
      <c r="C71" s="225" t="s">
        <v>1279</v>
      </c>
      <c r="D71" s="219" t="s">
        <v>556</v>
      </c>
      <c r="E71" s="236" t="s">
        <v>1287</v>
      </c>
      <c r="F71" s="219" t="s">
        <v>1212</v>
      </c>
      <c r="G71" s="220" t="s">
        <v>1212</v>
      </c>
      <c r="H71" s="219" t="s">
        <v>1212</v>
      </c>
      <c r="I71" s="220" t="s">
        <v>1212</v>
      </c>
      <c r="J71" s="219" t="s">
        <v>1212</v>
      </c>
      <c r="K71" s="221" t="s">
        <v>1212</v>
      </c>
      <c r="L71" s="219" t="s">
        <v>1212</v>
      </c>
      <c r="M71" s="221" t="s">
        <v>1212</v>
      </c>
      <c r="N71" s="219" t="s">
        <v>1212</v>
      </c>
      <c r="O71" s="221" t="s">
        <v>1212</v>
      </c>
      <c r="P71" s="222" t="s">
        <v>1281</v>
      </c>
      <c r="Q71" s="223" t="s">
        <v>1212</v>
      </c>
      <c r="R71" s="223" t="s">
        <v>1212</v>
      </c>
      <c r="S71" s="222"/>
      <c r="T71" s="216"/>
    </row>
    <row r="72" spans="1:20">
      <c r="A72" s="216">
        <f t="shared" si="0"/>
        <v>65</v>
      </c>
      <c r="B72" s="224">
        <v>12</v>
      </c>
      <c r="C72" s="225" t="s">
        <v>1279</v>
      </c>
      <c r="D72" s="219" t="s">
        <v>556</v>
      </c>
      <c r="E72" s="236" t="s">
        <v>1288</v>
      </c>
      <c r="F72" s="219" t="s">
        <v>1212</v>
      </c>
      <c r="G72" s="220" t="s">
        <v>1212</v>
      </c>
      <c r="H72" s="219" t="s">
        <v>1212</v>
      </c>
      <c r="I72" s="220" t="s">
        <v>1212</v>
      </c>
      <c r="J72" s="219" t="s">
        <v>1212</v>
      </c>
      <c r="K72" s="221" t="s">
        <v>1212</v>
      </c>
      <c r="L72" s="219" t="s">
        <v>1212</v>
      </c>
      <c r="M72" s="221" t="s">
        <v>1212</v>
      </c>
      <c r="N72" s="219" t="s">
        <v>1212</v>
      </c>
      <c r="O72" s="221" t="s">
        <v>1212</v>
      </c>
      <c r="P72" s="222" t="s">
        <v>1281</v>
      </c>
      <c r="Q72" s="223" t="s">
        <v>1212</v>
      </c>
      <c r="R72" s="223" t="s">
        <v>1212</v>
      </c>
      <c r="S72" s="222"/>
      <c r="T72" s="216"/>
    </row>
    <row r="73" spans="1:20">
      <c r="A73" s="216">
        <f t="shared" si="0"/>
        <v>66</v>
      </c>
      <c r="B73" s="224">
        <v>12</v>
      </c>
      <c r="C73" s="225" t="s">
        <v>1279</v>
      </c>
      <c r="D73" s="219" t="s">
        <v>556</v>
      </c>
      <c r="E73" s="236" t="s">
        <v>1289</v>
      </c>
      <c r="F73" s="219" t="s">
        <v>1212</v>
      </c>
      <c r="G73" s="220" t="s">
        <v>1212</v>
      </c>
      <c r="H73" s="219" t="s">
        <v>1212</v>
      </c>
      <c r="I73" s="220" t="s">
        <v>1212</v>
      </c>
      <c r="J73" s="219" t="s">
        <v>1212</v>
      </c>
      <c r="K73" s="221" t="s">
        <v>1212</v>
      </c>
      <c r="L73" s="219" t="s">
        <v>1212</v>
      </c>
      <c r="M73" s="221" t="s">
        <v>1212</v>
      </c>
      <c r="N73" s="219" t="s">
        <v>1212</v>
      </c>
      <c r="O73" s="221" t="s">
        <v>1212</v>
      </c>
      <c r="P73" s="222" t="s">
        <v>1281</v>
      </c>
      <c r="Q73" s="223" t="s">
        <v>1212</v>
      </c>
      <c r="R73" s="223" t="s">
        <v>1212</v>
      </c>
      <c r="S73" s="222"/>
      <c r="T73" s="216"/>
    </row>
    <row r="74" spans="1:20">
      <c r="A74" s="216">
        <f t="shared" si="0"/>
        <v>67</v>
      </c>
      <c r="B74" s="224">
        <v>12</v>
      </c>
      <c r="C74" s="225" t="s">
        <v>1279</v>
      </c>
      <c r="D74" s="219" t="s">
        <v>556</v>
      </c>
      <c r="E74" s="236" t="s">
        <v>1290</v>
      </c>
      <c r="F74" s="219" t="s">
        <v>1212</v>
      </c>
      <c r="G74" s="220" t="s">
        <v>1212</v>
      </c>
      <c r="H74" s="219" t="s">
        <v>1212</v>
      </c>
      <c r="I74" s="220" t="s">
        <v>1212</v>
      </c>
      <c r="J74" s="219" t="s">
        <v>1212</v>
      </c>
      <c r="K74" s="221" t="s">
        <v>1212</v>
      </c>
      <c r="L74" s="219" t="s">
        <v>1212</v>
      </c>
      <c r="M74" s="221" t="s">
        <v>1212</v>
      </c>
      <c r="N74" s="219" t="s">
        <v>1212</v>
      </c>
      <c r="O74" s="221" t="s">
        <v>1212</v>
      </c>
      <c r="P74" s="222" t="s">
        <v>1281</v>
      </c>
      <c r="Q74" s="223" t="s">
        <v>1212</v>
      </c>
      <c r="R74" s="223" t="s">
        <v>1212</v>
      </c>
      <c r="S74" s="222"/>
      <c r="T74" s="216"/>
    </row>
    <row r="75" spans="1:20">
      <c r="A75" s="216">
        <f t="shared" si="0"/>
        <v>68</v>
      </c>
      <c r="B75" s="224">
        <v>12</v>
      </c>
      <c r="C75" s="225" t="s">
        <v>1279</v>
      </c>
      <c r="D75" s="219" t="s">
        <v>556</v>
      </c>
      <c r="E75" s="236" t="s">
        <v>1291</v>
      </c>
      <c r="F75" s="219" t="s">
        <v>1212</v>
      </c>
      <c r="G75" s="220" t="s">
        <v>1212</v>
      </c>
      <c r="H75" s="219" t="s">
        <v>1212</v>
      </c>
      <c r="I75" s="220" t="s">
        <v>1212</v>
      </c>
      <c r="J75" s="219" t="s">
        <v>1212</v>
      </c>
      <c r="K75" s="221" t="s">
        <v>1212</v>
      </c>
      <c r="L75" s="219" t="s">
        <v>1212</v>
      </c>
      <c r="M75" s="221" t="s">
        <v>1212</v>
      </c>
      <c r="N75" s="219" t="s">
        <v>1212</v>
      </c>
      <c r="O75" s="221" t="s">
        <v>1212</v>
      </c>
      <c r="P75" s="222" t="s">
        <v>1281</v>
      </c>
      <c r="Q75" s="223" t="s">
        <v>1212</v>
      </c>
      <c r="R75" s="223" t="s">
        <v>1212</v>
      </c>
      <c r="S75" s="222"/>
      <c r="T75" s="216"/>
    </row>
    <row r="76" spans="1:20">
      <c r="A76" s="216">
        <f t="shared" si="0"/>
        <v>69</v>
      </c>
      <c r="B76" s="224">
        <v>12</v>
      </c>
      <c r="C76" s="225" t="s">
        <v>1279</v>
      </c>
      <c r="D76" s="219" t="s">
        <v>556</v>
      </c>
      <c r="E76" s="236" t="s">
        <v>1292</v>
      </c>
      <c r="F76" s="219" t="s">
        <v>1212</v>
      </c>
      <c r="G76" s="220" t="s">
        <v>1212</v>
      </c>
      <c r="H76" s="219" t="s">
        <v>1212</v>
      </c>
      <c r="I76" s="220" t="s">
        <v>1212</v>
      </c>
      <c r="J76" s="219" t="s">
        <v>1212</v>
      </c>
      <c r="K76" s="221" t="s">
        <v>1212</v>
      </c>
      <c r="L76" s="219" t="s">
        <v>1212</v>
      </c>
      <c r="M76" s="221" t="s">
        <v>1212</v>
      </c>
      <c r="N76" s="219" t="s">
        <v>1212</v>
      </c>
      <c r="O76" s="221" t="s">
        <v>1212</v>
      </c>
      <c r="P76" s="222" t="s">
        <v>1281</v>
      </c>
      <c r="Q76" s="223" t="s">
        <v>1212</v>
      </c>
      <c r="R76" s="223" t="s">
        <v>1212</v>
      </c>
      <c r="S76" s="222"/>
      <c r="T76" s="216"/>
    </row>
    <row r="77" spans="1:20">
      <c r="A77" s="216">
        <f t="shared" si="0"/>
        <v>70</v>
      </c>
      <c r="B77" s="224">
        <v>12</v>
      </c>
      <c r="C77" s="225" t="s">
        <v>1279</v>
      </c>
      <c r="D77" s="219" t="s">
        <v>556</v>
      </c>
      <c r="E77" s="236" t="s">
        <v>1293</v>
      </c>
      <c r="F77" s="219" t="s">
        <v>1212</v>
      </c>
      <c r="G77" s="220" t="s">
        <v>1212</v>
      </c>
      <c r="H77" s="219" t="s">
        <v>1212</v>
      </c>
      <c r="I77" s="220" t="s">
        <v>1212</v>
      </c>
      <c r="J77" s="219" t="s">
        <v>1212</v>
      </c>
      <c r="K77" s="221" t="s">
        <v>1212</v>
      </c>
      <c r="L77" s="219" t="s">
        <v>1212</v>
      </c>
      <c r="M77" s="221" t="s">
        <v>1212</v>
      </c>
      <c r="N77" s="219" t="s">
        <v>1212</v>
      </c>
      <c r="O77" s="221" t="s">
        <v>1212</v>
      </c>
      <c r="P77" s="222" t="s">
        <v>1281</v>
      </c>
      <c r="Q77" s="223" t="s">
        <v>1212</v>
      </c>
      <c r="R77" s="223" t="s">
        <v>1212</v>
      </c>
      <c r="S77" s="222"/>
      <c r="T77" s="216"/>
    </row>
    <row r="78" spans="1:20">
      <c r="A78" s="216">
        <f t="shared" si="0"/>
        <v>71</v>
      </c>
      <c r="B78" s="224">
        <v>12</v>
      </c>
      <c r="C78" s="225" t="s">
        <v>1279</v>
      </c>
      <c r="D78" s="219" t="s">
        <v>556</v>
      </c>
      <c r="E78" s="236" t="s">
        <v>1294</v>
      </c>
      <c r="F78" s="219" t="s">
        <v>1212</v>
      </c>
      <c r="G78" s="220" t="s">
        <v>1212</v>
      </c>
      <c r="H78" s="219" t="s">
        <v>1212</v>
      </c>
      <c r="I78" s="220" t="s">
        <v>1212</v>
      </c>
      <c r="J78" s="219" t="s">
        <v>1212</v>
      </c>
      <c r="K78" s="221" t="s">
        <v>1212</v>
      </c>
      <c r="L78" s="219" t="s">
        <v>1212</v>
      </c>
      <c r="M78" s="221" t="s">
        <v>1212</v>
      </c>
      <c r="N78" s="219" t="s">
        <v>1212</v>
      </c>
      <c r="O78" s="221" t="s">
        <v>1212</v>
      </c>
      <c r="P78" s="222" t="s">
        <v>1281</v>
      </c>
      <c r="Q78" s="223" t="s">
        <v>1212</v>
      </c>
      <c r="R78" s="223" t="s">
        <v>1212</v>
      </c>
      <c r="S78" s="222"/>
      <c r="T78" s="216"/>
    </row>
    <row r="79" spans="1:20">
      <c r="A79" s="216">
        <f t="shared" si="0"/>
        <v>72</v>
      </c>
      <c r="B79" s="224">
        <v>12</v>
      </c>
      <c r="C79" s="225" t="s">
        <v>1279</v>
      </c>
      <c r="D79" s="219" t="s">
        <v>556</v>
      </c>
      <c r="E79" s="236" t="s">
        <v>1295</v>
      </c>
      <c r="F79" s="219" t="s">
        <v>1212</v>
      </c>
      <c r="G79" s="220" t="s">
        <v>1212</v>
      </c>
      <c r="H79" s="219" t="s">
        <v>1212</v>
      </c>
      <c r="I79" s="220" t="s">
        <v>1212</v>
      </c>
      <c r="J79" s="219" t="s">
        <v>1212</v>
      </c>
      <c r="K79" s="221" t="s">
        <v>1212</v>
      </c>
      <c r="L79" s="219" t="s">
        <v>1212</v>
      </c>
      <c r="M79" s="221" t="s">
        <v>1212</v>
      </c>
      <c r="N79" s="219" t="s">
        <v>1212</v>
      </c>
      <c r="O79" s="221" t="s">
        <v>1212</v>
      </c>
      <c r="P79" s="222" t="s">
        <v>1281</v>
      </c>
      <c r="Q79" s="223" t="s">
        <v>1212</v>
      </c>
      <c r="R79" s="223" t="s">
        <v>1212</v>
      </c>
      <c r="S79" s="222"/>
      <c r="T79" s="216"/>
    </row>
    <row r="80" spans="1:20">
      <c r="A80" s="216">
        <f t="shared" si="0"/>
        <v>73</v>
      </c>
      <c r="B80" s="224">
        <v>12</v>
      </c>
      <c r="C80" s="225" t="s">
        <v>1279</v>
      </c>
      <c r="D80" s="219" t="s">
        <v>556</v>
      </c>
      <c r="E80" s="236" t="s">
        <v>1296</v>
      </c>
      <c r="F80" s="219" t="s">
        <v>1212</v>
      </c>
      <c r="G80" s="220" t="s">
        <v>1212</v>
      </c>
      <c r="H80" s="219" t="s">
        <v>1212</v>
      </c>
      <c r="I80" s="220" t="s">
        <v>1212</v>
      </c>
      <c r="J80" s="219" t="s">
        <v>1212</v>
      </c>
      <c r="K80" s="221" t="s">
        <v>1212</v>
      </c>
      <c r="L80" s="219" t="s">
        <v>1212</v>
      </c>
      <c r="M80" s="221" t="s">
        <v>1212</v>
      </c>
      <c r="N80" s="219" t="s">
        <v>1212</v>
      </c>
      <c r="O80" s="221" t="s">
        <v>1212</v>
      </c>
      <c r="P80" s="222" t="s">
        <v>1281</v>
      </c>
      <c r="Q80" s="223" t="s">
        <v>1212</v>
      </c>
      <c r="R80" s="223" t="s">
        <v>1212</v>
      </c>
      <c r="S80" s="222"/>
      <c r="T80" s="216"/>
    </row>
    <row r="81" spans="1:20">
      <c r="A81" s="216">
        <f t="shared" si="0"/>
        <v>74</v>
      </c>
      <c r="B81" s="224">
        <v>12</v>
      </c>
      <c r="C81" s="225" t="s">
        <v>1279</v>
      </c>
      <c r="D81" s="219" t="s">
        <v>556</v>
      </c>
      <c r="E81" s="236" t="s">
        <v>1297</v>
      </c>
      <c r="F81" s="219" t="s">
        <v>1212</v>
      </c>
      <c r="G81" s="220" t="s">
        <v>1212</v>
      </c>
      <c r="H81" s="219" t="s">
        <v>1212</v>
      </c>
      <c r="I81" s="220" t="s">
        <v>1212</v>
      </c>
      <c r="J81" s="219" t="s">
        <v>1212</v>
      </c>
      <c r="K81" s="221" t="s">
        <v>1212</v>
      </c>
      <c r="L81" s="219" t="s">
        <v>1212</v>
      </c>
      <c r="M81" s="221" t="s">
        <v>1212</v>
      </c>
      <c r="N81" s="219" t="s">
        <v>1212</v>
      </c>
      <c r="O81" s="221" t="s">
        <v>1212</v>
      </c>
      <c r="P81" s="222" t="s">
        <v>1281</v>
      </c>
      <c r="Q81" s="223" t="s">
        <v>1212</v>
      </c>
      <c r="R81" s="223" t="s">
        <v>1212</v>
      </c>
      <c r="S81" s="222"/>
      <c r="T81" s="216"/>
    </row>
    <row r="82" spans="1:20">
      <c r="A82" s="216">
        <f t="shared" si="0"/>
        <v>75</v>
      </c>
      <c r="B82" s="224">
        <v>12</v>
      </c>
      <c r="C82" s="225" t="s">
        <v>1279</v>
      </c>
      <c r="D82" s="219" t="s">
        <v>556</v>
      </c>
      <c r="E82" s="236" t="s">
        <v>1298</v>
      </c>
      <c r="F82" s="219" t="s">
        <v>1212</v>
      </c>
      <c r="G82" s="220" t="s">
        <v>1212</v>
      </c>
      <c r="H82" s="219" t="s">
        <v>1212</v>
      </c>
      <c r="I82" s="220" t="s">
        <v>1212</v>
      </c>
      <c r="J82" s="219" t="s">
        <v>1212</v>
      </c>
      <c r="K82" s="221" t="s">
        <v>1212</v>
      </c>
      <c r="L82" s="219" t="s">
        <v>1212</v>
      </c>
      <c r="M82" s="221" t="s">
        <v>1212</v>
      </c>
      <c r="N82" s="219" t="s">
        <v>1212</v>
      </c>
      <c r="O82" s="221" t="s">
        <v>1212</v>
      </c>
      <c r="P82" s="222" t="s">
        <v>1281</v>
      </c>
      <c r="Q82" s="223" t="s">
        <v>1212</v>
      </c>
      <c r="R82" s="223" t="s">
        <v>1212</v>
      </c>
      <c r="S82" s="222"/>
      <c r="T82" s="216"/>
    </row>
    <row r="83" spans="1:20">
      <c r="A83" s="216">
        <f t="shared" si="0"/>
        <v>76</v>
      </c>
      <c r="B83" s="224">
        <v>12</v>
      </c>
      <c r="C83" s="225" t="s">
        <v>1279</v>
      </c>
      <c r="D83" s="219" t="s">
        <v>556</v>
      </c>
      <c r="E83" s="236" t="s">
        <v>1299</v>
      </c>
      <c r="F83" s="219" t="s">
        <v>1212</v>
      </c>
      <c r="G83" s="220" t="s">
        <v>1212</v>
      </c>
      <c r="H83" s="219" t="s">
        <v>1212</v>
      </c>
      <c r="I83" s="220" t="s">
        <v>1212</v>
      </c>
      <c r="J83" s="219" t="s">
        <v>1212</v>
      </c>
      <c r="K83" s="221" t="s">
        <v>1212</v>
      </c>
      <c r="L83" s="219" t="s">
        <v>1212</v>
      </c>
      <c r="M83" s="221" t="s">
        <v>1212</v>
      </c>
      <c r="N83" s="219" t="s">
        <v>1212</v>
      </c>
      <c r="O83" s="221" t="s">
        <v>1212</v>
      </c>
      <c r="P83" s="222" t="s">
        <v>1281</v>
      </c>
      <c r="Q83" s="223" t="s">
        <v>1212</v>
      </c>
      <c r="R83" s="223" t="s">
        <v>1212</v>
      </c>
      <c r="S83" s="222"/>
      <c r="T83" s="216"/>
    </row>
    <row r="84" spans="1:20">
      <c r="A84" s="216">
        <f t="shared" si="0"/>
        <v>77</v>
      </c>
      <c r="B84" s="224">
        <v>12</v>
      </c>
      <c r="C84" s="225" t="s">
        <v>1279</v>
      </c>
      <c r="D84" s="226" t="s">
        <v>556</v>
      </c>
      <c r="E84" s="234" t="s">
        <v>1300</v>
      </c>
      <c r="F84" s="226" t="s">
        <v>1212</v>
      </c>
      <c r="G84" s="227" t="s">
        <v>1212</v>
      </c>
      <c r="H84" s="226" t="s">
        <v>1212</v>
      </c>
      <c r="I84" s="227" t="s">
        <v>1212</v>
      </c>
      <c r="J84" s="226" t="s">
        <v>1212</v>
      </c>
      <c r="K84" s="228" t="s">
        <v>1212</v>
      </c>
      <c r="L84" s="226" t="s">
        <v>1212</v>
      </c>
      <c r="M84" s="228" t="s">
        <v>1212</v>
      </c>
      <c r="N84" s="226" t="s">
        <v>1212</v>
      </c>
      <c r="O84" s="228" t="s">
        <v>1212</v>
      </c>
      <c r="P84" s="229" t="s">
        <v>1228</v>
      </c>
      <c r="Q84" s="230" t="s">
        <v>1279</v>
      </c>
      <c r="R84" s="230" t="s">
        <v>1271</v>
      </c>
      <c r="S84" s="222"/>
      <c r="T84" s="216"/>
    </row>
    <row r="85" spans="1:20">
      <c r="A85" s="216">
        <f t="shared" si="0"/>
        <v>78</v>
      </c>
      <c r="B85" s="224">
        <v>12</v>
      </c>
      <c r="C85" s="225" t="s">
        <v>1279</v>
      </c>
      <c r="D85" s="219" t="s">
        <v>556</v>
      </c>
      <c r="E85" s="236" t="s">
        <v>1301</v>
      </c>
      <c r="F85" s="219" t="s">
        <v>1212</v>
      </c>
      <c r="G85" s="220" t="s">
        <v>1212</v>
      </c>
      <c r="H85" s="219" t="s">
        <v>1212</v>
      </c>
      <c r="I85" s="220" t="s">
        <v>1212</v>
      </c>
      <c r="J85" s="219" t="s">
        <v>1212</v>
      </c>
      <c r="K85" s="221" t="s">
        <v>1212</v>
      </c>
      <c r="L85" s="219" t="s">
        <v>1212</v>
      </c>
      <c r="M85" s="221" t="s">
        <v>1212</v>
      </c>
      <c r="N85" s="219" t="s">
        <v>1212</v>
      </c>
      <c r="O85" s="221" t="s">
        <v>1212</v>
      </c>
      <c r="P85" s="222" t="s">
        <v>1281</v>
      </c>
      <c r="Q85" s="223" t="s">
        <v>1212</v>
      </c>
      <c r="R85" s="223" t="s">
        <v>1212</v>
      </c>
      <c r="S85" s="222"/>
      <c r="T85" s="216"/>
    </row>
    <row r="86" spans="1:20">
      <c r="A86" s="216">
        <f t="shared" si="0"/>
        <v>79</v>
      </c>
      <c r="B86" s="224">
        <v>12</v>
      </c>
      <c r="C86" s="225" t="s">
        <v>1279</v>
      </c>
      <c r="D86" s="219" t="s">
        <v>556</v>
      </c>
      <c r="E86" s="236" t="s">
        <v>1302</v>
      </c>
      <c r="F86" s="219" t="s">
        <v>1212</v>
      </c>
      <c r="G86" s="220" t="s">
        <v>1212</v>
      </c>
      <c r="H86" s="219" t="s">
        <v>1212</v>
      </c>
      <c r="I86" s="220" t="s">
        <v>1212</v>
      </c>
      <c r="J86" s="219" t="s">
        <v>1212</v>
      </c>
      <c r="K86" s="221" t="s">
        <v>1212</v>
      </c>
      <c r="L86" s="219" t="s">
        <v>1212</v>
      </c>
      <c r="M86" s="221" t="s">
        <v>1212</v>
      </c>
      <c r="N86" s="219" t="s">
        <v>1212</v>
      </c>
      <c r="O86" s="221" t="s">
        <v>1212</v>
      </c>
      <c r="P86" s="222" t="s">
        <v>1281</v>
      </c>
      <c r="Q86" s="223" t="s">
        <v>1212</v>
      </c>
      <c r="R86" s="223" t="s">
        <v>1212</v>
      </c>
      <c r="S86" s="222"/>
      <c r="T86" s="216"/>
    </row>
    <row r="87" spans="1:20">
      <c r="A87" s="216">
        <f t="shared" ref="A87:A150" si="1">ROW()-7</f>
        <v>80</v>
      </c>
      <c r="B87" s="224">
        <v>12</v>
      </c>
      <c r="C87" s="225" t="s">
        <v>1279</v>
      </c>
      <c r="D87" s="219" t="s">
        <v>556</v>
      </c>
      <c r="E87" s="236" t="s">
        <v>1303</v>
      </c>
      <c r="F87" s="219" t="s">
        <v>1212</v>
      </c>
      <c r="G87" s="220" t="s">
        <v>1212</v>
      </c>
      <c r="H87" s="219" t="s">
        <v>1212</v>
      </c>
      <c r="I87" s="220" t="s">
        <v>1212</v>
      </c>
      <c r="J87" s="219" t="s">
        <v>1212</v>
      </c>
      <c r="K87" s="221" t="s">
        <v>1212</v>
      </c>
      <c r="L87" s="219" t="s">
        <v>1212</v>
      </c>
      <c r="M87" s="221" t="s">
        <v>1212</v>
      </c>
      <c r="N87" s="219" t="s">
        <v>1212</v>
      </c>
      <c r="O87" s="221" t="s">
        <v>1212</v>
      </c>
      <c r="P87" s="222" t="s">
        <v>1281</v>
      </c>
      <c r="Q87" s="223" t="s">
        <v>1212</v>
      </c>
      <c r="R87" s="223" t="s">
        <v>1212</v>
      </c>
      <c r="S87" s="222"/>
      <c r="T87" s="216"/>
    </row>
    <row r="88" spans="1:20">
      <c r="A88" s="216">
        <f t="shared" si="1"/>
        <v>81</v>
      </c>
      <c r="B88" s="224">
        <v>12</v>
      </c>
      <c r="C88" s="225" t="s">
        <v>1279</v>
      </c>
      <c r="D88" s="219" t="s">
        <v>556</v>
      </c>
      <c r="E88" s="236" t="s">
        <v>1304</v>
      </c>
      <c r="F88" s="219" t="s">
        <v>1212</v>
      </c>
      <c r="G88" s="220" t="s">
        <v>1212</v>
      </c>
      <c r="H88" s="219" t="s">
        <v>1212</v>
      </c>
      <c r="I88" s="220" t="s">
        <v>1212</v>
      </c>
      <c r="J88" s="219" t="s">
        <v>1212</v>
      </c>
      <c r="K88" s="221" t="s">
        <v>1212</v>
      </c>
      <c r="L88" s="219" t="s">
        <v>1212</v>
      </c>
      <c r="M88" s="221" t="s">
        <v>1212</v>
      </c>
      <c r="N88" s="219" t="s">
        <v>1212</v>
      </c>
      <c r="O88" s="221" t="s">
        <v>1212</v>
      </c>
      <c r="P88" s="222" t="s">
        <v>1281</v>
      </c>
      <c r="Q88" s="223" t="s">
        <v>1212</v>
      </c>
      <c r="R88" s="223" t="s">
        <v>1212</v>
      </c>
      <c r="S88" s="222"/>
      <c r="T88" s="216"/>
    </row>
    <row r="89" spans="1:20">
      <c r="A89" s="216">
        <f t="shared" si="1"/>
        <v>82</v>
      </c>
      <c r="B89" s="224">
        <v>12</v>
      </c>
      <c r="C89" s="225" t="s">
        <v>1279</v>
      </c>
      <c r="D89" s="219" t="s">
        <v>556</v>
      </c>
      <c r="E89" s="236" t="s">
        <v>1305</v>
      </c>
      <c r="F89" s="219" t="s">
        <v>1212</v>
      </c>
      <c r="G89" s="220" t="s">
        <v>1212</v>
      </c>
      <c r="H89" s="219" t="s">
        <v>1212</v>
      </c>
      <c r="I89" s="220" t="s">
        <v>1212</v>
      </c>
      <c r="J89" s="219" t="s">
        <v>1212</v>
      </c>
      <c r="K89" s="221" t="s">
        <v>1212</v>
      </c>
      <c r="L89" s="219" t="s">
        <v>1212</v>
      </c>
      <c r="M89" s="221" t="s">
        <v>1212</v>
      </c>
      <c r="N89" s="219" t="s">
        <v>1212</v>
      </c>
      <c r="O89" s="221" t="s">
        <v>1212</v>
      </c>
      <c r="P89" s="222" t="s">
        <v>1281</v>
      </c>
      <c r="Q89" s="223" t="s">
        <v>1212</v>
      </c>
      <c r="R89" s="223" t="s">
        <v>1212</v>
      </c>
      <c r="S89" s="222"/>
      <c r="T89" s="216"/>
    </row>
    <row r="90" spans="1:20">
      <c r="A90" s="216">
        <f t="shared" si="1"/>
        <v>83</v>
      </c>
      <c r="B90" s="224">
        <v>12</v>
      </c>
      <c r="C90" s="225" t="s">
        <v>1279</v>
      </c>
      <c r="D90" s="219" t="s">
        <v>556</v>
      </c>
      <c r="E90" s="236" t="s">
        <v>1306</v>
      </c>
      <c r="F90" s="219" t="s">
        <v>1212</v>
      </c>
      <c r="G90" s="220" t="s">
        <v>1212</v>
      </c>
      <c r="H90" s="219" t="s">
        <v>1212</v>
      </c>
      <c r="I90" s="220" t="s">
        <v>1212</v>
      </c>
      <c r="J90" s="219" t="s">
        <v>1212</v>
      </c>
      <c r="K90" s="221" t="s">
        <v>1212</v>
      </c>
      <c r="L90" s="219" t="s">
        <v>1212</v>
      </c>
      <c r="M90" s="221" t="s">
        <v>1212</v>
      </c>
      <c r="N90" s="219" t="s">
        <v>1212</v>
      </c>
      <c r="O90" s="221" t="s">
        <v>1212</v>
      </c>
      <c r="P90" s="222" t="s">
        <v>1281</v>
      </c>
      <c r="Q90" s="223" t="s">
        <v>1212</v>
      </c>
      <c r="R90" s="223" t="s">
        <v>1212</v>
      </c>
      <c r="S90" s="222"/>
      <c r="T90" s="216"/>
    </row>
    <row r="91" spans="1:20">
      <c r="A91" s="216">
        <f t="shared" si="1"/>
        <v>84</v>
      </c>
      <c r="B91" s="224">
        <v>12</v>
      </c>
      <c r="C91" s="225" t="s">
        <v>1279</v>
      </c>
      <c r="D91" s="219" t="s">
        <v>556</v>
      </c>
      <c r="E91" s="236" t="s">
        <v>1307</v>
      </c>
      <c r="F91" s="219" t="s">
        <v>1212</v>
      </c>
      <c r="G91" s="220" t="s">
        <v>1212</v>
      </c>
      <c r="H91" s="219" t="s">
        <v>1212</v>
      </c>
      <c r="I91" s="220" t="s">
        <v>1212</v>
      </c>
      <c r="J91" s="219" t="s">
        <v>1212</v>
      </c>
      <c r="K91" s="221" t="s">
        <v>1212</v>
      </c>
      <c r="L91" s="219" t="s">
        <v>1212</v>
      </c>
      <c r="M91" s="221" t="s">
        <v>1212</v>
      </c>
      <c r="N91" s="219" t="s">
        <v>1212</v>
      </c>
      <c r="O91" s="221" t="s">
        <v>1212</v>
      </c>
      <c r="P91" s="222" t="s">
        <v>1281</v>
      </c>
      <c r="Q91" s="223" t="s">
        <v>1212</v>
      </c>
      <c r="R91" s="223" t="s">
        <v>1212</v>
      </c>
      <c r="S91" s="222"/>
      <c r="T91" s="216"/>
    </row>
    <row r="92" spans="1:20">
      <c r="A92" s="216">
        <f t="shared" si="1"/>
        <v>85</v>
      </c>
      <c r="B92" s="224">
        <v>12</v>
      </c>
      <c r="C92" s="225" t="s">
        <v>1279</v>
      </c>
      <c r="D92" s="219" t="s">
        <v>556</v>
      </c>
      <c r="E92" s="236" t="s">
        <v>1308</v>
      </c>
      <c r="F92" s="219" t="s">
        <v>1212</v>
      </c>
      <c r="G92" s="220" t="s">
        <v>1212</v>
      </c>
      <c r="H92" s="219" t="s">
        <v>1212</v>
      </c>
      <c r="I92" s="220" t="s">
        <v>1212</v>
      </c>
      <c r="J92" s="219" t="s">
        <v>1212</v>
      </c>
      <c r="K92" s="221" t="s">
        <v>1212</v>
      </c>
      <c r="L92" s="219" t="s">
        <v>1212</v>
      </c>
      <c r="M92" s="221" t="s">
        <v>1212</v>
      </c>
      <c r="N92" s="219" t="s">
        <v>1212</v>
      </c>
      <c r="O92" s="221" t="s">
        <v>1212</v>
      </c>
      <c r="P92" s="222" t="s">
        <v>1281</v>
      </c>
      <c r="Q92" s="223" t="s">
        <v>1212</v>
      </c>
      <c r="R92" s="223" t="s">
        <v>1212</v>
      </c>
      <c r="S92" s="222"/>
      <c r="T92" s="216"/>
    </row>
    <row r="93" spans="1:20">
      <c r="A93" s="216">
        <f t="shared" si="1"/>
        <v>86</v>
      </c>
      <c r="B93" s="224">
        <v>12</v>
      </c>
      <c r="C93" s="225" t="s">
        <v>1279</v>
      </c>
      <c r="D93" s="219" t="s">
        <v>556</v>
      </c>
      <c r="E93" s="236" t="s">
        <v>1309</v>
      </c>
      <c r="F93" s="219" t="s">
        <v>1212</v>
      </c>
      <c r="G93" s="220" t="s">
        <v>1212</v>
      </c>
      <c r="H93" s="219" t="s">
        <v>1212</v>
      </c>
      <c r="I93" s="220" t="s">
        <v>1212</v>
      </c>
      <c r="J93" s="219" t="s">
        <v>1212</v>
      </c>
      <c r="K93" s="221" t="s">
        <v>1212</v>
      </c>
      <c r="L93" s="219" t="s">
        <v>1212</v>
      </c>
      <c r="M93" s="221" t="s">
        <v>1212</v>
      </c>
      <c r="N93" s="219" t="s">
        <v>1212</v>
      </c>
      <c r="O93" s="221" t="s">
        <v>1212</v>
      </c>
      <c r="P93" s="222" t="s">
        <v>1281</v>
      </c>
      <c r="Q93" s="223" t="s">
        <v>1212</v>
      </c>
      <c r="R93" s="223" t="s">
        <v>1212</v>
      </c>
      <c r="S93" s="222"/>
      <c r="T93" s="216"/>
    </row>
    <row r="94" spans="1:20">
      <c r="A94" s="216">
        <f t="shared" si="1"/>
        <v>87</v>
      </c>
      <c r="B94" s="224">
        <v>12</v>
      </c>
      <c r="C94" s="225" t="s">
        <v>1279</v>
      </c>
      <c r="D94" s="219" t="s">
        <v>556</v>
      </c>
      <c r="E94" s="236" t="s">
        <v>1310</v>
      </c>
      <c r="F94" s="219" t="s">
        <v>1212</v>
      </c>
      <c r="G94" s="220" t="s">
        <v>1212</v>
      </c>
      <c r="H94" s="219" t="s">
        <v>1212</v>
      </c>
      <c r="I94" s="220" t="s">
        <v>1212</v>
      </c>
      <c r="J94" s="219" t="s">
        <v>1212</v>
      </c>
      <c r="K94" s="221" t="s">
        <v>1212</v>
      </c>
      <c r="L94" s="219" t="s">
        <v>1212</v>
      </c>
      <c r="M94" s="221" t="s">
        <v>1212</v>
      </c>
      <c r="N94" s="219" t="s">
        <v>1212</v>
      </c>
      <c r="O94" s="221" t="s">
        <v>1212</v>
      </c>
      <c r="P94" s="222" t="s">
        <v>1281</v>
      </c>
      <c r="Q94" s="223" t="s">
        <v>1212</v>
      </c>
      <c r="R94" s="223" t="s">
        <v>1212</v>
      </c>
      <c r="S94" s="222"/>
      <c r="T94" s="216"/>
    </row>
    <row r="95" spans="1:20">
      <c r="A95" s="216">
        <f t="shared" si="1"/>
        <v>88</v>
      </c>
      <c r="B95" s="224">
        <v>12</v>
      </c>
      <c r="C95" s="225" t="s">
        <v>1279</v>
      </c>
      <c r="D95" s="219" t="s">
        <v>556</v>
      </c>
      <c r="E95" s="236" t="s">
        <v>1311</v>
      </c>
      <c r="F95" s="219" t="s">
        <v>1212</v>
      </c>
      <c r="G95" s="220" t="s">
        <v>1212</v>
      </c>
      <c r="H95" s="219" t="s">
        <v>1212</v>
      </c>
      <c r="I95" s="220" t="s">
        <v>1212</v>
      </c>
      <c r="J95" s="219" t="s">
        <v>1212</v>
      </c>
      <c r="K95" s="221" t="s">
        <v>1212</v>
      </c>
      <c r="L95" s="219" t="s">
        <v>1212</v>
      </c>
      <c r="M95" s="221" t="s">
        <v>1212</v>
      </c>
      <c r="N95" s="219" t="s">
        <v>1212</v>
      </c>
      <c r="O95" s="221" t="s">
        <v>1212</v>
      </c>
      <c r="P95" s="222" t="s">
        <v>1281</v>
      </c>
      <c r="Q95" s="223" t="s">
        <v>1212</v>
      </c>
      <c r="R95" s="223" t="s">
        <v>1212</v>
      </c>
      <c r="S95" s="222"/>
      <c r="T95" s="216"/>
    </row>
    <row r="96" spans="1:20">
      <c r="A96" s="216">
        <f t="shared" si="1"/>
        <v>89</v>
      </c>
      <c r="B96" s="224">
        <v>12</v>
      </c>
      <c r="C96" s="225" t="s">
        <v>1279</v>
      </c>
      <c r="D96" s="219" t="s">
        <v>556</v>
      </c>
      <c r="E96" s="236" t="s">
        <v>1312</v>
      </c>
      <c r="F96" s="219" t="s">
        <v>1212</v>
      </c>
      <c r="G96" s="220" t="s">
        <v>1212</v>
      </c>
      <c r="H96" s="219" t="s">
        <v>1212</v>
      </c>
      <c r="I96" s="220" t="s">
        <v>1212</v>
      </c>
      <c r="J96" s="219" t="s">
        <v>1212</v>
      </c>
      <c r="K96" s="221" t="s">
        <v>1212</v>
      </c>
      <c r="L96" s="219" t="s">
        <v>1212</v>
      </c>
      <c r="M96" s="221" t="s">
        <v>1212</v>
      </c>
      <c r="N96" s="219" t="s">
        <v>1212</v>
      </c>
      <c r="O96" s="221" t="s">
        <v>1212</v>
      </c>
      <c r="P96" s="222" t="s">
        <v>1281</v>
      </c>
      <c r="Q96" s="223" t="s">
        <v>1212</v>
      </c>
      <c r="R96" s="223" t="s">
        <v>1212</v>
      </c>
      <c r="S96" s="222"/>
      <c r="T96" s="216"/>
    </row>
    <row r="97" spans="1:20">
      <c r="A97" s="216">
        <f t="shared" si="1"/>
        <v>90</v>
      </c>
      <c r="B97" s="224">
        <v>12</v>
      </c>
      <c r="C97" s="225" t="s">
        <v>1279</v>
      </c>
      <c r="D97" s="219" t="s">
        <v>556</v>
      </c>
      <c r="E97" s="236" t="s">
        <v>1313</v>
      </c>
      <c r="F97" s="219" t="s">
        <v>1212</v>
      </c>
      <c r="G97" s="220" t="s">
        <v>1212</v>
      </c>
      <c r="H97" s="219" t="s">
        <v>1212</v>
      </c>
      <c r="I97" s="220" t="s">
        <v>1212</v>
      </c>
      <c r="J97" s="219" t="s">
        <v>1212</v>
      </c>
      <c r="K97" s="221" t="s">
        <v>1212</v>
      </c>
      <c r="L97" s="219" t="s">
        <v>1212</v>
      </c>
      <c r="M97" s="221" t="s">
        <v>1212</v>
      </c>
      <c r="N97" s="219" t="s">
        <v>1212</v>
      </c>
      <c r="O97" s="221" t="s">
        <v>1212</v>
      </c>
      <c r="P97" s="222" t="s">
        <v>1281</v>
      </c>
      <c r="Q97" s="223" t="s">
        <v>1212</v>
      </c>
      <c r="R97" s="223" t="s">
        <v>1212</v>
      </c>
      <c r="S97" s="222"/>
      <c r="T97" s="216"/>
    </row>
    <row r="98" spans="1:20">
      <c r="A98" s="216">
        <f t="shared" si="1"/>
        <v>91</v>
      </c>
      <c r="B98" s="224">
        <v>12</v>
      </c>
      <c r="C98" s="225" t="s">
        <v>1279</v>
      </c>
      <c r="D98" s="219" t="s">
        <v>556</v>
      </c>
      <c r="E98" s="236" t="s">
        <v>1314</v>
      </c>
      <c r="F98" s="219" t="s">
        <v>1212</v>
      </c>
      <c r="G98" s="220" t="s">
        <v>1212</v>
      </c>
      <c r="H98" s="219" t="s">
        <v>1212</v>
      </c>
      <c r="I98" s="220" t="s">
        <v>1212</v>
      </c>
      <c r="J98" s="219" t="s">
        <v>1212</v>
      </c>
      <c r="K98" s="221" t="s">
        <v>1212</v>
      </c>
      <c r="L98" s="219" t="s">
        <v>1212</v>
      </c>
      <c r="M98" s="221" t="s">
        <v>1212</v>
      </c>
      <c r="N98" s="219" t="s">
        <v>1212</v>
      </c>
      <c r="O98" s="221" t="s">
        <v>1212</v>
      </c>
      <c r="P98" s="222" t="s">
        <v>1281</v>
      </c>
      <c r="Q98" s="223" t="s">
        <v>1212</v>
      </c>
      <c r="R98" s="223" t="s">
        <v>1212</v>
      </c>
      <c r="S98" s="222"/>
      <c r="T98" s="216"/>
    </row>
    <row r="99" spans="1:20">
      <c r="A99" s="216">
        <f t="shared" si="1"/>
        <v>92</v>
      </c>
      <c r="B99" s="224">
        <v>12</v>
      </c>
      <c r="C99" s="225" t="s">
        <v>1279</v>
      </c>
      <c r="D99" s="219" t="s">
        <v>556</v>
      </c>
      <c r="E99" s="236" t="s">
        <v>1315</v>
      </c>
      <c r="F99" s="219" t="s">
        <v>1212</v>
      </c>
      <c r="G99" s="220" t="s">
        <v>1212</v>
      </c>
      <c r="H99" s="219" t="s">
        <v>1212</v>
      </c>
      <c r="I99" s="220" t="s">
        <v>1212</v>
      </c>
      <c r="J99" s="219" t="s">
        <v>1212</v>
      </c>
      <c r="K99" s="221" t="s">
        <v>1212</v>
      </c>
      <c r="L99" s="219" t="s">
        <v>1212</v>
      </c>
      <c r="M99" s="221" t="s">
        <v>1212</v>
      </c>
      <c r="N99" s="219" t="s">
        <v>1212</v>
      </c>
      <c r="O99" s="221" t="s">
        <v>1212</v>
      </c>
      <c r="P99" s="222" t="s">
        <v>1281</v>
      </c>
      <c r="Q99" s="223" t="s">
        <v>1212</v>
      </c>
      <c r="R99" s="223" t="s">
        <v>1212</v>
      </c>
      <c r="S99" s="222"/>
      <c r="T99" s="216"/>
    </row>
    <row r="100" spans="1:20">
      <c r="A100" s="216">
        <f t="shared" si="1"/>
        <v>93</v>
      </c>
      <c r="B100" s="224">
        <v>12</v>
      </c>
      <c r="C100" s="225" t="s">
        <v>1279</v>
      </c>
      <c r="D100" s="219" t="s">
        <v>556</v>
      </c>
      <c r="E100" s="236" t="s">
        <v>1316</v>
      </c>
      <c r="F100" s="219" t="s">
        <v>1212</v>
      </c>
      <c r="G100" s="220" t="s">
        <v>1212</v>
      </c>
      <c r="H100" s="219" t="s">
        <v>1212</v>
      </c>
      <c r="I100" s="220" t="s">
        <v>1212</v>
      </c>
      <c r="J100" s="219" t="s">
        <v>1212</v>
      </c>
      <c r="K100" s="221" t="s">
        <v>1212</v>
      </c>
      <c r="L100" s="219" t="s">
        <v>1212</v>
      </c>
      <c r="M100" s="221" t="s">
        <v>1212</v>
      </c>
      <c r="N100" s="219" t="s">
        <v>1212</v>
      </c>
      <c r="O100" s="221" t="s">
        <v>1212</v>
      </c>
      <c r="P100" s="222" t="s">
        <v>1281</v>
      </c>
      <c r="Q100" s="223" t="s">
        <v>1212</v>
      </c>
      <c r="R100" s="223" t="s">
        <v>1212</v>
      </c>
      <c r="S100" s="222"/>
      <c r="T100" s="216"/>
    </row>
    <row r="101" spans="1:20">
      <c r="A101" s="216">
        <f t="shared" si="1"/>
        <v>94</v>
      </c>
      <c r="B101" s="224">
        <v>12</v>
      </c>
      <c r="C101" s="225" t="s">
        <v>1279</v>
      </c>
      <c r="D101" s="219" t="s">
        <v>556</v>
      </c>
      <c r="E101" s="236" t="s">
        <v>1317</v>
      </c>
      <c r="F101" s="219" t="s">
        <v>1212</v>
      </c>
      <c r="G101" s="220" t="s">
        <v>1212</v>
      </c>
      <c r="H101" s="219" t="s">
        <v>1212</v>
      </c>
      <c r="I101" s="220" t="s">
        <v>1212</v>
      </c>
      <c r="J101" s="219" t="s">
        <v>1212</v>
      </c>
      <c r="K101" s="221" t="s">
        <v>1212</v>
      </c>
      <c r="L101" s="219" t="s">
        <v>1212</v>
      </c>
      <c r="M101" s="221" t="s">
        <v>1212</v>
      </c>
      <c r="N101" s="219" t="s">
        <v>1212</v>
      </c>
      <c r="O101" s="221" t="s">
        <v>1212</v>
      </c>
      <c r="P101" s="222" t="s">
        <v>1281</v>
      </c>
      <c r="Q101" s="223" t="s">
        <v>1212</v>
      </c>
      <c r="R101" s="223" t="s">
        <v>1212</v>
      </c>
      <c r="S101" s="222"/>
      <c r="T101" s="216"/>
    </row>
    <row r="102" spans="1:20">
      <c r="A102" s="216">
        <f t="shared" si="1"/>
        <v>95</v>
      </c>
      <c r="B102" s="224">
        <v>12</v>
      </c>
      <c r="C102" s="225" t="s">
        <v>1279</v>
      </c>
      <c r="D102" s="219" t="s">
        <v>556</v>
      </c>
      <c r="E102" s="236" t="s">
        <v>1318</v>
      </c>
      <c r="F102" s="219" t="s">
        <v>1212</v>
      </c>
      <c r="G102" s="220" t="s">
        <v>1212</v>
      </c>
      <c r="H102" s="219" t="s">
        <v>1212</v>
      </c>
      <c r="I102" s="220" t="s">
        <v>1212</v>
      </c>
      <c r="J102" s="219" t="s">
        <v>1212</v>
      </c>
      <c r="K102" s="221" t="s">
        <v>1212</v>
      </c>
      <c r="L102" s="219" t="s">
        <v>1212</v>
      </c>
      <c r="M102" s="221" t="s">
        <v>1212</v>
      </c>
      <c r="N102" s="219" t="s">
        <v>1212</v>
      </c>
      <c r="O102" s="221" t="s">
        <v>1212</v>
      </c>
      <c r="P102" s="222" t="s">
        <v>1281</v>
      </c>
      <c r="Q102" s="223" t="s">
        <v>1212</v>
      </c>
      <c r="R102" s="223" t="s">
        <v>1212</v>
      </c>
      <c r="S102" s="222"/>
      <c r="T102" s="216"/>
    </row>
    <row r="103" spans="1:20">
      <c r="A103" s="216">
        <f t="shared" si="1"/>
        <v>96</v>
      </c>
      <c r="B103" s="224">
        <v>12</v>
      </c>
      <c r="C103" s="225" t="s">
        <v>1279</v>
      </c>
      <c r="D103" s="219" t="s">
        <v>556</v>
      </c>
      <c r="E103" s="236" t="s">
        <v>1319</v>
      </c>
      <c r="F103" s="219" t="s">
        <v>1212</v>
      </c>
      <c r="G103" s="220" t="s">
        <v>1212</v>
      </c>
      <c r="H103" s="219" t="s">
        <v>1212</v>
      </c>
      <c r="I103" s="220" t="s">
        <v>1212</v>
      </c>
      <c r="J103" s="219" t="s">
        <v>1212</v>
      </c>
      <c r="K103" s="221" t="s">
        <v>1212</v>
      </c>
      <c r="L103" s="219" t="s">
        <v>1212</v>
      </c>
      <c r="M103" s="221" t="s">
        <v>1212</v>
      </c>
      <c r="N103" s="219" t="s">
        <v>1212</v>
      </c>
      <c r="O103" s="221" t="s">
        <v>1212</v>
      </c>
      <c r="P103" s="222" t="s">
        <v>1281</v>
      </c>
      <c r="Q103" s="223" t="s">
        <v>1212</v>
      </c>
      <c r="R103" s="223" t="s">
        <v>1212</v>
      </c>
      <c r="S103" s="222"/>
      <c r="T103" s="216"/>
    </row>
    <row r="104" spans="1:20">
      <c r="A104" s="216">
        <f t="shared" si="1"/>
        <v>97</v>
      </c>
      <c r="B104" s="224">
        <v>12</v>
      </c>
      <c r="C104" s="225" t="s">
        <v>1279</v>
      </c>
      <c r="D104" s="226" t="s">
        <v>556</v>
      </c>
      <c r="E104" s="234" t="s">
        <v>1320</v>
      </c>
      <c r="F104" s="226" t="s">
        <v>1212</v>
      </c>
      <c r="G104" s="227" t="s">
        <v>1212</v>
      </c>
      <c r="H104" s="226" t="s">
        <v>1212</v>
      </c>
      <c r="I104" s="227" t="s">
        <v>1212</v>
      </c>
      <c r="J104" s="226" t="s">
        <v>1212</v>
      </c>
      <c r="K104" s="228" t="s">
        <v>1212</v>
      </c>
      <c r="L104" s="226" t="s">
        <v>1212</v>
      </c>
      <c r="M104" s="228" t="s">
        <v>1212</v>
      </c>
      <c r="N104" s="226" t="s">
        <v>1212</v>
      </c>
      <c r="O104" s="228" t="s">
        <v>1212</v>
      </c>
      <c r="P104" s="229" t="s">
        <v>1228</v>
      </c>
      <c r="Q104" s="230" t="s">
        <v>1279</v>
      </c>
      <c r="R104" s="230" t="s">
        <v>1271</v>
      </c>
      <c r="S104" s="222"/>
      <c r="T104" s="216"/>
    </row>
    <row r="105" spans="1:20">
      <c r="A105" s="216">
        <f t="shared" si="1"/>
        <v>98</v>
      </c>
      <c r="B105" s="217">
        <v>13</v>
      </c>
      <c r="C105" s="218" t="s">
        <v>1279</v>
      </c>
      <c r="D105" s="219" t="s">
        <v>1268</v>
      </c>
      <c r="E105" s="220" t="s">
        <v>1321</v>
      </c>
      <c r="F105" s="219" t="s">
        <v>1210</v>
      </c>
      <c r="G105" s="220" t="s">
        <v>1210</v>
      </c>
      <c r="H105" s="219" t="s">
        <v>1210</v>
      </c>
      <c r="I105" s="220" t="s">
        <v>1210</v>
      </c>
      <c r="J105" s="219" t="s">
        <v>1210</v>
      </c>
      <c r="K105" s="221" t="s">
        <v>1210</v>
      </c>
      <c r="L105" s="219" t="s">
        <v>1210</v>
      </c>
      <c r="M105" s="221" t="s">
        <v>1210</v>
      </c>
      <c r="N105" s="219" t="s">
        <v>1210</v>
      </c>
      <c r="O105" s="221" t="s">
        <v>1210</v>
      </c>
      <c r="P105" s="222" t="s">
        <v>1211</v>
      </c>
      <c r="Q105" s="223" t="s">
        <v>1212</v>
      </c>
      <c r="R105" s="223" t="s">
        <v>1212</v>
      </c>
      <c r="S105" s="222"/>
      <c r="T105" s="216"/>
    </row>
    <row r="106" spans="1:20">
      <c r="A106" s="216">
        <f t="shared" si="1"/>
        <v>99</v>
      </c>
      <c r="B106" s="224">
        <v>13</v>
      </c>
      <c r="C106" s="225" t="s">
        <v>1279</v>
      </c>
      <c r="D106" s="219" t="s">
        <v>1268</v>
      </c>
      <c r="E106" s="220" t="s">
        <v>1322</v>
      </c>
      <c r="F106" s="219" t="s">
        <v>1210</v>
      </c>
      <c r="G106" s="220" t="s">
        <v>1210</v>
      </c>
      <c r="H106" s="219" t="s">
        <v>1210</v>
      </c>
      <c r="I106" s="220" t="s">
        <v>1210</v>
      </c>
      <c r="J106" s="219" t="s">
        <v>1210</v>
      </c>
      <c r="K106" s="221" t="s">
        <v>1210</v>
      </c>
      <c r="L106" s="219" t="s">
        <v>1210</v>
      </c>
      <c r="M106" s="221" t="s">
        <v>1210</v>
      </c>
      <c r="N106" s="219" t="s">
        <v>1210</v>
      </c>
      <c r="O106" s="221" t="s">
        <v>1210</v>
      </c>
      <c r="P106" s="222" t="s">
        <v>1211</v>
      </c>
      <c r="Q106" s="223" t="s">
        <v>1212</v>
      </c>
      <c r="R106" s="223" t="s">
        <v>1212</v>
      </c>
      <c r="S106" s="222"/>
      <c r="T106" s="216"/>
    </row>
    <row r="107" spans="1:20">
      <c r="A107" s="216">
        <f t="shared" si="1"/>
        <v>100</v>
      </c>
      <c r="B107" s="224">
        <v>13</v>
      </c>
      <c r="C107" s="225" t="s">
        <v>1279</v>
      </c>
      <c r="D107" s="219" t="s">
        <v>1268</v>
      </c>
      <c r="E107" s="220" t="s">
        <v>1323</v>
      </c>
      <c r="F107" s="219" t="s">
        <v>1210</v>
      </c>
      <c r="G107" s="220" t="s">
        <v>1210</v>
      </c>
      <c r="H107" s="219" t="s">
        <v>1210</v>
      </c>
      <c r="I107" s="220" t="s">
        <v>1210</v>
      </c>
      <c r="J107" s="219" t="s">
        <v>1210</v>
      </c>
      <c r="K107" s="221" t="s">
        <v>1210</v>
      </c>
      <c r="L107" s="219" t="s">
        <v>1210</v>
      </c>
      <c r="M107" s="221" t="s">
        <v>1210</v>
      </c>
      <c r="N107" s="219" t="s">
        <v>1210</v>
      </c>
      <c r="O107" s="221" t="s">
        <v>1210</v>
      </c>
      <c r="P107" s="222" t="s">
        <v>1211</v>
      </c>
      <c r="Q107" s="223" t="s">
        <v>1212</v>
      </c>
      <c r="R107" s="223" t="s">
        <v>1212</v>
      </c>
      <c r="S107" s="222"/>
      <c r="T107" s="216"/>
    </row>
    <row r="108" spans="1:20">
      <c r="A108" s="216">
        <f t="shared" si="1"/>
        <v>101</v>
      </c>
      <c r="B108" s="224">
        <v>13</v>
      </c>
      <c r="C108" s="225" t="s">
        <v>1279</v>
      </c>
      <c r="D108" s="219" t="s">
        <v>1268</v>
      </c>
      <c r="E108" s="220" t="s">
        <v>1324</v>
      </c>
      <c r="F108" s="219" t="s">
        <v>1210</v>
      </c>
      <c r="G108" s="220" t="s">
        <v>1210</v>
      </c>
      <c r="H108" s="219" t="s">
        <v>1210</v>
      </c>
      <c r="I108" s="220" t="s">
        <v>1210</v>
      </c>
      <c r="J108" s="219" t="s">
        <v>1210</v>
      </c>
      <c r="K108" s="221" t="s">
        <v>1210</v>
      </c>
      <c r="L108" s="219" t="s">
        <v>1210</v>
      </c>
      <c r="M108" s="221" t="s">
        <v>1210</v>
      </c>
      <c r="N108" s="219" t="s">
        <v>1210</v>
      </c>
      <c r="O108" s="221" t="s">
        <v>1210</v>
      </c>
      <c r="P108" s="222" t="s">
        <v>1211</v>
      </c>
      <c r="Q108" s="223" t="s">
        <v>1212</v>
      </c>
      <c r="R108" s="223" t="s">
        <v>1212</v>
      </c>
      <c r="S108" s="222"/>
      <c r="T108" s="216"/>
    </row>
    <row r="109" spans="1:20">
      <c r="A109" s="216">
        <f t="shared" si="1"/>
        <v>102</v>
      </c>
      <c r="B109" s="224">
        <v>13</v>
      </c>
      <c r="C109" s="225" t="s">
        <v>1279</v>
      </c>
      <c r="D109" s="219" t="s">
        <v>1268</v>
      </c>
      <c r="E109" s="220" t="s">
        <v>1325</v>
      </c>
      <c r="F109" s="219" t="s">
        <v>1210</v>
      </c>
      <c r="G109" s="220" t="s">
        <v>1210</v>
      </c>
      <c r="H109" s="219" t="s">
        <v>1210</v>
      </c>
      <c r="I109" s="220" t="s">
        <v>1210</v>
      </c>
      <c r="J109" s="219" t="s">
        <v>1210</v>
      </c>
      <c r="K109" s="221" t="s">
        <v>1210</v>
      </c>
      <c r="L109" s="219" t="s">
        <v>1210</v>
      </c>
      <c r="M109" s="221" t="s">
        <v>1210</v>
      </c>
      <c r="N109" s="219" t="s">
        <v>1210</v>
      </c>
      <c r="O109" s="221" t="s">
        <v>1210</v>
      </c>
      <c r="P109" s="222" t="s">
        <v>1211</v>
      </c>
      <c r="Q109" s="223" t="s">
        <v>1212</v>
      </c>
      <c r="R109" s="223" t="s">
        <v>1212</v>
      </c>
      <c r="S109" s="222"/>
      <c r="T109" s="216"/>
    </row>
    <row r="110" spans="1:20">
      <c r="A110" s="216">
        <f t="shared" si="1"/>
        <v>103</v>
      </c>
      <c r="B110" s="224">
        <v>13</v>
      </c>
      <c r="C110" s="225" t="s">
        <v>1279</v>
      </c>
      <c r="D110" s="219" t="s">
        <v>1268</v>
      </c>
      <c r="E110" s="220" t="s">
        <v>1326</v>
      </c>
      <c r="F110" s="219" t="s">
        <v>1210</v>
      </c>
      <c r="G110" s="220" t="s">
        <v>1210</v>
      </c>
      <c r="H110" s="219" t="s">
        <v>1210</v>
      </c>
      <c r="I110" s="220" t="s">
        <v>1210</v>
      </c>
      <c r="J110" s="219" t="s">
        <v>1210</v>
      </c>
      <c r="K110" s="221" t="s">
        <v>1210</v>
      </c>
      <c r="L110" s="219" t="s">
        <v>1210</v>
      </c>
      <c r="M110" s="221" t="s">
        <v>1210</v>
      </c>
      <c r="N110" s="219" t="s">
        <v>1210</v>
      </c>
      <c r="O110" s="221" t="s">
        <v>1210</v>
      </c>
      <c r="P110" s="222" t="s">
        <v>1211</v>
      </c>
      <c r="Q110" s="223" t="s">
        <v>1212</v>
      </c>
      <c r="R110" s="223" t="s">
        <v>1212</v>
      </c>
      <c r="S110" s="222"/>
      <c r="T110" s="216"/>
    </row>
    <row r="111" spans="1:20">
      <c r="A111" s="216">
        <f t="shared" si="1"/>
        <v>104</v>
      </c>
      <c r="B111" s="224">
        <v>13</v>
      </c>
      <c r="C111" s="225" t="s">
        <v>1279</v>
      </c>
      <c r="D111" s="219" t="s">
        <v>1268</v>
      </c>
      <c r="E111" s="220" t="s">
        <v>1327</v>
      </c>
      <c r="F111" s="219" t="s">
        <v>1210</v>
      </c>
      <c r="G111" s="220" t="s">
        <v>1210</v>
      </c>
      <c r="H111" s="219" t="s">
        <v>1210</v>
      </c>
      <c r="I111" s="220" t="s">
        <v>1210</v>
      </c>
      <c r="J111" s="219" t="s">
        <v>1210</v>
      </c>
      <c r="K111" s="221" t="s">
        <v>1210</v>
      </c>
      <c r="L111" s="219" t="s">
        <v>1210</v>
      </c>
      <c r="M111" s="221" t="s">
        <v>1210</v>
      </c>
      <c r="N111" s="219" t="s">
        <v>1210</v>
      </c>
      <c r="O111" s="221" t="s">
        <v>1210</v>
      </c>
      <c r="P111" s="222" t="s">
        <v>1211</v>
      </c>
      <c r="Q111" s="223" t="s">
        <v>1212</v>
      </c>
      <c r="R111" s="223" t="s">
        <v>1212</v>
      </c>
      <c r="S111" s="222"/>
      <c r="T111" s="216"/>
    </row>
    <row r="112" spans="1:20">
      <c r="A112" s="216">
        <f t="shared" si="1"/>
        <v>105</v>
      </c>
      <c r="B112" s="224">
        <v>13</v>
      </c>
      <c r="C112" s="225" t="s">
        <v>1279</v>
      </c>
      <c r="D112" s="219" t="s">
        <v>1268</v>
      </c>
      <c r="E112" s="220" t="s">
        <v>1328</v>
      </c>
      <c r="F112" s="219" t="s">
        <v>1210</v>
      </c>
      <c r="G112" s="220" t="s">
        <v>1210</v>
      </c>
      <c r="H112" s="219" t="s">
        <v>1210</v>
      </c>
      <c r="I112" s="220" t="s">
        <v>1210</v>
      </c>
      <c r="J112" s="219" t="s">
        <v>1210</v>
      </c>
      <c r="K112" s="221" t="s">
        <v>1210</v>
      </c>
      <c r="L112" s="219" t="s">
        <v>1210</v>
      </c>
      <c r="M112" s="221" t="s">
        <v>1210</v>
      </c>
      <c r="N112" s="219" t="s">
        <v>1210</v>
      </c>
      <c r="O112" s="221" t="s">
        <v>1210</v>
      </c>
      <c r="P112" s="222" t="s">
        <v>1211</v>
      </c>
      <c r="Q112" s="223" t="s">
        <v>1212</v>
      </c>
      <c r="R112" s="223" t="s">
        <v>1212</v>
      </c>
      <c r="S112" s="222"/>
      <c r="T112" s="216"/>
    </row>
    <row r="113" spans="1:20">
      <c r="A113" s="216">
        <f t="shared" si="1"/>
        <v>106</v>
      </c>
      <c r="B113" s="224">
        <v>13</v>
      </c>
      <c r="C113" s="225" t="s">
        <v>1279</v>
      </c>
      <c r="D113" s="219" t="s">
        <v>1268</v>
      </c>
      <c r="E113" s="220" t="s">
        <v>1329</v>
      </c>
      <c r="F113" s="219" t="s">
        <v>1210</v>
      </c>
      <c r="G113" s="220" t="s">
        <v>1210</v>
      </c>
      <c r="H113" s="219" t="s">
        <v>1210</v>
      </c>
      <c r="I113" s="220" t="s">
        <v>1210</v>
      </c>
      <c r="J113" s="219" t="s">
        <v>1210</v>
      </c>
      <c r="K113" s="221" t="s">
        <v>1210</v>
      </c>
      <c r="L113" s="219" t="s">
        <v>1210</v>
      </c>
      <c r="M113" s="221" t="s">
        <v>1210</v>
      </c>
      <c r="N113" s="219" t="s">
        <v>1210</v>
      </c>
      <c r="O113" s="221" t="s">
        <v>1210</v>
      </c>
      <c r="P113" s="222" t="s">
        <v>1211</v>
      </c>
      <c r="Q113" s="223" t="s">
        <v>1212</v>
      </c>
      <c r="R113" s="223" t="s">
        <v>1212</v>
      </c>
      <c r="S113" s="222"/>
      <c r="T113" s="216"/>
    </row>
    <row r="114" spans="1:20">
      <c r="A114" s="216">
        <f t="shared" si="1"/>
        <v>107</v>
      </c>
      <c r="B114" s="224">
        <v>13</v>
      </c>
      <c r="C114" s="225" t="s">
        <v>1279</v>
      </c>
      <c r="D114" s="226" t="s">
        <v>1268</v>
      </c>
      <c r="E114" s="234" t="s">
        <v>1330</v>
      </c>
      <c r="F114" s="226" t="s">
        <v>1210</v>
      </c>
      <c r="G114" s="227" t="s">
        <v>1210</v>
      </c>
      <c r="H114" s="226" t="s">
        <v>1210</v>
      </c>
      <c r="I114" s="227" t="s">
        <v>1210</v>
      </c>
      <c r="J114" s="226" t="s">
        <v>1210</v>
      </c>
      <c r="K114" s="228" t="s">
        <v>1210</v>
      </c>
      <c r="L114" s="226" t="s">
        <v>1210</v>
      </c>
      <c r="M114" s="228" t="s">
        <v>1210</v>
      </c>
      <c r="N114" s="226" t="s">
        <v>1210</v>
      </c>
      <c r="O114" s="228" t="s">
        <v>1210</v>
      </c>
      <c r="P114" s="229" t="s">
        <v>1216</v>
      </c>
      <c r="Q114" s="230" t="s">
        <v>1279</v>
      </c>
      <c r="R114" s="230" t="s">
        <v>1271</v>
      </c>
      <c r="S114" s="222"/>
      <c r="T114" s="216"/>
    </row>
    <row r="115" spans="1:20">
      <c r="A115" s="216">
        <f t="shared" si="1"/>
        <v>108</v>
      </c>
      <c r="B115" s="224">
        <v>13</v>
      </c>
      <c r="C115" s="225" t="s">
        <v>1279</v>
      </c>
      <c r="D115" s="219" t="s">
        <v>1268</v>
      </c>
      <c r="E115" s="236" t="s">
        <v>1331</v>
      </c>
      <c r="F115" s="219" t="s">
        <v>1210</v>
      </c>
      <c r="G115" s="220" t="s">
        <v>1210</v>
      </c>
      <c r="H115" s="219" t="s">
        <v>1210</v>
      </c>
      <c r="I115" s="220" t="s">
        <v>1210</v>
      </c>
      <c r="J115" s="219" t="s">
        <v>1210</v>
      </c>
      <c r="K115" s="221" t="s">
        <v>1210</v>
      </c>
      <c r="L115" s="219" t="s">
        <v>1210</v>
      </c>
      <c r="M115" s="221" t="s">
        <v>1210</v>
      </c>
      <c r="N115" s="219" t="s">
        <v>1210</v>
      </c>
      <c r="O115" s="221" t="s">
        <v>1210</v>
      </c>
      <c r="P115" s="222" t="s">
        <v>1211</v>
      </c>
      <c r="Q115" s="223" t="s">
        <v>1212</v>
      </c>
      <c r="R115" s="223" t="s">
        <v>1212</v>
      </c>
      <c r="S115" s="222"/>
      <c r="T115" s="216"/>
    </row>
    <row r="116" spans="1:20">
      <c r="A116" s="216">
        <f t="shared" si="1"/>
        <v>109</v>
      </c>
      <c r="B116" s="224">
        <v>13</v>
      </c>
      <c r="C116" s="225" t="s">
        <v>1279</v>
      </c>
      <c r="D116" s="219" t="s">
        <v>1268</v>
      </c>
      <c r="E116" s="236" t="s">
        <v>1332</v>
      </c>
      <c r="F116" s="219" t="s">
        <v>1210</v>
      </c>
      <c r="G116" s="220" t="s">
        <v>1210</v>
      </c>
      <c r="H116" s="219" t="s">
        <v>1210</v>
      </c>
      <c r="I116" s="220" t="s">
        <v>1210</v>
      </c>
      <c r="J116" s="219" t="s">
        <v>1210</v>
      </c>
      <c r="K116" s="221" t="s">
        <v>1210</v>
      </c>
      <c r="L116" s="219" t="s">
        <v>1210</v>
      </c>
      <c r="M116" s="221" t="s">
        <v>1210</v>
      </c>
      <c r="N116" s="219" t="s">
        <v>1210</v>
      </c>
      <c r="O116" s="221" t="s">
        <v>1210</v>
      </c>
      <c r="P116" s="222" t="s">
        <v>1211</v>
      </c>
      <c r="Q116" s="223" t="s">
        <v>1212</v>
      </c>
      <c r="R116" s="223" t="s">
        <v>1212</v>
      </c>
      <c r="S116" s="222"/>
      <c r="T116" s="216"/>
    </row>
    <row r="117" spans="1:20">
      <c r="A117" s="216">
        <f t="shared" si="1"/>
        <v>110</v>
      </c>
      <c r="B117" s="224">
        <v>13</v>
      </c>
      <c r="C117" s="225" t="s">
        <v>1279</v>
      </c>
      <c r="D117" s="219" t="s">
        <v>1268</v>
      </c>
      <c r="E117" s="236" t="s">
        <v>1333</v>
      </c>
      <c r="F117" s="219" t="s">
        <v>1210</v>
      </c>
      <c r="G117" s="220" t="s">
        <v>1210</v>
      </c>
      <c r="H117" s="219" t="s">
        <v>1210</v>
      </c>
      <c r="I117" s="220" t="s">
        <v>1210</v>
      </c>
      <c r="J117" s="219" t="s">
        <v>1210</v>
      </c>
      <c r="K117" s="221" t="s">
        <v>1210</v>
      </c>
      <c r="L117" s="219" t="s">
        <v>1210</v>
      </c>
      <c r="M117" s="221" t="s">
        <v>1210</v>
      </c>
      <c r="N117" s="219" t="s">
        <v>1210</v>
      </c>
      <c r="O117" s="221" t="s">
        <v>1210</v>
      </c>
      <c r="P117" s="222" t="s">
        <v>1211</v>
      </c>
      <c r="Q117" s="223" t="s">
        <v>1212</v>
      </c>
      <c r="R117" s="223" t="s">
        <v>1212</v>
      </c>
      <c r="S117" s="222"/>
      <c r="T117" s="216"/>
    </row>
    <row r="118" spans="1:20">
      <c r="A118" s="216">
        <f t="shared" si="1"/>
        <v>111</v>
      </c>
      <c r="B118" s="224">
        <v>13</v>
      </c>
      <c r="C118" s="225" t="s">
        <v>1279</v>
      </c>
      <c r="D118" s="219" t="s">
        <v>1268</v>
      </c>
      <c r="E118" s="236" t="s">
        <v>1334</v>
      </c>
      <c r="F118" s="219" t="s">
        <v>1210</v>
      </c>
      <c r="G118" s="220" t="s">
        <v>1210</v>
      </c>
      <c r="H118" s="219" t="s">
        <v>1210</v>
      </c>
      <c r="I118" s="220" t="s">
        <v>1210</v>
      </c>
      <c r="J118" s="219" t="s">
        <v>1210</v>
      </c>
      <c r="K118" s="221" t="s">
        <v>1210</v>
      </c>
      <c r="L118" s="219" t="s">
        <v>1210</v>
      </c>
      <c r="M118" s="221" t="s">
        <v>1210</v>
      </c>
      <c r="N118" s="219" t="s">
        <v>1210</v>
      </c>
      <c r="O118" s="221" t="s">
        <v>1210</v>
      </c>
      <c r="P118" s="222" t="s">
        <v>1211</v>
      </c>
      <c r="Q118" s="223" t="s">
        <v>1212</v>
      </c>
      <c r="R118" s="223" t="s">
        <v>1212</v>
      </c>
      <c r="S118" s="222"/>
      <c r="T118" s="216"/>
    </row>
    <row r="119" spans="1:20">
      <c r="A119" s="216">
        <f t="shared" si="1"/>
        <v>112</v>
      </c>
      <c r="B119" s="224">
        <v>13</v>
      </c>
      <c r="C119" s="225" t="s">
        <v>1279</v>
      </c>
      <c r="D119" s="219" t="s">
        <v>1268</v>
      </c>
      <c r="E119" s="236" t="s">
        <v>1335</v>
      </c>
      <c r="F119" s="219" t="s">
        <v>1210</v>
      </c>
      <c r="G119" s="220" t="s">
        <v>1210</v>
      </c>
      <c r="H119" s="219" t="s">
        <v>1210</v>
      </c>
      <c r="I119" s="220" t="s">
        <v>1210</v>
      </c>
      <c r="J119" s="219" t="s">
        <v>1210</v>
      </c>
      <c r="K119" s="221" t="s">
        <v>1210</v>
      </c>
      <c r="L119" s="219" t="s">
        <v>1210</v>
      </c>
      <c r="M119" s="221" t="s">
        <v>1210</v>
      </c>
      <c r="N119" s="219" t="s">
        <v>1210</v>
      </c>
      <c r="O119" s="221" t="s">
        <v>1210</v>
      </c>
      <c r="P119" s="222" t="s">
        <v>1211</v>
      </c>
      <c r="Q119" s="223" t="s">
        <v>1212</v>
      </c>
      <c r="R119" s="223" t="s">
        <v>1212</v>
      </c>
      <c r="S119" s="222"/>
      <c r="T119" s="216"/>
    </row>
    <row r="120" spans="1:20">
      <c r="A120" s="216">
        <f t="shared" si="1"/>
        <v>113</v>
      </c>
      <c r="B120" s="224">
        <v>13</v>
      </c>
      <c r="C120" s="225" t="s">
        <v>1279</v>
      </c>
      <c r="D120" s="219" t="s">
        <v>1268</v>
      </c>
      <c r="E120" s="236" t="s">
        <v>1336</v>
      </c>
      <c r="F120" s="219" t="s">
        <v>1210</v>
      </c>
      <c r="G120" s="220" t="s">
        <v>1210</v>
      </c>
      <c r="H120" s="219" t="s">
        <v>1210</v>
      </c>
      <c r="I120" s="220" t="s">
        <v>1210</v>
      </c>
      <c r="J120" s="219" t="s">
        <v>1210</v>
      </c>
      <c r="K120" s="221" t="s">
        <v>1210</v>
      </c>
      <c r="L120" s="219" t="s">
        <v>1210</v>
      </c>
      <c r="M120" s="221" t="s">
        <v>1210</v>
      </c>
      <c r="N120" s="219" t="s">
        <v>1210</v>
      </c>
      <c r="O120" s="221" t="s">
        <v>1210</v>
      </c>
      <c r="P120" s="222" t="s">
        <v>1211</v>
      </c>
      <c r="Q120" s="223" t="s">
        <v>1212</v>
      </c>
      <c r="R120" s="223" t="s">
        <v>1212</v>
      </c>
      <c r="S120" s="222"/>
      <c r="T120" s="216"/>
    </row>
    <row r="121" spans="1:20">
      <c r="A121" s="216">
        <f t="shared" si="1"/>
        <v>114</v>
      </c>
      <c r="B121" s="224">
        <v>13</v>
      </c>
      <c r="C121" s="225" t="s">
        <v>1279</v>
      </c>
      <c r="D121" s="219" t="s">
        <v>1268</v>
      </c>
      <c r="E121" s="236" t="s">
        <v>1337</v>
      </c>
      <c r="F121" s="219" t="s">
        <v>1210</v>
      </c>
      <c r="G121" s="220" t="s">
        <v>1210</v>
      </c>
      <c r="H121" s="219" t="s">
        <v>1210</v>
      </c>
      <c r="I121" s="220" t="s">
        <v>1210</v>
      </c>
      <c r="J121" s="219" t="s">
        <v>1210</v>
      </c>
      <c r="K121" s="221" t="s">
        <v>1210</v>
      </c>
      <c r="L121" s="219" t="s">
        <v>1210</v>
      </c>
      <c r="M121" s="221" t="s">
        <v>1210</v>
      </c>
      <c r="N121" s="219" t="s">
        <v>1210</v>
      </c>
      <c r="O121" s="221" t="s">
        <v>1210</v>
      </c>
      <c r="P121" s="222" t="s">
        <v>1211</v>
      </c>
      <c r="Q121" s="223" t="s">
        <v>1212</v>
      </c>
      <c r="R121" s="223" t="s">
        <v>1212</v>
      </c>
      <c r="S121" s="222"/>
      <c r="T121" s="216"/>
    </row>
    <row r="122" spans="1:20">
      <c r="A122" s="216">
        <f t="shared" si="1"/>
        <v>115</v>
      </c>
      <c r="B122" s="224">
        <v>13</v>
      </c>
      <c r="C122" s="225" t="s">
        <v>1279</v>
      </c>
      <c r="D122" s="219" t="s">
        <v>1268</v>
      </c>
      <c r="E122" s="236" t="s">
        <v>1338</v>
      </c>
      <c r="F122" s="219" t="s">
        <v>1210</v>
      </c>
      <c r="G122" s="220" t="s">
        <v>1210</v>
      </c>
      <c r="H122" s="219" t="s">
        <v>1210</v>
      </c>
      <c r="I122" s="220" t="s">
        <v>1210</v>
      </c>
      <c r="J122" s="219" t="s">
        <v>1210</v>
      </c>
      <c r="K122" s="221" t="s">
        <v>1210</v>
      </c>
      <c r="L122" s="219" t="s">
        <v>1210</v>
      </c>
      <c r="M122" s="221" t="s">
        <v>1210</v>
      </c>
      <c r="N122" s="219" t="s">
        <v>1210</v>
      </c>
      <c r="O122" s="221" t="s">
        <v>1210</v>
      </c>
      <c r="P122" s="222" t="s">
        <v>1211</v>
      </c>
      <c r="Q122" s="223" t="s">
        <v>1212</v>
      </c>
      <c r="R122" s="223" t="s">
        <v>1212</v>
      </c>
      <c r="S122" s="222"/>
      <c r="T122" s="216"/>
    </row>
    <row r="123" spans="1:20">
      <c r="A123" s="216">
        <f t="shared" si="1"/>
        <v>116</v>
      </c>
      <c r="B123" s="224">
        <v>13</v>
      </c>
      <c r="C123" s="225" t="s">
        <v>1279</v>
      </c>
      <c r="D123" s="219" t="s">
        <v>1268</v>
      </c>
      <c r="E123" s="236" t="s">
        <v>1339</v>
      </c>
      <c r="F123" s="219" t="s">
        <v>1210</v>
      </c>
      <c r="G123" s="220" t="s">
        <v>1210</v>
      </c>
      <c r="H123" s="219" t="s">
        <v>1210</v>
      </c>
      <c r="I123" s="220" t="s">
        <v>1210</v>
      </c>
      <c r="J123" s="219" t="s">
        <v>1210</v>
      </c>
      <c r="K123" s="221" t="s">
        <v>1210</v>
      </c>
      <c r="L123" s="219" t="s">
        <v>1210</v>
      </c>
      <c r="M123" s="221" t="s">
        <v>1210</v>
      </c>
      <c r="N123" s="219" t="s">
        <v>1210</v>
      </c>
      <c r="O123" s="221" t="s">
        <v>1210</v>
      </c>
      <c r="P123" s="222" t="s">
        <v>1211</v>
      </c>
      <c r="Q123" s="223" t="s">
        <v>1212</v>
      </c>
      <c r="R123" s="223" t="s">
        <v>1212</v>
      </c>
      <c r="S123" s="222"/>
      <c r="T123" s="216"/>
    </row>
    <row r="124" spans="1:20">
      <c r="A124" s="216">
        <f t="shared" si="1"/>
        <v>117</v>
      </c>
      <c r="B124" s="224">
        <v>13</v>
      </c>
      <c r="C124" s="225" t="s">
        <v>1279</v>
      </c>
      <c r="D124" s="219" t="s">
        <v>1268</v>
      </c>
      <c r="E124" s="236" t="s">
        <v>1340</v>
      </c>
      <c r="F124" s="219" t="s">
        <v>1210</v>
      </c>
      <c r="G124" s="220" t="s">
        <v>1210</v>
      </c>
      <c r="H124" s="219" t="s">
        <v>1210</v>
      </c>
      <c r="I124" s="220" t="s">
        <v>1210</v>
      </c>
      <c r="J124" s="219" t="s">
        <v>1210</v>
      </c>
      <c r="K124" s="221" t="s">
        <v>1210</v>
      </c>
      <c r="L124" s="219" t="s">
        <v>1210</v>
      </c>
      <c r="M124" s="221" t="s">
        <v>1210</v>
      </c>
      <c r="N124" s="219" t="s">
        <v>1210</v>
      </c>
      <c r="O124" s="221" t="s">
        <v>1210</v>
      </c>
      <c r="P124" s="222" t="s">
        <v>1211</v>
      </c>
      <c r="Q124" s="223" t="s">
        <v>1212</v>
      </c>
      <c r="R124" s="223" t="s">
        <v>1212</v>
      </c>
      <c r="S124" s="222"/>
      <c r="T124" s="216"/>
    </row>
    <row r="125" spans="1:20">
      <c r="A125" s="216">
        <f t="shared" si="1"/>
        <v>118</v>
      </c>
      <c r="B125" s="224">
        <v>13</v>
      </c>
      <c r="C125" s="225" t="s">
        <v>1279</v>
      </c>
      <c r="D125" s="219" t="s">
        <v>1268</v>
      </c>
      <c r="E125" s="220" t="s">
        <v>1341</v>
      </c>
      <c r="F125" s="219" t="s">
        <v>1210</v>
      </c>
      <c r="G125" s="220" t="s">
        <v>1210</v>
      </c>
      <c r="H125" s="219" t="s">
        <v>1210</v>
      </c>
      <c r="I125" s="220" t="s">
        <v>1210</v>
      </c>
      <c r="J125" s="219" t="s">
        <v>1210</v>
      </c>
      <c r="K125" s="221" t="s">
        <v>1210</v>
      </c>
      <c r="L125" s="219" t="s">
        <v>1210</v>
      </c>
      <c r="M125" s="221" t="s">
        <v>1210</v>
      </c>
      <c r="N125" s="219" t="s">
        <v>1210</v>
      </c>
      <c r="O125" s="221" t="s">
        <v>1210</v>
      </c>
      <c r="P125" s="222" t="s">
        <v>1211</v>
      </c>
      <c r="Q125" s="223" t="s">
        <v>1212</v>
      </c>
      <c r="R125" s="223" t="s">
        <v>1212</v>
      </c>
      <c r="S125" s="222"/>
      <c r="T125" s="216"/>
    </row>
    <row r="126" spans="1:20">
      <c r="A126" s="216">
        <f t="shared" si="1"/>
        <v>119</v>
      </c>
      <c r="B126" s="224">
        <v>13</v>
      </c>
      <c r="C126" s="225" t="s">
        <v>1279</v>
      </c>
      <c r="D126" s="219" t="s">
        <v>1268</v>
      </c>
      <c r="E126" s="220" t="s">
        <v>1342</v>
      </c>
      <c r="F126" s="219" t="s">
        <v>1210</v>
      </c>
      <c r="G126" s="220" t="s">
        <v>1210</v>
      </c>
      <c r="H126" s="219" t="s">
        <v>1210</v>
      </c>
      <c r="I126" s="220" t="s">
        <v>1210</v>
      </c>
      <c r="J126" s="219" t="s">
        <v>1210</v>
      </c>
      <c r="K126" s="221" t="s">
        <v>1210</v>
      </c>
      <c r="L126" s="219" t="s">
        <v>1210</v>
      </c>
      <c r="M126" s="221" t="s">
        <v>1210</v>
      </c>
      <c r="N126" s="219" t="s">
        <v>1210</v>
      </c>
      <c r="O126" s="221" t="s">
        <v>1210</v>
      </c>
      <c r="P126" s="222" t="s">
        <v>1211</v>
      </c>
      <c r="Q126" s="223" t="s">
        <v>1212</v>
      </c>
      <c r="R126" s="223" t="s">
        <v>1212</v>
      </c>
      <c r="S126" s="222"/>
      <c r="T126" s="216"/>
    </row>
    <row r="127" spans="1:20">
      <c r="A127" s="216">
        <f t="shared" si="1"/>
        <v>120</v>
      </c>
      <c r="B127" s="224">
        <v>13</v>
      </c>
      <c r="C127" s="225" t="s">
        <v>1279</v>
      </c>
      <c r="D127" s="219" t="s">
        <v>1268</v>
      </c>
      <c r="E127" s="220" t="s">
        <v>1343</v>
      </c>
      <c r="F127" s="219" t="s">
        <v>1210</v>
      </c>
      <c r="G127" s="220" t="s">
        <v>1210</v>
      </c>
      <c r="H127" s="219" t="s">
        <v>1210</v>
      </c>
      <c r="I127" s="220" t="s">
        <v>1210</v>
      </c>
      <c r="J127" s="219" t="s">
        <v>1210</v>
      </c>
      <c r="K127" s="221" t="s">
        <v>1210</v>
      </c>
      <c r="L127" s="219" t="s">
        <v>1210</v>
      </c>
      <c r="M127" s="221" t="s">
        <v>1210</v>
      </c>
      <c r="N127" s="219" t="s">
        <v>1210</v>
      </c>
      <c r="O127" s="221" t="s">
        <v>1210</v>
      </c>
      <c r="P127" s="222" t="s">
        <v>1211</v>
      </c>
      <c r="Q127" s="223" t="s">
        <v>1212</v>
      </c>
      <c r="R127" s="223" t="s">
        <v>1212</v>
      </c>
      <c r="S127" s="222"/>
      <c r="T127" s="216"/>
    </row>
    <row r="128" spans="1:20">
      <c r="A128" s="216">
        <f t="shared" si="1"/>
        <v>121</v>
      </c>
      <c r="B128" s="224">
        <v>13</v>
      </c>
      <c r="C128" s="225" t="s">
        <v>1279</v>
      </c>
      <c r="D128" s="219" t="s">
        <v>1268</v>
      </c>
      <c r="E128" s="220" t="s">
        <v>1344</v>
      </c>
      <c r="F128" s="219" t="s">
        <v>1210</v>
      </c>
      <c r="G128" s="220" t="s">
        <v>1210</v>
      </c>
      <c r="H128" s="219" t="s">
        <v>1210</v>
      </c>
      <c r="I128" s="220" t="s">
        <v>1210</v>
      </c>
      <c r="J128" s="219" t="s">
        <v>1210</v>
      </c>
      <c r="K128" s="221" t="s">
        <v>1210</v>
      </c>
      <c r="L128" s="219" t="s">
        <v>1210</v>
      </c>
      <c r="M128" s="221" t="s">
        <v>1210</v>
      </c>
      <c r="N128" s="219" t="s">
        <v>1210</v>
      </c>
      <c r="O128" s="221" t="s">
        <v>1210</v>
      </c>
      <c r="P128" s="222" t="s">
        <v>1211</v>
      </c>
      <c r="Q128" s="223" t="s">
        <v>1212</v>
      </c>
      <c r="R128" s="223" t="s">
        <v>1212</v>
      </c>
      <c r="S128" s="222"/>
      <c r="T128" s="216"/>
    </row>
    <row r="129" spans="1:20">
      <c r="A129" s="216">
        <f t="shared" si="1"/>
        <v>122</v>
      </c>
      <c r="B129" s="224">
        <v>13</v>
      </c>
      <c r="C129" s="225" t="s">
        <v>1279</v>
      </c>
      <c r="D129" s="219" t="s">
        <v>1268</v>
      </c>
      <c r="E129" s="220" t="s">
        <v>1345</v>
      </c>
      <c r="F129" s="219" t="s">
        <v>1210</v>
      </c>
      <c r="G129" s="220" t="s">
        <v>1210</v>
      </c>
      <c r="H129" s="219" t="s">
        <v>1210</v>
      </c>
      <c r="I129" s="220" t="s">
        <v>1210</v>
      </c>
      <c r="J129" s="219" t="s">
        <v>1210</v>
      </c>
      <c r="K129" s="221" t="s">
        <v>1210</v>
      </c>
      <c r="L129" s="219" t="s">
        <v>1210</v>
      </c>
      <c r="M129" s="221" t="s">
        <v>1210</v>
      </c>
      <c r="N129" s="219" t="s">
        <v>1210</v>
      </c>
      <c r="O129" s="221" t="s">
        <v>1210</v>
      </c>
      <c r="P129" s="222" t="s">
        <v>1211</v>
      </c>
      <c r="Q129" s="223" t="s">
        <v>1212</v>
      </c>
      <c r="R129" s="223" t="s">
        <v>1212</v>
      </c>
      <c r="S129" s="222"/>
      <c r="T129" s="216"/>
    </row>
    <row r="130" spans="1:20">
      <c r="A130" s="216">
        <f t="shared" si="1"/>
        <v>123</v>
      </c>
      <c r="B130" s="224">
        <v>13</v>
      </c>
      <c r="C130" s="225" t="s">
        <v>1279</v>
      </c>
      <c r="D130" s="219" t="s">
        <v>1268</v>
      </c>
      <c r="E130" s="220" t="s">
        <v>1346</v>
      </c>
      <c r="F130" s="219" t="s">
        <v>1210</v>
      </c>
      <c r="G130" s="220" t="s">
        <v>1210</v>
      </c>
      <c r="H130" s="219" t="s">
        <v>1210</v>
      </c>
      <c r="I130" s="220" t="s">
        <v>1210</v>
      </c>
      <c r="J130" s="219" t="s">
        <v>1210</v>
      </c>
      <c r="K130" s="221" t="s">
        <v>1210</v>
      </c>
      <c r="L130" s="219" t="s">
        <v>1210</v>
      </c>
      <c r="M130" s="221" t="s">
        <v>1210</v>
      </c>
      <c r="N130" s="219" t="s">
        <v>1210</v>
      </c>
      <c r="O130" s="221" t="s">
        <v>1210</v>
      </c>
      <c r="P130" s="222" t="s">
        <v>1211</v>
      </c>
      <c r="Q130" s="223" t="s">
        <v>1212</v>
      </c>
      <c r="R130" s="223" t="s">
        <v>1212</v>
      </c>
      <c r="S130" s="222"/>
      <c r="T130" s="216"/>
    </row>
    <row r="131" spans="1:20">
      <c r="A131" s="216">
        <f t="shared" si="1"/>
        <v>124</v>
      </c>
      <c r="B131" s="224">
        <v>13</v>
      </c>
      <c r="C131" s="225" t="s">
        <v>1279</v>
      </c>
      <c r="D131" s="219" t="s">
        <v>1268</v>
      </c>
      <c r="E131" s="220" t="s">
        <v>1347</v>
      </c>
      <c r="F131" s="219" t="s">
        <v>1210</v>
      </c>
      <c r="G131" s="220" t="s">
        <v>1210</v>
      </c>
      <c r="H131" s="219" t="s">
        <v>1210</v>
      </c>
      <c r="I131" s="220" t="s">
        <v>1210</v>
      </c>
      <c r="J131" s="219" t="s">
        <v>1210</v>
      </c>
      <c r="K131" s="221" t="s">
        <v>1210</v>
      </c>
      <c r="L131" s="219" t="s">
        <v>1210</v>
      </c>
      <c r="M131" s="221" t="s">
        <v>1210</v>
      </c>
      <c r="N131" s="219" t="s">
        <v>1210</v>
      </c>
      <c r="O131" s="221" t="s">
        <v>1210</v>
      </c>
      <c r="P131" s="222" t="s">
        <v>1211</v>
      </c>
      <c r="Q131" s="223" t="s">
        <v>1212</v>
      </c>
      <c r="R131" s="223" t="s">
        <v>1212</v>
      </c>
      <c r="S131" s="222"/>
      <c r="T131" s="216"/>
    </row>
    <row r="132" spans="1:20">
      <c r="A132" s="216">
        <f t="shared" si="1"/>
        <v>125</v>
      </c>
      <c r="B132" s="224">
        <v>13</v>
      </c>
      <c r="C132" s="225" t="s">
        <v>1279</v>
      </c>
      <c r="D132" s="219" t="s">
        <v>1268</v>
      </c>
      <c r="E132" s="220" t="s">
        <v>1348</v>
      </c>
      <c r="F132" s="219" t="s">
        <v>1210</v>
      </c>
      <c r="G132" s="220" t="s">
        <v>1210</v>
      </c>
      <c r="H132" s="219" t="s">
        <v>1210</v>
      </c>
      <c r="I132" s="220" t="s">
        <v>1210</v>
      </c>
      <c r="J132" s="219" t="s">
        <v>1210</v>
      </c>
      <c r="K132" s="221" t="s">
        <v>1210</v>
      </c>
      <c r="L132" s="219" t="s">
        <v>1210</v>
      </c>
      <c r="M132" s="221" t="s">
        <v>1210</v>
      </c>
      <c r="N132" s="219" t="s">
        <v>1210</v>
      </c>
      <c r="O132" s="221" t="s">
        <v>1210</v>
      </c>
      <c r="P132" s="222" t="s">
        <v>1211</v>
      </c>
      <c r="Q132" s="223" t="s">
        <v>1212</v>
      </c>
      <c r="R132" s="223" t="s">
        <v>1212</v>
      </c>
      <c r="S132" s="222"/>
      <c r="T132" s="216"/>
    </row>
    <row r="133" spans="1:20">
      <c r="A133" s="216">
        <f t="shared" si="1"/>
        <v>126</v>
      </c>
      <c r="B133" s="224">
        <v>13</v>
      </c>
      <c r="C133" s="225" t="s">
        <v>1279</v>
      </c>
      <c r="D133" s="219" t="s">
        <v>1268</v>
      </c>
      <c r="E133" s="220" t="s">
        <v>1349</v>
      </c>
      <c r="F133" s="219" t="s">
        <v>1210</v>
      </c>
      <c r="G133" s="220" t="s">
        <v>1210</v>
      </c>
      <c r="H133" s="219" t="s">
        <v>1210</v>
      </c>
      <c r="I133" s="220" t="s">
        <v>1210</v>
      </c>
      <c r="J133" s="219" t="s">
        <v>1210</v>
      </c>
      <c r="K133" s="221" t="s">
        <v>1210</v>
      </c>
      <c r="L133" s="219" t="s">
        <v>1210</v>
      </c>
      <c r="M133" s="221" t="s">
        <v>1210</v>
      </c>
      <c r="N133" s="219" t="s">
        <v>1210</v>
      </c>
      <c r="O133" s="221" t="s">
        <v>1210</v>
      </c>
      <c r="P133" s="222" t="s">
        <v>1211</v>
      </c>
      <c r="Q133" s="223" t="s">
        <v>1212</v>
      </c>
      <c r="R133" s="223" t="s">
        <v>1212</v>
      </c>
      <c r="S133" s="222"/>
      <c r="T133" s="216"/>
    </row>
    <row r="134" spans="1:20">
      <c r="A134" s="216">
        <f t="shared" si="1"/>
        <v>127</v>
      </c>
      <c r="B134" s="224">
        <v>13</v>
      </c>
      <c r="C134" s="225" t="s">
        <v>1279</v>
      </c>
      <c r="D134" s="226" t="s">
        <v>1268</v>
      </c>
      <c r="E134" s="234" t="s">
        <v>1350</v>
      </c>
      <c r="F134" s="226" t="s">
        <v>1210</v>
      </c>
      <c r="G134" s="227" t="s">
        <v>1210</v>
      </c>
      <c r="H134" s="226" t="s">
        <v>1210</v>
      </c>
      <c r="I134" s="227" t="s">
        <v>1210</v>
      </c>
      <c r="J134" s="226" t="s">
        <v>1210</v>
      </c>
      <c r="K134" s="228" t="s">
        <v>1210</v>
      </c>
      <c r="L134" s="226" t="s">
        <v>1210</v>
      </c>
      <c r="M134" s="228" t="s">
        <v>1210</v>
      </c>
      <c r="N134" s="226" t="s">
        <v>1210</v>
      </c>
      <c r="O134" s="228" t="s">
        <v>1210</v>
      </c>
      <c r="P134" s="229" t="s">
        <v>1216</v>
      </c>
      <c r="Q134" s="230" t="s">
        <v>1279</v>
      </c>
      <c r="R134" s="230" t="s">
        <v>1271</v>
      </c>
      <c r="S134" s="222"/>
      <c r="T134" s="216"/>
    </row>
    <row r="135" spans="1:20">
      <c r="A135" s="216">
        <f t="shared" si="1"/>
        <v>128</v>
      </c>
      <c r="B135" s="224">
        <v>13</v>
      </c>
      <c r="C135" s="225" t="s">
        <v>1279</v>
      </c>
      <c r="D135" s="219" t="s">
        <v>1268</v>
      </c>
      <c r="E135" s="220" t="s">
        <v>1351</v>
      </c>
      <c r="F135" s="219" t="s">
        <v>1210</v>
      </c>
      <c r="G135" s="220" t="s">
        <v>1210</v>
      </c>
      <c r="H135" s="219" t="s">
        <v>1210</v>
      </c>
      <c r="I135" s="220" t="s">
        <v>1210</v>
      </c>
      <c r="J135" s="219" t="s">
        <v>1210</v>
      </c>
      <c r="K135" s="221" t="s">
        <v>1210</v>
      </c>
      <c r="L135" s="219" t="s">
        <v>1210</v>
      </c>
      <c r="M135" s="221" t="s">
        <v>1210</v>
      </c>
      <c r="N135" s="219" t="s">
        <v>1210</v>
      </c>
      <c r="O135" s="221" t="s">
        <v>1210</v>
      </c>
      <c r="P135" s="222" t="s">
        <v>1211</v>
      </c>
      <c r="Q135" s="223" t="s">
        <v>1212</v>
      </c>
      <c r="R135" s="223" t="s">
        <v>1212</v>
      </c>
      <c r="S135" s="222"/>
      <c r="T135" s="216"/>
    </row>
    <row r="136" spans="1:20">
      <c r="A136" s="216">
        <f t="shared" si="1"/>
        <v>129</v>
      </c>
      <c r="B136" s="224">
        <v>13</v>
      </c>
      <c r="C136" s="225" t="s">
        <v>1279</v>
      </c>
      <c r="D136" s="219" t="s">
        <v>1268</v>
      </c>
      <c r="E136" s="220" t="s">
        <v>1352</v>
      </c>
      <c r="F136" s="219" t="s">
        <v>1210</v>
      </c>
      <c r="G136" s="220" t="s">
        <v>1210</v>
      </c>
      <c r="H136" s="219" t="s">
        <v>1210</v>
      </c>
      <c r="I136" s="220" t="s">
        <v>1210</v>
      </c>
      <c r="J136" s="219" t="s">
        <v>1210</v>
      </c>
      <c r="K136" s="221" t="s">
        <v>1210</v>
      </c>
      <c r="L136" s="219" t="s">
        <v>1210</v>
      </c>
      <c r="M136" s="221" t="s">
        <v>1210</v>
      </c>
      <c r="N136" s="219" t="s">
        <v>1210</v>
      </c>
      <c r="O136" s="221" t="s">
        <v>1210</v>
      </c>
      <c r="P136" s="222" t="s">
        <v>1211</v>
      </c>
      <c r="Q136" s="223" t="s">
        <v>1212</v>
      </c>
      <c r="R136" s="223" t="s">
        <v>1212</v>
      </c>
      <c r="S136" s="222"/>
      <c r="T136" s="216"/>
    </row>
    <row r="137" spans="1:20">
      <c r="A137" s="216">
        <f t="shared" si="1"/>
        <v>130</v>
      </c>
      <c r="B137" s="224">
        <v>13</v>
      </c>
      <c r="C137" s="225" t="s">
        <v>1279</v>
      </c>
      <c r="D137" s="219" t="s">
        <v>1268</v>
      </c>
      <c r="E137" s="220" t="s">
        <v>1353</v>
      </c>
      <c r="F137" s="219" t="s">
        <v>1210</v>
      </c>
      <c r="G137" s="220" t="s">
        <v>1210</v>
      </c>
      <c r="H137" s="219" t="s">
        <v>1210</v>
      </c>
      <c r="I137" s="220" t="s">
        <v>1210</v>
      </c>
      <c r="J137" s="219" t="s">
        <v>1210</v>
      </c>
      <c r="K137" s="221" t="s">
        <v>1210</v>
      </c>
      <c r="L137" s="219" t="s">
        <v>1210</v>
      </c>
      <c r="M137" s="221" t="s">
        <v>1210</v>
      </c>
      <c r="N137" s="219" t="s">
        <v>1210</v>
      </c>
      <c r="O137" s="221" t="s">
        <v>1210</v>
      </c>
      <c r="P137" s="222" t="s">
        <v>1211</v>
      </c>
      <c r="Q137" s="223" t="s">
        <v>1212</v>
      </c>
      <c r="R137" s="223" t="s">
        <v>1212</v>
      </c>
      <c r="S137" s="222"/>
      <c r="T137" s="216"/>
    </row>
    <row r="138" spans="1:20">
      <c r="A138" s="216">
        <f t="shared" si="1"/>
        <v>131</v>
      </c>
      <c r="B138" s="224">
        <v>13</v>
      </c>
      <c r="C138" s="225" t="s">
        <v>1279</v>
      </c>
      <c r="D138" s="219" t="s">
        <v>1268</v>
      </c>
      <c r="E138" s="220" t="s">
        <v>1354</v>
      </c>
      <c r="F138" s="219" t="s">
        <v>1210</v>
      </c>
      <c r="G138" s="220" t="s">
        <v>1210</v>
      </c>
      <c r="H138" s="219" t="s">
        <v>1210</v>
      </c>
      <c r="I138" s="220" t="s">
        <v>1210</v>
      </c>
      <c r="J138" s="219" t="s">
        <v>1210</v>
      </c>
      <c r="K138" s="221" t="s">
        <v>1210</v>
      </c>
      <c r="L138" s="219" t="s">
        <v>1210</v>
      </c>
      <c r="M138" s="221" t="s">
        <v>1210</v>
      </c>
      <c r="N138" s="219" t="s">
        <v>1210</v>
      </c>
      <c r="O138" s="221" t="s">
        <v>1210</v>
      </c>
      <c r="P138" s="222" t="s">
        <v>1211</v>
      </c>
      <c r="Q138" s="223" t="s">
        <v>1212</v>
      </c>
      <c r="R138" s="223" t="s">
        <v>1212</v>
      </c>
      <c r="S138" s="222"/>
      <c r="T138" s="216"/>
    </row>
    <row r="139" spans="1:20">
      <c r="A139" s="216">
        <f t="shared" si="1"/>
        <v>132</v>
      </c>
      <c r="B139" s="224">
        <v>13</v>
      </c>
      <c r="C139" s="225" t="s">
        <v>1279</v>
      </c>
      <c r="D139" s="219" t="s">
        <v>1268</v>
      </c>
      <c r="E139" s="220" t="s">
        <v>1355</v>
      </c>
      <c r="F139" s="219" t="s">
        <v>1210</v>
      </c>
      <c r="G139" s="220" t="s">
        <v>1210</v>
      </c>
      <c r="H139" s="219" t="s">
        <v>1210</v>
      </c>
      <c r="I139" s="220" t="s">
        <v>1210</v>
      </c>
      <c r="J139" s="219" t="s">
        <v>1210</v>
      </c>
      <c r="K139" s="221" t="s">
        <v>1210</v>
      </c>
      <c r="L139" s="219" t="s">
        <v>1210</v>
      </c>
      <c r="M139" s="221" t="s">
        <v>1210</v>
      </c>
      <c r="N139" s="219" t="s">
        <v>1210</v>
      </c>
      <c r="O139" s="221" t="s">
        <v>1210</v>
      </c>
      <c r="P139" s="222" t="s">
        <v>1211</v>
      </c>
      <c r="Q139" s="223" t="s">
        <v>1212</v>
      </c>
      <c r="R139" s="223" t="s">
        <v>1212</v>
      </c>
      <c r="S139" s="222"/>
      <c r="T139" s="216"/>
    </row>
    <row r="140" spans="1:20">
      <c r="A140" s="216">
        <f t="shared" si="1"/>
        <v>133</v>
      </c>
      <c r="B140" s="224">
        <v>13</v>
      </c>
      <c r="C140" s="225" t="s">
        <v>1279</v>
      </c>
      <c r="D140" s="219" t="s">
        <v>1268</v>
      </c>
      <c r="E140" s="220" t="s">
        <v>1356</v>
      </c>
      <c r="F140" s="219" t="s">
        <v>1210</v>
      </c>
      <c r="G140" s="220" t="s">
        <v>1210</v>
      </c>
      <c r="H140" s="219" t="s">
        <v>1210</v>
      </c>
      <c r="I140" s="220" t="s">
        <v>1210</v>
      </c>
      <c r="J140" s="219" t="s">
        <v>1210</v>
      </c>
      <c r="K140" s="221" t="s">
        <v>1210</v>
      </c>
      <c r="L140" s="219" t="s">
        <v>1210</v>
      </c>
      <c r="M140" s="221" t="s">
        <v>1210</v>
      </c>
      <c r="N140" s="219" t="s">
        <v>1210</v>
      </c>
      <c r="O140" s="221" t="s">
        <v>1210</v>
      </c>
      <c r="P140" s="222" t="s">
        <v>1211</v>
      </c>
      <c r="Q140" s="223" t="s">
        <v>1212</v>
      </c>
      <c r="R140" s="223" t="s">
        <v>1212</v>
      </c>
      <c r="S140" s="222"/>
      <c r="T140" s="216"/>
    </row>
    <row r="141" spans="1:20">
      <c r="A141" s="216">
        <f t="shared" si="1"/>
        <v>134</v>
      </c>
      <c r="B141" s="224">
        <v>13</v>
      </c>
      <c r="C141" s="225" t="s">
        <v>1279</v>
      </c>
      <c r="D141" s="219" t="s">
        <v>1268</v>
      </c>
      <c r="E141" s="220" t="s">
        <v>1357</v>
      </c>
      <c r="F141" s="219" t="s">
        <v>1210</v>
      </c>
      <c r="G141" s="220" t="s">
        <v>1210</v>
      </c>
      <c r="H141" s="219" t="s">
        <v>1210</v>
      </c>
      <c r="I141" s="220" t="s">
        <v>1210</v>
      </c>
      <c r="J141" s="219" t="s">
        <v>1210</v>
      </c>
      <c r="K141" s="221" t="s">
        <v>1210</v>
      </c>
      <c r="L141" s="219" t="s">
        <v>1210</v>
      </c>
      <c r="M141" s="221" t="s">
        <v>1210</v>
      </c>
      <c r="N141" s="219" t="s">
        <v>1210</v>
      </c>
      <c r="O141" s="221" t="s">
        <v>1210</v>
      </c>
      <c r="P141" s="222" t="s">
        <v>1211</v>
      </c>
      <c r="Q141" s="223" t="s">
        <v>1212</v>
      </c>
      <c r="R141" s="223" t="s">
        <v>1212</v>
      </c>
      <c r="S141" s="222"/>
      <c r="T141" s="216"/>
    </row>
    <row r="142" spans="1:20">
      <c r="A142" s="216">
        <f t="shared" si="1"/>
        <v>135</v>
      </c>
      <c r="B142" s="224">
        <v>13</v>
      </c>
      <c r="C142" s="225" t="s">
        <v>1279</v>
      </c>
      <c r="D142" s="219" t="s">
        <v>1268</v>
      </c>
      <c r="E142" s="220" t="s">
        <v>1358</v>
      </c>
      <c r="F142" s="219" t="s">
        <v>1210</v>
      </c>
      <c r="G142" s="220" t="s">
        <v>1210</v>
      </c>
      <c r="H142" s="219" t="s">
        <v>1210</v>
      </c>
      <c r="I142" s="220" t="s">
        <v>1210</v>
      </c>
      <c r="J142" s="219" t="s">
        <v>1210</v>
      </c>
      <c r="K142" s="221" t="s">
        <v>1210</v>
      </c>
      <c r="L142" s="219" t="s">
        <v>1210</v>
      </c>
      <c r="M142" s="221" t="s">
        <v>1210</v>
      </c>
      <c r="N142" s="219" t="s">
        <v>1210</v>
      </c>
      <c r="O142" s="221" t="s">
        <v>1210</v>
      </c>
      <c r="P142" s="222" t="s">
        <v>1211</v>
      </c>
      <c r="Q142" s="223" t="s">
        <v>1212</v>
      </c>
      <c r="R142" s="223" t="s">
        <v>1212</v>
      </c>
      <c r="S142" s="222"/>
      <c r="T142" s="216"/>
    </row>
    <row r="143" spans="1:20">
      <c r="A143" s="216">
        <f t="shared" si="1"/>
        <v>136</v>
      </c>
      <c r="B143" s="224">
        <v>13</v>
      </c>
      <c r="C143" s="225" t="s">
        <v>1279</v>
      </c>
      <c r="D143" s="219" t="s">
        <v>1268</v>
      </c>
      <c r="E143" s="220" t="s">
        <v>1359</v>
      </c>
      <c r="F143" s="219" t="s">
        <v>1210</v>
      </c>
      <c r="G143" s="220" t="s">
        <v>1210</v>
      </c>
      <c r="H143" s="219" t="s">
        <v>1210</v>
      </c>
      <c r="I143" s="220" t="s">
        <v>1210</v>
      </c>
      <c r="J143" s="219" t="s">
        <v>1210</v>
      </c>
      <c r="K143" s="221" t="s">
        <v>1210</v>
      </c>
      <c r="L143" s="219" t="s">
        <v>1210</v>
      </c>
      <c r="M143" s="221" t="s">
        <v>1210</v>
      </c>
      <c r="N143" s="219" t="s">
        <v>1210</v>
      </c>
      <c r="O143" s="221" t="s">
        <v>1210</v>
      </c>
      <c r="P143" s="222" t="s">
        <v>1211</v>
      </c>
      <c r="Q143" s="223" t="s">
        <v>1212</v>
      </c>
      <c r="R143" s="223" t="s">
        <v>1212</v>
      </c>
      <c r="S143" s="222"/>
      <c r="T143" s="216"/>
    </row>
    <row r="144" spans="1:20">
      <c r="A144" s="216">
        <f t="shared" si="1"/>
        <v>137</v>
      </c>
      <c r="B144" s="231">
        <v>13</v>
      </c>
      <c r="C144" s="232" t="s">
        <v>1279</v>
      </c>
      <c r="D144" s="219" t="s">
        <v>1268</v>
      </c>
      <c r="E144" s="236" t="s">
        <v>1360</v>
      </c>
      <c r="F144" s="219" t="s">
        <v>1210</v>
      </c>
      <c r="G144" s="220" t="s">
        <v>1210</v>
      </c>
      <c r="H144" s="219" t="s">
        <v>1210</v>
      </c>
      <c r="I144" s="220" t="s">
        <v>1210</v>
      </c>
      <c r="J144" s="219" t="s">
        <v>1210</v>
      </c>
      <c r="K144" s="221" t="s">
        <v>1210</v>
      </c>
      <c r="L144" s="219" t="s">
        <v>1210</v>
      </c>
      <c r="M144" s="221" t="s">
        <v>1210</v>
      </c>
      <c r="N144" s="219" t="s">
        <v>1210</v>
      </c>
      <c r="O144" s="221" t="s">
        <v>1210</v>
      </c>
      <c r="P144" s="222" t="s">
        <v>1211</v>
      </c>
      <c r="Q144" s="223" t="s">
        <v>1212</v>
      </c>
      <c r="R144" s="223" t="s">
        <v>1212</v>
      </c>
      <c r="S144" s="222"/>
      <c r="T144" s="216"/>
    </row>
    <row r="145" spans="1:20">
      <c r="A145" s="216">
        <f t="shared" si="1"/>
        <v>138</v>
      </c>
      <c r="B145" s="217">
        <v>14</v>
      </c>
      <c r="C145" s="218" t="s">
        <v>1361</v>
      </c>
      <c r="D145" s="226" t="s">
        <v>1268</v>
      </c>
      <c r="E145" s="227" t="s">
        <v>1269</v>
      </c>
      <c r="F145" s="226" t="s">
        <v>1210</v>
      </c>
      <c r="G145" s="227" t="s">
        <v>1210</v>
      </c>
      <c r="H145" s="226" t="s">
        <v>1210</v>
      </c>
      <c r="I145" s="227" t="s">
        <v>1210</v>
      </c>
      <c r="J145" s="226" t="s">
        <v>1210</v>
      </c>
      <c r="K145" s="228" t="s">
        <v>1210</v>
      </c>
      <c r="L145" s="226" t="s">
        <v>1210</v>
      </c>
      <c r="M145" s="228" t="s">
        <v>1210</v>
      </c>
      <c r="N145" s="226" t="s">
        <v>1210</v>
      </c>
      <c r="O145" s="228" t="s">
        <v>1210</v>
      </c>
      <c r="P145" s="229" t="s">
        <v>1216</v>
      </c>
      <c r="Q145" s="230" t="s">
        <v>1361</v>
      </c>
      <c r="R145" s="230" t="s">
        <v>1362</v>
      </c>
      <c r="S145" s="222"/>
      <c r="T145" s="216"/>
    </row>
    <row r="146" spans="1:20">
      <c r="A146" s="216">
        <f t="shared" si="1"/>
        <v>139</v>
      </c>
      <c r="B146" s="224">
        <v>14</v>
      </c>
      <c r="C146" s="225" t="s">
        <v>1361</v>
      </c>
      <c r="D146" s="219" t="s">
        <v>1268</v>
      </c>
      <c r="E146" s="220" t="s">
        <v>1270</v>
      </c>
      <c r="F146" s="219" t="s">
        <v>1210</v>
      </c>
      <c r="G146" s="220" t="s">
        <v>1210</v>
      </c>
      <c r="H146" s="219" t="s">
        <v>1210</v>
      </c>
      <c r="I146" s="220" t="s">
        <v>1210</v>
      </c>
      <c r="J146" s="219" t="s">
        <v>1210</v>
      </c>
      <c r="K146" s="221" t="s">
        <v>1210</v>
      </c>
      <c r="L146" s="219" t="s">
        <v>1210</v>
      </c>
      <c r="M146" s="221" t="s">
        <v>1210</v>
      </c>
      <c r="N146" s="219" t="s">
        <v>1210</v>
      </c>
      <c r="O146" s="221" t="s">
        <v>1210</v>
      </c>
      <c r="P146" s="222" t="s">
        <v>1211</v>
      </c>
      <c r="Q146" s="223" t="s">
        <v>1212</v>
      </c>
      <c r="R146" s="223" t="s">
        <v>1212</v>
      </c>
      <c r="S146" s="222"/>
      <c r="T146" s="216"/>
    </row>
    <row r="147" spans="1:20">
      <c r="A147" s="216">
        <f t="shared" si="1"/>
        <v>140</v>
      </c>
      <c r="B147" s="224">
        <v>14</v>
      </c>
      <c r="C147" s="225" t="s">
        <v>1361</v>
      </c>
      <c r="D147" s="219" t="s">
        <v>1268</v>
      </c>
      <c r="E147" s="220" t="s">
        <v>1272</v>
      </c>
      <c r="F147" s="219" t="s">
        <v>1210</v>
      </c>
      <c r="G147" s="220" t="s">
        <v>1210</v>
      </c>
      <c r="H147" s="219" t="s">
        <v>1210</v>
      </c>
      <c r="I147" s="220" t="s">
        <v>1210</v>
      </c>
      <c r="J147" s="219" t="s">
        <v>1210</v>
      </c>
      <c r="K147" s="221" t="s">
        <v>1210</v>
      </c>
      <c r="L147" s="219" t="s">
        <v>1210</v>
      </c>
      <c r="M147" s="221" t="s">
        <v>1210</v>
      </c>
      <c r="N147" s="219" t="s">
        <v>1210</v>
      </c>
      <c r="O147" s="221" t="s">
        <v>1210</v>
      </c>
      <c r="P147" s="222" t="s">
        <v>1211</v>
      </c>
      <c r="Q147" s="223" t="s">
        <v>1212</v>
      </c>
      <c r="R147" s="223" t="s">
        <v>1212</v>
      </c>
      <c r="S147" s="222"/>
      <c r="T147" s="216"/>
    </row>
    <row r="148" spans="1:20">
      <c r="A148" s="216">
        <f t="shared" si="1"/>
        <v>141</v>
      </c>
      <c r="B148" s="224">
        <v>14</v>
      </c>
      <c r="C148" s="225" t="s">
        <v>1361</v>
      </c>
      <c r="D148" s="219" t="s">
        <v>1268</v>
      </c>
      <c r="E148" s="220" t="s">
        <v>1363</v>
      </c>
      <c r="F148" s="219" t="s">
        <v>1210</v>
      </c>
      <c r="G148" s="220" t="s">
        <v>1210</v>
      </c>
      <c r="H148" s="219" t="s">
        <v>1210</v>
      </c>
      <c r="I148" s="220" t="s">
        <v>1210</v>
      </c>
      <c r="J148" s="219" t="s">
        <v>1210</v>
      </c>
      <c r="K148" s="221" t="s">
        <v>1210</v>
      </c>
      <c r="L148" s="219" t="s">
        <v>1210</v>
      </c>
      <c r="M148" s="221" t="s">
        <v>1210</v>
      </c>
      <c r="N148" s="219" t="s">
        <v>1210</v>
      </c>
      <c r="O148" s="221" t="s">
        <v>1210</v>
      </c>
      <c r="P148" s="222" t="s">
        <v>1211</v>
      </c>
      <c r="Q148" s="223" t="s">
        <v>1212</v>
      </c>
      <c r="R148" s="223" t="s">
        <v>1212</v>
      </c>
      <c r="S148" s="222"/>
      <c r="T148" s="216"/>
    </row>
    <row r="149" spans="1:20">
      <c r="A149" s="216">
        <f t="shared" si="1"/>
        <v>142</v>
      </c>
      <c r="B149" s="224">
        <v>14</v>
      </c>
      <c r="C149" s="225" t="s">
        <v>1361</v>
      </c>
      <c r="D149" s="226" t="s">
        <v>1268</v>
      </c>
      <c r="E149" s="234" t="s">
        <v>1364</v>
      </c>
      <c r="F149" s="226" t="s">
        <v>1210</v>
      </c>
      <c r="G149" s="227" t="s">
        <v>1210</v>
      </c>
      <c r="H149" s="226" t="s">
        <v>1210</v>
      </c>
      <c r="I149" s="227" t="s">
        <v>1210</v>
      </c>
      <c r="J149" s="226" t="s">
        <v>1210</v>
      </c>
      <c r="K149" s="228" t="s">
        <v>1210</v>
      </c>
      <c r="L149" s="226" t="s">
        <v>1210</v>
      </c>
      <c r="M149" s="228" t="s">
        <v>1210</v>
      </c>
      <c r="N149" s="226" t="s">
        <v>1210</v>
      </c>
      <c r="O149" s="228" t="s">
        <v>1210</v>
      </c>
      <c r="P149" s="229" t="s">
        <v>1216</v>
      </c>
      <c r="Q149" s="230" t="s">
        <v>1361</v>
      </c>
      <c r="R149" s="230" t="s">
        <v>1362</v>
      </c>
      <c r="S149" s="222"/>
      <c r="T149" s="216"/>
    </row>
    <row r="150" spans="1:20">
      <c r="A150" s="216">
        <f t="shared" si="1"/>
        <v>143</v>
      </c>
      <c r="B150" s="224">
        <v>14</v>
      </c>
      <c r="C150" s="225" t="s">
        <v>1361</v>
      </c>
      <c r="D150" s="226" t="s">
        <v>1268</v>
      </c>
      <c r="E150" s="227" t="s">
        <v>1273</v>
      </c>
      <c r="F150" s="226" t="s">
        <v>1210</v>
      </c>
      <c r="G150" s="227" t="s">
        <v>1210</v>
      </c>
      <c r="H150" s="226" t="s">
        <v>1210</v>
      </c>
      <c r="I150" s="227" t="s">
        <v>1210</v>
      </c>
      <c r="J150" s="226" t="s">
        <v>1210</v>
      </c>
      <c r="K150" s="228" t="s">
        <v>1210</v>
      </c>
      <c r="L150" s="226" t="s">
        <v>1210</v>
      </c>
      <c r="M150" s="228" t="s">
        <v>1210</v>
      </c>
      <c r="N150" s="226" t="s">
        <v>1210</v>
      </c>
      <c r="O150" s="228" t="s">
        <v>1210</v>
      </c>
      <c r="P150" s="229" t="s">
        <v>1216</v>
      </c>
      <c r="Q150" s="230" t="s">
        <v>1361</v>
      </c>
      <c r="R150" s="230" t="s">
        <v>1362</v>
      </c>
      <c r="S150" s="222"/>
      <c r="T150" s="216"/>
    </row>
    <row r="151" spans="1:20">
      <c r="A151" s="216">
        <f t="shared" ref="A151:A214" si="2">ROW()-7</f>
        <v>144</v>
      </c>
      <c r="B151" s="224">
        <v>14</v>
      </c>
      <c r="C151" s="225" t="s">
        <v>1361</v>
      </c>
      <c r="D151" s="219" t="s">
        <v>1268</v>
      </c>
      <c r="E151" s="220" t="s">
        <v>1365</v>
      </c>
      <c r="F151" s="219" t="s">
        <v>1210</v>
      </c>
      <c r="G151" s="220" t="s">
        <v>1210</v>
      </c>
      <c r="H151" s="219" t="s">
        <v>1210</v>
      </c>
      <c r="I151" s="220" t="s">
        <v>1210</v>
      </c>
      <c r="J151" s="219" t="s">
        <v>1210</v>
      </c>
      <c r="K151" s="221" t="s">
        <v>1210</v>
      </c>
      <c r="L151" s="219" t="s">
        <v>1210</v>
      </c>
      <c r="M151" s="221" t="s">
        <v>1210</v>
      </c>
      <c r="N151" s="219" t="s">
        <v>1210</v>
      </c>
      <c r="O151" s="221" t="s">
        <v>1210</v>
      </c>
      <c r="P151" s="222" t="s">
        <v>1211</v>
      </c>
      <c r="Q151" s="223" t="s">
        <v>1212</v>
      </c>
      <c r="R151" s="223" t="s">
        <v>1212</v>
      </c>
      <c r="S151" s="222"/>
      <c r="T151" s="216"/>
    </row>
    <row r="152" spans="1:20">
      <c r="A152" s="216">
        <f t="shared" si="2"/>
        <v>145</v>
      </c>
      <c r="B152" s="224">
        <v>14</v>
      </c>
      <c r="C152" s="225" t="s">
        <v>1361</v>
      </c>
      <c r="D152" s="219" t="s">
        <v>1268</v>
      </c>
      <c r="E152" s="220" t="s">
        <v>1275</v>
      </c>
      <c r="F152" s="219" t="s">
        <v>1210</v>
      </c>
      <c r="G152" s="220" t="s">
        <v>1210</v>
      </c>
      <c r="H152" s="219" t="s">
        <v>1210</v>
      </c>
      <c r="I152" s="220" t="s">
        <v>1210</v>
      </c>
      <c r="J152" s="219" t="s">
        <v>1210</v>
      </c>
      <c r="K152" s="221" t="s">
        <v>1210</v>
      </c>
      <c r="L152" s="219" t="s">
        <v>1210</v>
      </c>
      <c r="M152" s="221" t="s">
        <v>1210</v>
      </c>
      <c r="N152" s="219" t="s">
        <v>1210</v>
      </c>
      <c r="O152" s="221" t="s">
        <v>1210</v>
      </c>
      <c r="P152" s="222" t="s">
        <v>1211</v>
      </c>
      <c r="Q152" s="223" t="s">
        <v>1212</v>
      </c>
      <c r="R152" s="223" t="s">
        <v>1212</v>
      </c>
      <c r="S152" s="222"/>
      <c r="T152" s="216"/>
    </row>
    <row r="153" spans="1:20">
      <c r="A153" s="216">
        <f t="shared" si="2"/>
        <v>146</v>
      </c>
      <c r="B153" s="224">
        <v>14</v>
      </c>
      <c r="C153" s="225" t="s">
        <v>1361</v>
      </c>
      <c r="D153" s="219" t="s">
        <v>1268</v>
      </c>
      <c r="E153" s="220" t="s">
        <v>1366</v>
      </c>
      <c r="F153" s="219" t="s">
        <v>1210</v>
      </c>
      <c r="G153" s="220" t="s">
        <v>1210</v>
      </c>
      <c r="H153" s="219" t="s">
        <v>1210</v>
      </c>
      <c r="I153" s="220" t="s">
        <v>1210</v>
      </c>
      <c r="J153" s="219" t="s">
        <v>1210</v>
      </c>
      <c r="K153" s="221" t="s">
        <v>1210</v>
      </c>
      <c r="L153" s="219" t="s">
        <v>1210</v>
      </c>
      <c r="M153" s="221" t="s">
        <v>1210</v>
      </c>
      <c r="N153" s="219" t="s">
        <v>1210</v>
      </c>
      <c r="O153" s="221" t="s">
        <v>1210</v>
      </c>
      <c r="P153" s="222" t="s">
        <v>1211</v>
      </c>
      <c r="Q153" s="223" t="s">
        <v>1212</v>
      </c>
      <c r="R153" s="223" t="s">
        <v>1212</v>
      </c>
      <c r="S153" s="222"/>
      <c r="T153" s="216"/>
    </row>
    <row r="154" spans="1:20">
      <c r="A154" s="216">
        <f t="shared" si="2"/>
        <v>147</v>
      </c>
      <c r="B154" s="224">
        <v>14</v>
      </c>
      <c r="C154" s="225" t="s">
        <v>1361</v>
      </c>
      <c r="D154" s="226" t="s">
        <v>1268</v>
      </c>
      <c r="E154" s="234" t="s">
        <v>1367</v>
      </c>
      <c r="F154" s="226" t="s">
        <v>1210</v>
      </c>
      <c r="G154" s="227" t="s">
        <v>1210</v>
      </c>
      <c r="H154" s="226" t="s">
        <v>1210</v>
      </c>
      <c r="I154" s="227" t="s">
        <v>1210</v>
      </c>
      <c r="J154" s="226" t="s">
        <v>1210</v>
      </c>
      <c r="K154" s="228" t="s">
        <v>1210</v>
      </c>
      <c r="L154" s="226" t="s">
        <v>1210</v>
      </c>
      <c r="M154" s="228" t="s">
        <v>1210</v>
      </c>
      <c r="N154" s="226" t="s">
        <v>1210</v>
      </c>
      <c r="O154" s="228" t="s">
        <v>1210</v>
      </c>
      <c r="P154" s="229" t="s">
        <v>1216</v>
      </c>
      <c r="Q154" s="230" t="s">
        <v>1361</v>
      </c>
      <c r="R154" s="230" t="s">
        <v>1362</v>
      </c>
      <c r="S154" s="222"/>
      <c r="T154" s="216"/>
    </row>
    <row r="155" spans="1:20">
      <c r="A155" s="216">
        <f t="shared" si="2"/>
        <v>148</v>
      </c>
      <c r="B155" s="217">
        <v>15</v>
      </c>
      <c r="C155" s="218" t="s">
        <v>1368</v>
      </c>
      <c r="D155" s="219" t="s">
        <v>1268</v>
      </c>
      <c r="E155" s="220" t="s">
        <v>1272</v>
      </c>
      <c r="F155" s="219" t="s">
        <v>1210</v>
      </c>
      <c r="G155" s="220" t="s">
        <v>1210</v>
      </c>
      <c r="H155" s="219" t="s">
        <v>1210</v>
      </c>
      <c r="I155" s="220" t="s">
        <v>1210</v>
      </c>
      <c r="J155" s="219" t="s">
        <v>1210</v>
      </c>
      <c r="K155" s="221" t="s">
        <v>1210</v>
      </c>
      <c r="L155" s="219" t="s">
        <v>1210</v>
      </c>
      <c r="M155" s="221" t="s">
        <v>1210</v>
      </c>
      <c r="N155" s="219" t="s">
        <v>1210</v>
      </c>
      <c r="O155" s="221" t="s">
        <v>1210</v>
      </c>
      <c r="P155" s="222" t="s">
        <v>1211</v>
      </c>
      <c r="Q155" s="223" t="s">
        <v>1212</v>
      </c>
      <c r="R155" s="223" t="s">
        <v>1212</v>
      </c>
      <c r="S155" s="222"/>
      <c r="T155" s="216"/>
    </row>
    <row r="156" spans="1:20">
      <c r="A156" s="216">
        <f t="shared" si="2"/>
        <v>149</v>
      </c>
      <c r="B156" s="231">
        <v>15</v>
      </c>
      <c r="C156" s="232" t="s">
        <v>1368</v>
      </c>
      <c r="D156" s="226" t="s">
        <v>1268</v>
      </c>
      <c r="E156" s="227" t="s">
        <v>1369</v>
      </c>
      <c r="F156" s="226" t="s">
        <v>1210</v>
      </c>
      <c r="G156" s="227" t="s">
        <v>1210</v>
      </c>
      <c r="H156" s="226" t="s">
        <v>1210</v>
      </c>
      <c r="I156" s="227" t="s">
        <v>1210</v>
      </c>
      <c r="J156" s="226" t="s">
        <v>1210</v>
      </c>
      <c r="K156" s="228" t="s">
        <v>1210</v>
      </c>
      <c r="L156" s="226" t="s">
        <v>1210</v>
      </c>
      <c r="M156" s="228" t="s">
        <v>1210</v>
      </c>
      <c r="N156" s="226" t="s">
        <v>1210</v>
      </c>
      <c r="O156" s="228" t="s">
        <v>1210</v>
      </c>
      <c r="P156" s="229" t="s">
        <v>1216</v>
      </c>
      <c r="Q156" s="230" t="s">
        <v>1368</v>
      </c>
      <c r="R156" s="230" t="s">
        <v>1370</v>
      </c>
      <c r="S156" s="222"/>
      <c r="T156" s="216"/>
    </row>
    <row r="157" spans="1:20">
      <c r="A157" s="216">
        <f t="shared" si="2"/>
        <v>150</v>
      </c>
      <c r="B157" s="217">
        <v>16</v>
      </c>
      <c r="C157" s="218" t="s">
        <v>1371</v>
      </c>
      <c r="D157" s="219" t="s">
        <v>1372</v>
      </c>
      <c r="E157" s="220" t="s">
        <v>1272</v>
      </c>
      <c r="F157" s="219" t="s">
        <v>1210</v>
      </c>
      <c r="G157" s="220" t="s">
        <v>1210</v>
      </c>
      <c r="H157" s="219" t="s">
        <v>1210</v>
      </c>
      <c r="I157" s="220" t="s">
        <v>1210</v>
      </c>
      <c r="J157" s="219" t="s">
        <v>1210</v>
      </c>
      <c r="K157" s="221" t="s">
        <v>1210</v>
      </c>
      <c r="L157" s="219" t="s">
        <v>1210</v>
      </c>
      <c r="M157" s="221" t="s">
        <v>1210</v>
      </c>
      <c r="N157" s="219" t="s">
        <v>1210</v>
      </c>
      <c r="O157" s="221" t="s">
        <v>1210</v>
      </c>
      <c r="P157" s="222" t="s">
        <v>1211</v>
      </c>
      <c r="Q157" s="223" t="s">
        <v>1212</v>
      </c>
      <c r="R157" s="223" t="s">
        <v>1212</v>
      </c>
      <c r="S157" s="222"/>
      <c r="T157" s="216"/>
    </row>
    <row r="158" spans="1:20">
      <c r="A158" s="216">
        <f t="shared" si="2"/>
        <v>151</v>
      </c>
      <c r="B158" s="224">
        <v>16</v>
      </c>
      <c r="C158" s="225" t="s">
        <v>1371</v>
      </c>
      <c r="D158" s="226" t="s">
        <v>1372</v>
      </c>
      <c r="E158" s="227" t="s">
        <v>1277</v>
      </c>
      <c r="F158" s="226" t="s">
        <v>1210</v>
      </c>
      <c r="G158" s="227" t="s">
        <v>1210</v>
      </c>
      <c r="H158" s="226" t="s">
        <v>1210</v>
      </c>
      <c r="I158" s="227" t="s">
        <v>1210</v>
      </c>
      <c r="J158" s="226" t="s">
        <v>1210</v>
      </c>
      <c r="K158" s="228" t="s">
        <v>1210</v>
      </c>
      <c r="L158" s="226" t="s">
        <v>1210</v>
      </c>
      <c r="M158" s="228" t="s">
        <v>1210</v>
      </c>
      <c r="N158" s="226" t="s">
        <v>1210</v>
      </c>
      <c r="O158" s="228" t="s">
        <v>1210</v>
      </c>
      <c r="P158" s="229" t="s">
        <v>1216</v>
      </c>
      <c r="Q158" s="230" t="s">
        <v>1371</v>
      </c>
      <c r="R158" s="230" t="s">
        <v>1373</v>
      </c>
      <c r="S158" s="222"/>
      <c r="T158" s="216"/>
    </row>
    <row r="159" spans="1:20">
      <c r="A159" s="216">
        <f t="shared" si="2"/>
        <v>152</v>
      </c>
      <c r="B159" s="231">
        <v>16</v>
      </c>
      <c r="C159" s="232" t="s">
        <v>1371</v>
      </c>
      <c r="D159" s="226" t="s">
        <v>1372</v>
      </c>
      <c r="E159" s="227" t="s">
        <v>1278</v>
      </c>
      <c r="F159" s="226" t="s">
        <v>1210</v>
      </c>
      <c r="G159" s="227" t="s">
        <v>1210</v>
      </c>
      <c r="H159" s="226" t="s">
        <v>1210</v>
      </c>
      <c r="I159" s="227" t="s">
        <v>1210</v>
      </c>
      <c r="J159" s="226" t="s">
        <v>1210</v>
      </c>
      <c r="K159" s="228" t="s">
        <v>1210</v>
      </c>
      <c r="L159" s="226" t="s">
        <v>1210</v>
      </c>
      <c r="M159" s="228" t="s">
        <v>1210</v>
      </c>
      <c r="N159" s="226" t="s">
        <v>1210</v>
      </c>
      <c r="O159" s="228" t="s">
        <v>1210</v>
      </c>
      <c r="P159" s="229" t="s">
        <v>1216</v>
      </c>
      <c r="Q159" s="230" t="s">
        <v>1371</v>
      </c>
      <c r="R159" s="230" t="s">
        <v>1373</v>
      </c>
      <c r="S159" s="222"/>
      <c r="T159" s="216"/>
    </row>
    <row r="160" spans="1:20">
      <c r="A160" s="216">
        <f t="shared" si="2"/>
        <v>153</v>
      </c>
      <c r="B160" s="217">
        <v>17</v>
      </c>
      <c r="C160" s="218" t="s">
        <v>1371</v>
      </c>
      <c r="D160" s="219" t="s">
        <v>1372</v>
      </c>
      <c r="E160" s="220" t="s">
        <v>1374</v>
      </c>
      <c r="F160" s="219" t="s">
        <v>1210</v>
      </c>
      <c r="G160" s="220" t="s">
        <v>1210</v>
      </c>
      <c r="H160" s="219" t="s">
        <v>1210</v>
      </c>
      <c r="I160" s="220" t="s">
        <v>1210</v>
      </c>
      <c r="J160" s="219" t="s">
        <v>1210</v>
      </c>
      <c r="K160" s="221" t="s">
        <v>1210</v>
      </c>
      <c r="L160" s="219" t="s">
        <v>1210</v>
      </c>
      <c r="M160" s="221" t="s">
        <v>1210</v>
      </c>
      <c r="N160" s="219" t="s">
        <v>1210</v>
      </c>
      <c r="O160" s="221" t="s">
        <v>1210</v>
      </c>
      <c r="P160" s="222" t="s">
        <v>1211</v>
      </c>
      <c r="Q160" s="223" t="s">
        <v>1212</v>
      </c>
      <c r="R160" s="223" t="s">
        <v>1212</v>
      </c>
      <c r="S160" s="222"/>
      <c r="T160" s="216"/>
    </row>
    <row r="161" spans="1:20">
      <c r="A161" s="216">
        <f t="shared" si="2"/>
        <v>154</v>
      </c>
      <c r="B161" s="224">
        <v>17</v>
      </c>
      <c r="C161" s="225" t="s">
        <v>1371</v>
      </c>
      <c r="D161" s="219" t="s">
        <v>1372</v>
      </c>
      <c r="E161" s="220" t="s">
        <v>1375</v>
      </c>
      <c r="F161" s="219" t="s">
        <v>1210</v>
      </c>
      <c r="G161" s="220" t="s">
        <v>1210</v>
      </c>
      <c r="H161" s="219" t="s">
        <v>1210</v>
      </c>
      <c r="I161" s="220" t="s">
        <v>1210</v>
      </c>
      <c r="J161" s="219" t="s">
        <v>1210</v>
      </c>
      <c r="K161" s="221" t="s">
        <v>1210</v>
      </c>
      <c r="L161" s="219" t="s">
        <v>1210</v>
      </c>
      <c r="M161" s="221" t="s">
        <v>1210</v>
      </c>
      <c r="N161" s="219" t="s">
        <v>1210</v>
      </c>
      <c r="O161" s="221" t="s">
        <v>1210</v>
      </c>
      <c r="P161" s="222" t="s">
        <v>1211</v>
      </c>
      <c r="Q161" s="223" t="s">
        <v>1212</v>
      </c>
      <c r="R161" s="223" t="s">
        <v>1212</v>
      </c>
      <c r="S161" s="222"/>
      <c r="T161" s="216"/>
    </row>
    <row r="162" spans="1:20">
      <c r="A162" s="216">
        <f t="shared" si="2"/>
        <v>155</v>
      </c>
      <c r="B162" s="224">
        <v>17</v>
      </c>
      <c r="C162" s="225" t="s">
        <v>1371</v>
      </c>
      <c r="D162" s="219" t="s">
        <v>1372</v>
      </c>
      <c r="E162" s="220" t="s">
        <v>1376</v>
      </c>
      <c r="F162" s="219" t="s">
        <v>1210</v>
      </c>
      <c r="G162" s="220" t="s">
        <v>1210</v>
      </c>
      <c r="H162" s="219" t="s">
        <v>1210</v>
      </c>
      <c r="I162" s="220" t="s">
        <v>1210</v>
      </c>
      <c r="J162" s="219" t="s">
        <v>1210</v>
      </c>
      <c r="K162" s="221" t="s">
        <v>1210</v>
      </c>
      <c r="L162" s="219" t="s">
        <v>1210</v>
      </c>
      <c r="M162" s="221" t="s">
        <v>1210</v>
      </c>
      <c r="N162" s="219" t="s">
        <v>1210</v>
      </c>
      <c r="O162" s="221" t="s">
        <v>1210</v>
      </c>
      <c r="P162" s="222" t="s">
        <v>1211</v>
      </c>
      <c r="Q162" s="223" t="s">
        <v>1212</v>
      </c>
      <c r="R162" s="223" t="s">
        <v>1212</v>
      </c>
      <c r="S162" s="222"/>
      <c r="T162" s="216"/>
    </row>
    <row r="163" spans="1:20">
      <c r="A163" s="216">
        <f t="shared" si="2"/>
        <v>156</v>
      </c>
      <c r="B163" s="224">
        <v>17</v>
      </c>
      <c r="C163" s="225" t="s">
        <v>1371</v>
      </c>
      <c r="D163" s="219" t="s">
        <v>1372</v>
      </c>
      <c r="E163" s="220" t="s">
        <v>1377</v>
      </c>
      <c r="F163" s="219" t="s">
        <v>1210</v>
      </c>
      <c r="G163" s="220" t="s">
        <v>1210</v>
      </c>
      <c r="H163" s="219" t="s">
        <v>1210</v>
      </c>
      <c r="I163" s="220" t="s">
        <v>1210</v>
      </c>
      <c r="J163" s="219" t="s">
        <v>1210</v>
      </c>
      <c r="K163" s="221" t="s">
        <v>1210</v>
      </c>
      <c r="L163" s="219" t="s">
        <v>1210</v>
      </c>
      <c r="M163" s="221" t="s">
        <v>1210</v>
      </c>
      <c r="N163" s="219" t="s">
        <v>1210</v>
      </c>
      <c r="O163" s="221" t="s">
        <v>1210</v>
      </c>
      <c r="P163" s="222" t="s">
        <v>1211</v>
      </c>
      <c r="Q163" s="223" t="s">
        <v>1212</v>
      </c>
      <c r="R163" s="223" t="s">
        <v>1212</v>
      </c>
      <c r="S163" s="222"/>
      <c r="T163" s="216"/>
    </row>
    <row r="164" spans="1:20">
      <c r="A164" s="216">
        <f t="shared" si="2"/>
        <v>157</v>
      </c>
      <c r="B164" s="224">
        <v>17</v>
      </c>
      <c r="C164" s="225" t="s">
        <v>1371</v>
      </c>
      <c r="D164" s="219" t="s">
        <v>1372</v>
      </c>
      <c r="E164" s="220" t="s">
        <v>1378</v>
      </c>
      <c r="F164" s="219" t="s">
        <v>1210</v>
      </c>
      <c r="G164" s="220" t="s">
        <v>1210</v>
      </c>
      <c r="H164" s="219" t="s">
        <v>1210</v>
      </c>
      <c r="I164" s="220" t="s">
        <v>1210</v>
      </c>
      <c r="J164" s="219" t="s">
        <v>1210</v>
      </c>
      <c r="K164" s="221" t="s">
        <v>1210</v>
      </c>
      <c r="L164" s="219" t="s">
        <v>1210</v>
      </c>
      <c r="M164" s="221" t="s">
        <v>1210</v>
      </c>
      <c r="N164" s="219" t="s">
        <v>1210</v>
      </c>
      <c r="O164" s="221" t="s">
        <v>1210</v>
      </c>
      <c r="P164" s="222" t="s">
        <v>1211</v>
      </c>
      <c r="Q164" s="223" t="s">
        <v>1212</v>
      </c>
      <c r="R164" s="223" t="s">
        <v>1212</v>
      </c>
      <c r="S164" s="222"/>
      <c r="T164" s="216"/>
    </row>
    <row r="165" spans="1:20">
      <c r="A165" s="216">
        <f t="shared" si="2"/>
        <v>158</v>
      </c>
      <c r="B165" s="224">
        <v>17</v>
      </c>
      <c r="C165" s="225" t="s">
        <v>1371</v>
      </c>
      <c r="D165" s="219" t="s">
        <v>1372</v>
      </c>
      <c r="E165" s="220" t="s">
        <v>1379</v>
      </c>
      <c r="F165" s="219" t="s">
        <v>1210</v>
      </c>
      <c r="G165" s="220" t="s">
        <v>1210</v>
      </c>
      <c r="H165" s="219" t="s">
        <v>1210</v>
      </c>
      <c r="I165" s="220" t="s">
        <v>1210</v>
      </c>
      <c r="J165" s="219" t="s">
        <v>1210</v>
      </c>
      <c r="K165" s="221" t="s">
        <v>1210</v>
      </c>
      <c r="L165" s="219" t="s">
        <v>1210</v>
      </c>
      <c r="M165" s="221" t="s">
        <v>1210</v>
      </c>
      <c r="N165" s="219" t="s">
        <v>1210</v>
      </c>
      <c r="O165" s="221" t="s">
        <v>1210</v>
      </c>
      <c r="P165" s="222" t="s">
        <v>1211</v>
      </c>
      <c r="Q165" s="223" t="s">
        <v>1212</v>
      </c>
      <c r="R165" s="223" t="s">
        <v>1212</v>
      </c>
      <c r="S165" s="222"/>
      <c r="T165" s="216"/>
    </row>
    <row r="166" spans="1:20">
      <c r="A166" s="216">
        <f t="shared" si="2"/>
        <v>159</v>
      </c>
      <c r="B166" s="224">
        <v>17</v>
      </c>
      <c r="C166" s="225" t="s">
        <v>1371</v>
      </c>
      <c r="D166" s="219" t="s">
        <v>1372</v>
      </c>
      <c r="E166" s="220" t="s">
        <v>1380</v>
      </c>
      <c r="F166" s="219" t="s">
        <v>1210</v>
      </c>
      <c r="G166" s="220" t="s">
        <v>1210</v>
      </c>
      <c r="H166" s="219" t="s">
        <v>1210</v>
      </c>
      <c r="I166" s="220" t="s">
        <v>1210</v>
      </c>
      <c r="J166" s="219" t="s">
        <v>1210</v>
      </c>
      <c r="K166" s="221" t="s">
        <v>1210</v>
      </c>
      <c r="L166" s="219" t="s">
        <v>1210</v>
      </c>
      <c r="M166" s="221" t="s">
        <v>1210</v>
      </c>
      <c r="N166" s="219" t="s">
        <v>1210</v>
      </c>
      <c r="O166" s="221" t="s">
        <v>1210</v>
      </c>
      <c r="P166" s="222" t="s">
        <v>1211</v>
      </c>
      <c r="Q166" s="223" t="s">
        <v>1212</v>
      </c>
      <c r="R166" s="223" t="s">
        <v>1212</v>
      </c>
      <c r="S166" s="222"/>
      <c r="T166" s="216"/>
    </row>
    <row r="167" spans="1:20">
      <c r="A167" s="216">
        <f t="shared" si="2"/>
        <v>160</v>
      </c>
      <c r="B167" s="224">
        <v>17</v>
      </c>
      <c r="C167" s="225" t="s">
        <v>1371</v>
      </c>
      <c r="D167" s="219" t="s">
        <v>1372</v>
      </c>
      <c r="E167" s="220" t="s">
        <v>1381</v>
      </c>
      <c r="F167" s="219" t="s">
        <v>1210</v>
      </c>
      <c r="G167" s="220" t="s">
        <v>1210</v>
      </c>
      <c r="H167" s="219" t="s">
        <v>1210</v>
      </c>
      <c r="I167" s="220" t="s">
        <v>1210</v>
      </c>
      <c r="J167" s="219" t="s">
        <v>1210</v>
      </c>
      <c r="K167" s="221" t="s">
        <v>1210</v>
      </c>
      <c r="L167" s="219" t="s">
        <v>1210</v>
      </c>
      <c r="M167" s="221" t="s">
        <v>1210</v>
      </c>
      <c r="N167" s="219" t="s">
        <v>1210</v>
      </c>
      <c r="O167" s="221" t="s">
        <v>1210</v>
      </c>
      <c r="P167" s="222" t="s">
        <v>1211</v>
      </c>
      <c r="Q167" s="223" t="s">
        <v>1212</v>
      </c>
      <c r="R167" s="223" t="s">
        <v>1212</v>
      </c>
      <c r="S167" s="222"/>
      <c r="T167" s="216"/>
    </row>
    <row r="168" spans="1:20">
      <c r="A168" s="216">
        <f t="shared" si="2"/>
        <v>161</v>
      </c>
      <c r="B168" s="224">
        <v>17</v>
      </c>
      <c r="C168" s="225" t="s">
        <v>1371</v>
      </c>
      <c r="D168" s="219" t="s">
        <v>1372</v>
      </c>
      <c r="E168" s="220" t="s">
        <v>1382</v>
      </c>
      <c r="F168" s="219" t="s">
        <v>1210</v>
      </c>
      <c r="G168" s="220" t="s">
        <v>1210</v>
      </c>
      <c r="H168" s="219" t="s">
        <v>1210</v>
      </c>
      <c r="I168" s="220" t="s">
        <v>1210</v>
      </c>
      <c r="J168" s="219" t="s">
        <v>1210</v>
      </c>
      <c r="K168" s="221" t="s">
        <v>1210</v>
      </c>
      <c r="L168" s="219" t="s">
        <v>1210</v>
      </c>
      <c r="M168" s="221" t="s">
        <v>1210</v>
      </c>
      <c r="N168" s="219" t="s">
        <v>1210</v>
      </c>
      <c r="O168" s="221" t="s">
        <v>1210</v>
      </c>
      <c r="P168" s="222" t="s">
        <v>1211</v>
      </c>
      <c r="Q168" s="223" t="s">
        <v>1212</v>
      </c>
      <c r="R168" s="223" t="s">
        <v>1212</v>
      </c>
      <c r="S168" s="222"/>
      <c r="T168" s="216"/>
    </row>
    <row r="169" spans="1:20">
      <c r="A169" s="216">
        <f t="shared" si="2"/>
        <v>162</v>
      </c>
      <c r="B169" s="224">
        <v>17</v>
      </c>
      <c r="C169" s="225" t="s">
        <v>1371</v>
      </c>
      <c r="D169" s="219" t="s">
        <v>1372</v>
      </c>
      <c r="E169" s="220">
        <v>121111111</v>
      </c>
      <c r="F169" s="219" t="s">
        <v>1210</v>
      </c>
      <c r="G169" s="220" t="s">
        <v>1210</v>
      </c>
      <c r="H169" s="219" t="s">
        <v>1210</v>
      </c>
      <c r="I169" s="220" t="s">
        <v>1210</v>
      </c>
      <c r="J169" s="219" t="s">
        <v>1210</v>
      </c>
      <c r="K169" s="221" t="s">
        <v>1210</v>
      </c>
      <c r="L169" s="219" t="s">
        <v>1210</v>
      </c>
      <c r="M169" s="221" t="s">
        <v>1210</v>
      </c>
      <c r="N169" s="219" t="s">
        <v>1210</v>
      </c>
      <c r="O169" s="221" t="s">
        <v>1210</v>
      </c>
      <c r="P169" s="222" t="s">
        <v>1211</v>
      </c>
      <c r="Q169" s="223" t="s">
        <v>1212</v>
      </c>
      <c r="R169" s="223" t="s">
        <v>1212</v>
      </c>
      <c r="S169" s="222"/>
      <c r="T169" s="216"/>
    </row>
    <row r="170" spans="1:20">
      <c r="A170" s="216">
        <f t="shared" si="2"/>
        <v>163</v>
      </c>
      <c r="B170" s="224">
        <v>17</v>
      </c>
      <c r="C170" s="225" t="s">
        <v>1371</v>
      </c>
      <c r="D170" s="219" t="s">
        <v>1372</v>
      </c>
      <c r="E170" s="220" t="s">
        <v>1383</v>
      </c>
      <c r="F170" s="219" t="s">
        <v>1210</v>
      </c>
      <c r="G170" s="220" t="s">
        <v>1210</v>
      </c>
      <c r="H170" s="219" t="s">
        <v>1210</v>
      </c>
      <c r="I170" s="220" t="s">
        <v>1210</v>
      </c>
      <c r="J170" s="219" t="s">
        <v>1210</v>
      </c>
      <c r="K170" s="221" t="s">
        <v>1210</v>
      </c>
      <c r="L170" s="219" t="s">
        <v>1210</v>
      </c>
      <c r="M170" s="221" t="s">
        <v>1210</v>
      </c>
      <c r="N170" s="219" t="s">
        <v>1210</v>
      </c>
      <c r="O170" s="221" t="s">
        <v>1210</v>
      </c>
      <c r="P170" s="222" t="s">
        <v>1211</v>
      </c>
      <c r="Q170" s="223" t="s">
        <v>1212</v>
      </c>
      <c r="R170" s="223" t="s">
        <v>1212</v>
      </c>
      <c r="S170" s="222"/>
      <c r="T170" s="216"/>
    </row>
    <row r="171" spans="1:20">
      <c r="A171" s="216">
        <f t="shared" si="2"/>
        <v>164</v>
      </c>
      <c r="B171" s="224">
        <v>17</v>
      </c>
      <c r="C171" s="225" t="s">
        <v>1371</v>
      </c>
      <c r="D171" s="219" t="s">
        <v>1372</v>
      </c>
      <c r="E171" s="220" t="s">
        <v>1384</v>
      </c>
      <c r="F171" s="219" t="s">
        <v>1210</v>
      </c>
      <c r="G171" s="220" t="s">
        <v>1210</v>
      </c>
      <c r="H171" s="219" t="s">
        <v>1210</v>
      </c>
      <c r="I171" s="220" t="s">
        <v>1210</v>
      </c>
      <c r="J171" s="219" t="s">
        <v>1210</v>
      </c>
      <c r="K171" s="221" t="s">
        <v>1210</v>
      </c>
      <c r="L171" s="219" t="s">
        <v>1210</v>
      </c>
      <c r="M171" s="221" t="s">
        <v>1210</v>
      </c>
      <c r="N171" s="219" t="s">
        <v>1210</v>
      </c>
      <c r="O171" s="221" t="s">
        <v>1210</v>
      </c>
      <c r="P171" s="222" t="s">
        <v>1211</v>
      </c>
      <c r="Q171" s="223" t="s">
        <v>1212</v>
      </c>
      <c r="R171" s="223" t="s">
        <v>1212</v>
      </c>
      <c r="S171" s="222"/>
      <c r="T171" s="216"/>
    </row>
    <row r="172" spans="1:20">
      <c r="A172" s="216">
        <f t="shared" si="2"/>
        <v>165</v>
      </c>
      <c r="B172" s="224">
        <v>17</v>
      </c>
      <c r="C172" s="225" t="s">
        <v>1371</v>
      </c>
      <c r="D172" s="219" t="s">
        <v>1372</v>
      </c>
      <c r="E172" s="220" t="s">
        <v>1385</v>
      </c>
      <c r="F172" s="219" t="s">
        <v>1210</v>
      </c>
      <c r="G172" s="220" t="s">
        <v>1210</v>
      </c>
      <c r="H172" s="219" t="s">
        <v>1210</v>
      </c>
      <c r="I172" s="220" t="s">
        <v>1210</v>
      </c>
      <c r="J172" s="219" t="s">
        <v>1210</v>
      </c>
      <c r="K172" s="221" t="s">
        <v>1210</v>
      </c>
      <c r="L172" s="219" t="s">
        <v>1210</v>
      </c>
      <c r="M172" s="221" t="s">
        <v>1210</v>
      </c>
      <c r="N172" s="219" t="s">
        <v>1210</v>
      </c>
      <c r="O172" s="221" t="s">
        <v>1210</v>
      </c>
      <c r="P172" s="222" t="s">
        <v>1211</v>
      </c>
      <c r="Q172" s="223" t="s">
        <v>1212</v>
      </c>
      <c r="R172" s="223" t="s">
        <v>1212</v>
      </c>
      <c r="S172" s="222"/>
      <c r="T172" s="216"/>
    </row>
    <row r="173" spans="1:20">
      <c r="A173" s="216">
        <f t="shared" si="2"/>
        <v>166</v>
      </c>
      <c r="B173" s="224">
        <v>17</v>
      </c>
      <c r="C173" s="225" t="s">
        <v>1371</v>
      </c>
      <c r="D173" s="219" t="s">
        <v>1372</v>
      </c>
      <c r="E173" s="220" t="s">
        <v>1386</v>
      </c>
      <c r="F173" s="219" t="s">
        <v>1210</v>
      </c>
      <c r="G173" s="220" t="s">
        <v>1210</v>
      </c>
      <c r="H173" s="219" t="s">
        <v>1210</v>
      </c>
      <c r="I173" s="220" t="s">
        <v>1210</v>
      </c>
      <c r="J173" s="219" t="s">
        <v>1210</v>
      </c>
      <c r="K173" s="221" t="s">
        <v>1210</v>
      </c>
      <c r="L173" s="219" t="s">
        <v>1210</v>
      </c>
      <c r="M173" s="221" t="s">
        <v>1210</v>
      </c>
      <c r="N173" s="219" t="s">
        <v>1210</v>
      </c>
      <c r="O173" s="221" t="s">
        <v>1210</v>
      </c>
      <c r="P173" s="222" t="s">
        <v>1211</v>
      </c>
      <c r="Q173" s="223" t="s">
        <v>1212</v>
      </c>
      <c r="R173" s="223" t="s">
        <v>1212</v>
      </c>
      <c r="S173" s="222"/>
      <c r="T173" s="216"/>
    </row>
    <row r="174" spans="1:20">
      <c r="A174" s="216">
        <f t="shared" si="2"/>
        <v>167</v>
      </c>
      <c r="B174" s="224">
        <v>17</v>
      </c>
      <c r="C174" s="225" t="s">
        <v>1371</v>
      </c>
      <c r="D174" s="219" t="s">
        <v>1372</v>
      </c>
      <c r="E174" s="220" t="s">
        <v>1387</v>
      </c>
      <c r="F174" s="219" t="s">
        <v>1210</v>
      </c>
      <c r="G174" s="220" t="s">
        <v>1210</v>
      </c>
      <c r="H174" s="219" t="s">
        <v>1210</v>
      </c>
      <c r="I174" s="220" t="s">
        <v>1210</v>
      </c>
      <c r="J174" s="219" t="s">
        <v>1210</v>
      </c>
      <c r="K174" s="221" t="s">
        <v>1210</v>
      </c>
      <c r="L174" s="219" t="s">
        <v>1210</v>
      </c>
      <c r="M174" s="221" t="s">
        <v>1210</v>
      </c>
      <c r="N174" s="219" t="s">
        <v>1210</v>
      </c>
      <c r="O174" s="221" t="s">
        <v>1210</v>
      </c>
      <c r="P174" s="222" t="s">
        <v>1211</v>
      </c>
      <c r="Q174" s="223" t="s">
        <v>1212</v>
      </c>
      <c r="R174" s="223" t="s">
        <v>1212</v>
      </c>
      <c r="S174" s="222"/>
      <c r="T174" s="216"/>
    </row>
    <row r="175" spans="1:20">
      <c r="A175" s="216">
        <f t="shared" si="2"/>
        <v>168</v>
      </c>
      <c r="B175" s="224">
        <v>17</v>
      </c>
      <c r="C175" s="225" t="s">
        <v>1371</v>
      </c>
      <c r="D175" s="219" t="s">
        <v>1372</v>
      </c>
      <c r="E175" s="220" t="s">
        <v>1388</v>
      </c>
      <c r="F175" s="219" t="s">
        <v>1210</v>
      </c>
      <c r="G175" s="220" t="s">
        <v>1210</v>
      </c>
      <c r="H175" s="219" t="s">
        <v>1210</v>
      </c>
      <c r="I175" s="220" t="s">
        <v>1210</v>
      </c>
      <c r="J175" s="219" t="s">
        <v>1210</v>
      </c>
      <c r="K175" s="221" t="s">
        <v>1210</v>
      </c>
      <c r="L175" s="219" t="s">
        <v>1210</v>
      </c>
      <c r="M175" s="221" t="s">
        <v>1210</v>
      </c>
      <c r="N175" s="219" t="s">
        <v>1210</v>
      </c>
      <c r="O175" s="221" t="s">
        <v>1210</v>
      </c>
      <c r="P175" s="222" t="s">
        <v>1211</v>
      </c>
      <c r="Q175" s="223" t="s">
        <v>1212</v>
      </c>
      <c r="R175" s="223" t="s">
        <v>1212</v>
      </c>
      <c r="S175" s="222"/>
      <c r="T175" s="216"/>
    </row>
    <row r="176" spans="1:20">
      <c r="A176" s="216">
        <f t="shared" si="2"/>
        <v>169</v>
      </c>
      <c r="B176" s="224">
        <v>17</v>
      </c>
      <c r="C176" s="225" t="s">
        <v>1371</v>
      </c>
      <c r="D176" s="219" t="s">
        <v>1372</v>
      </c>
      <c r="E176" s="220" t="s">
        <v>1389</v>
      </c>
      <c r="F176" s="219" t="s">
        <v>1210</v>
      </c>
      <c r="G176" s="220" t="s">
        <v>1210</v>
      </c>
      <c r="H176" s="219" t="s">
        <v>1210</v>
      </c>
      <c r="I176" s="220" t="s">
        <v>1210</v>
      </c>
      <c r="J176" s="219" t="s">
        <v>1210</v>
      </c>
      <c r="K176" s="221" t="s">
        <v>1210</v>
      </c>
      <c r="L176" s="219" t="s">
        <v>1210</v>
      </c>
      <c r="M176" s="221" t="s">
        <v>1210</v>
      </c>
      <c r="N176" s="219" t="s">
        <v>1210</v>
      </c>
      <c r="O176" s="221" t="s">
        <v>1210</v>
      </c>
      <c r="P176" s="222" t="s">
        <v>1211</v>
      </c>
      <c r="Q176" s="223" t="s">
        <v>1212</v>
      </c>
      <c r="R176" s="223" t="s">
        <v>1212</v>
      </c>
      <c r="S176" s="222"/>
      <c r="T176" s="216"/>
    </row>
    <row r="177" spans="1:20">
      <c r="A177" s="216">
        <f t="shared" si="2"/>
        <v>170</v>
      </c>
      <c r="B177" s="224">
        <v>17</v>
      </c>
      <c r="C177" s="225" t="s">
        <v>1371</v>
      </c>
      <c r="D177" s="219" t="s">
        <v>1372</v>
      </c>
      <c r="E177" s="220" t="s">
        <v>1390</v>
      </c>
      <c r="F177" s="219" t="s">
        <v>1210</v>
      </c>
      <c r="G177" s="220" t="s">
        <v>1210</v>
      </c>
      <c r="H177" s="219" t="s">
        <v>1210</v>
      </c>
      <c r="I177" s="220" t="s">
        <v>1210</v>
      </c>
      <c r="J177" s="219" t="s">
        <v>1210</v>
      </c>
      <c r="K177" s="221" t="s">
        <v>1210</v>
      </c>
      <c r="L177" s="219" t="s">
        <v>1210</v>
      </c>
      <c r="M177" s="221" t="s">
        <v>1210</v>
      </c>
      <c r="N177" s="219" t="s">
        <v>1210</v>
      </c>
      <c r="O177" s="221" t="s">
        <v>1210</v>
      </c>
      <c r="P177" s="222" t="s">
        <v>1211</v>
      </c>
      <c r="Q177" s="223" t="s">
        <v>1212</v>
      </c>
      <c r="R177" s="223" t="s">
        <v>1212</v>
      </c>
      <c r="S177" s="222"/>
      <c r="T177" s="216"/>
    </row>
    <row r="178" spans="1:20">
      <c r="A178" s="216">
        <f t="shared" si="2"/>
        <v>171</v>
      </c>
      <c r="B178" s="224">
        <v>17</v>
      </c>
      <c r="C178" s="225" t="s">
        <v>1371</v>
      </c>
      <c r="D178" s="219" t="s">
        <v>1372</v>
      </c>
      <c r="E178" s="220" t="s">
        <v>1391</v>
      </c>
      <c r="F178" s="219" t="s">
        <v>1210</v>
      </c>
      <c r="G178" s="220" t="s">
        <v>1210</v>
      </c>
      <c r="H178" s="219" t="s">
        <v>1210</v>
      </c>
      <c r="I178" s="220" t="s">
        <v>1210</v>
      </c>
      <c r="J178" s="219" t="s">
        <v>1210</v>
      </c>
      <c r="K178" s="221" t="s">
        <v>1210</v>
      </c>
      <c r="L178" s="219" t="s">
        <v>1210</v>
      </c>
      <c r="M178" s="221" t="s">
        <v>1210</v>
      </c>
      <c r="N178" s="219" t="s">
        <v>1210</v>
      </c>
      <c r="O178" s="221" t="s">
        <v>1210</v>
      </c>
      <c r="P178" s="222" t="s">
        <v>1211</v>
      </c>
      <c r="Q178" s="223" t="s">
        <v>1212</v>
      </c>
      <c r="R178" s="223" t="s">
        <v>1212</v>
      </c>
      <c r="S178" s="222"/>
      <c r="T178" s="216"/>
    </row>
    <row r="179" spans="1:20">
      <c r="A179" s="216">
        <f t="shared" si="2"/>
        <v>172</v>
      </c>
      <c r="B179" s="224">
        <v>17</v>
      </c>
      <c r="C179" s="225" t="s">
        <v>1371</v>
      </c>
      <c r="D179" s="226" t="s">
        <v>1372</v>
      </c>
      <c r="E179" s="227">
        <v>1211111111</v>
      </c>
      <c r="F179" s="226" t="s">
        <v>1210</v>
      </c>
      <c r="G179" s="227" t="s">
        <v>1210</v>
      </c>
      <c r="H179" s="226" t="s">
        <v>1210</v>
      </c>
      <c r="I179" s="227" t="s">
        <v>1210</v>
      </c>
      <c r="J179" s="226" t="s">
        <v>1210</v>
      </c>
      <c r="K179" s="228" t="s">
        <v>1210</v>
      </c>
      <c r="L179" s="226" t="s">
        <v>1210</v>
      </c>
      <c r="M179" s="228" t="s">
        <v>1210</v>
      </c>
      <c r="N179" s="226" t="s">
        <v>1210</v>
      </c>
      <c r="O179" s="228" t="s">
        <v>1210</v>
      </c>
      <c r="P179" s="229" t="s">
        <v>1216</v>
      </c>
      <c r="Q179" s="230" t="s">
        <v>1371</v>
      </c>
      <c r="R179" s="230" t="s">
        <v>1373</v>
      </c>
      <c r="S179" s="222"/>
      <c r="T179" s="216"/>
    </row>
    <row r="180" spans="1:20">
      <c r="A180" s="216">
        <f t="shared" si="2"/>
        <v>173</v>
      </c>
      <c r="B180" s="224">
        <v>17</v>
      </c>
      <c r="C180" s="225" t="s">
        <v>1371</v>
      </c>
      <c r="D180" s="219" t="s">
        <v>1372</v>
      </c>
      <c r="E180" s="220" t="s">
        <v>1392</v>
      </c>
      <c r="F180" s="219" t="s">
        <v>1210</v>
      </c>
      <c r="G180" s="220" t="s">
        <v>1210</v>
      </c>
      <c r="H180" s="219" t="s">
        <v>1210</v>
      </c>
      <c r="I180" s="220" t="s">
        <v>1210</v>
      </c>
      <c r="J180" s="219" t="s">
        <v>1210</v>
      </c>
      <c r="K180" s="221" t="s">
        <v>1210</v>
      </c>
      <c r="L180" s="219" t="s">
        <v>1210</v>
      </c>
      <c r="M180" s="221" t="s">
        <v>1210</v>
      </c>
      <c r="N180" s="219" t="s">
        <v>1210</v>
      </c>
      <c r="O180" s="221" t="s">
        <v>1210</v>
      </c>
      <c r="P180" s="222" t="s">
        <v>1211</v>
      </c>
      <c r="Q180" s="223" t="s">
        <v>1212</v>
      </c>
      <c r="R180" s="223" t="s">
        <v>1212</v>
      </c>
      <c r="S180" s="222"/>
      <c r="T180" s="216"/>
    </row>
    <row r="181" spans="1:20">
      <c r="A181" s="216">
        <f t="shared" si="2"/>
        <v>174</v>
      </c>
      <c r="B181" s="224">
        <v>17</v>
      </c>
      <c r="C181" s="225" t="s">
        <v>1371</v>
      </c>
      <c r="D181" s="219" t="s">
        <v>1372</v>
      </c>
      <c r="E181" s="220" t="s">
        <v>1393</v>
      </c>
      <c r="F181" s="219" t="s">
        <v>1210</v>
      </c>
      <c r="G181" s="220" t="s">
        <v>1210</v>
      </c>
      <c r="H181" s="219" t="s">
        <v>1210</v>
      </c>
      <c r="I181" s="220" t="s">
        <v>1210</v>
      </c>
      <c r="J181" s="219" t="s">
        <v>1210</v>
      </c>
      <c r="K181" s="221" t="s">
        <v>1210</v>
      </c>
      <c r="L181" s="219" t="s">
        <v>1210</v>
      </c>
      <c r="M181" s="221" t="s">
        <v>1210</v>
      </c>
      <c r="N181" s="219" t="s">
        <v>1210</v>
      </c>
      <c r="O181" s="221" t="s">
        <v>1210</v>
      </c>
      <c r="P181" s="222" t="s">
        <v>1211</v>
      </c>
      <c r="Q181" s="223" t="s">
        <v>1212</v>
      </c>
      <c r="R181" s="223" t="s">
        <v>1212</v>
      </c>
      <c r="S181" s="222"/>
      <c r="T181" s="216"/>
    </row>
    <row r="182" spans="1:20">
      <c r="A182" s="216">
        <f t="shared" si="2"/>
        <v>175</v>
      </c>
      <c r="B182" s="224">
        <v>17</v>
      </c>
      <c r="C182" s="225" t="s">
        <v>1371</v>
      </c>
      <c r="D182" s="219" t="s">
        <v>1372</v>
      </c>
      <c r="E182" s="220" t="s">
        <v>1394</v>
      </c>
      <c r="F182" s="219" t="s">
        <v>1210</v>
      </c>
      <c r="G182" s="220" t="s">
        <v>1210</v>
      </c>
      <c r="H182" s="219" t="s">
        <v>1210</v>
      </c>
      <c r="I182" s="220" t="s">
        <v>1210</v>
      </c>
      <c r="J182" s="219" t="s">
        <v>1210</v>
      </c>
      <c r="K182" s="221" t="s">
        <v>1210</v>
      </c>
      <c r="L182" s="219" t="s">
        <v>1210</v>
      </c>
      <c r="M182" s="221" t="s">
        <v>1210</v>
      </c>
      <c r="N182" s="219" t="s">
        <v>1210</v>
      </c>
      <c r="O182" s="221" t="s">
        <v>1210</v>
      </c>
      <c r="P182" s="222" t="s">
        <v>1211</v>
      </c>
      <c r="Q182" s="223" t="s">
        <v>1212</v>
      </c>
      <c r="R182" s="223" t="s">
        <v>1212</v>
      </c>
      <c r="S182" s="222"/>
      <c r="T182" s="216"/>
    </row>
    <row r="183" spans="1:20">
      <c r="A183" s="216">
        <f t="shared" si="2"/>
        <v>176</v>
      </c>
      <c r="B183" s="224">
        <v>17</v>
      </c>
      <c r="C183" s="225" t="s">
        <v>1371</v>
      </c>
      <c r="D183" s="219" t="s">
        <v>1372</v>
      </c>
      <c r="E183" s="220" t="s">
        <v>1395</v>
      </c>
      <c r="F183" s="219" t="s">
        <v>1210</v>
      </c>
      <c r="G183" s="220" t="s">
        <v>1210</v>
      </c>
      <c r="H183" s="219" t="s">
        <v>1210</v>
      </c>
      <c r="I183" s="220" t="s">
        <v>1210</v>
      </c>
      <c r="J183" s="219" t="s">
        <v>1210</v>
      </c>
      <c r="K183" s="221" t="s">
        <v>1210</v>
      </c>
      <c r="L183" s="219" t="s">
        <v>1210</v>
      </c>
      <c r="M183" s="221" t="s">
        <v>1210</v>
      </c>
      <c r="N183" s="219" t="s">
        <v>1210</v>
      </c>
      <c r="O183" s="221" t="s">
        <v>1210</v>
      </c>
      <c r="P183" s="222" t="s">
        <v>1211</v>
      </c>
      <c r="Q183" s="223" t="s">
        <v>1212</v>
      </c>
      <c r="R183" s="223" t="s">
        <v>1212</v>
      </c>
      <c r="S183" s="222"/>
      <c r="T183" s="216"/>
    </row>
    <row r="184" spans="1:20">
      <c r="A184" s="216">
        <f t="shared" si="2"/>
        <v>177</v>
      </c>
      <c r="B184" s="224">
        <v>17</v>
      </c>
      <c r="C184" s="225" t="s">
        <v>1371</v>
      </c>
      <c r="D184" s="219" t="s">
        <v>1372</v>
      </c>
      <c r="E184" s="220" t="s">
        <v>1396</v>
      </c>
      <c r="F184" s="219" t="s">
        <v>1210</v>
      </c>
      <c r="G184" s="220" t="s">
        <v>1210</v>
      </c>
      <c r="H184" s="219" t="s">
        <v>1210</v>
      </c>
      <c r="I184" s="220" t="s">
        <v>1210</v>
      </c>
      <c r="J184" s="219" t="s">
        <v>1210</v>
      </c>
      <c r="K184" s="221" t="s">
        <v>1210</v>
      </c>
      <c r="L184" s="219" t="s">
        <v>1210</v>
      </c>
      <c r="M184" s="221" t="s">
        <v>1210</v>
      </c>
      <c r="N184" s="219" t="s">
        <v>1210</v>
      </c>
      <c r="O184" s="221" t="s">
        <v>1210</v>
      </c>
      <c r="P184" s="222" t="s">
        <v>1211</v>
      </c>
      <c r="Q184" s="223" t="s">
        <v>1212</v>
      </c>
      <c r="R184" s="223" t="s">
        <v>1212</v>
      </c>
      <c r="S184" s="222"/>
      <c r="T184" s="216"/>
    </row>
    <row r="185" spans="1:20">
      <c r="A185" s="216">
        <f t="shared" si="2"/>
        <v>178</v>
      </c>
      <c r="B185" s="224">
        <v>17</v>
      </c>
      <c r="C185" s="225" t="s">
        <v>1371</v>
      </c>
      <c r="D185" s="219" t="s">
        <v>1372</v>
      </c>
      <c r="E185" s="220" t="s">
        <v>1397</v>
      </c>
      <c r="F185" s="219" t="s">
        <v>1210</v>
      </c>
      <c r="G185" s="220" t="s">
        <v>1210</v>
      </c>
      <c r="H185" s="219" t="s">
        <v>1210</v>
      </c>
      <c r="I185" s="220" t="s">
        <v>1210</v>
      </c>
      <c r="J185" s="219" t="s">
        <v>1210</v>
      </c>
      <c r="K185" s="221" t="s">
        <v>1210</v>
      </c>
      <c r="L185" s="219" t="s">
        <v>1210</v>
      </c>
      <c r="M185" s="221" t="s">
        <v>1210</v>
      </c>
      <c r="N185" s="219" t="s">
        <v>1210</v>
      </c>
      <c r="O185" s="221" t="s">
        <v>1210</v>
      </c>
      <c r="P185" s="222" t="s">
        <v>1211</v>
      </c>
      <c r="Q185" s="223" t="s">
        <v>1212</v>
      </c>
      <c r="R185" s="223" t="s">
        <v>1212</v>
      </c>
      <c r="S185" s="222"/>
      <c r="T185" s="216"/>
    </row>
    <row r="186" spans="1:20">
      <c r="A186" s="216">
        <f t="shared" si="2"/>
        <v>179</v>
      </c>
      <c r="B186" s="224">
        <v>17</v>
      </c>
      <c r="C186" s="225" t="s">
        <v>1371</v>
      </c>
      <c r="D186" s="219" t="s">
        <v>1372</v>
      </c>
      <c r="E186" s="220" t="s">
        <v>1398</v>
      </c>
      <c r="F186" s="219" t="s">
        <v>1210</v>
      </c>
      <c r="G186" s="220" t="s">
        <v>1210</v>
      </c>
      <c r="H186" s="219" t="s">
        <v>1210</v>
      </c>
      <c r="I186" s="220" t="s">
        <v>1210</v>
      </c>
      <c r="J186" s="219" t="s">
        <v>1210</v>
      </c>
      <c r="K186" s="221" t="s">
        <v>1210</v>
      </c>
      <c r="L186" s="219" t="s">
        <v>1210</v>
      </c>
      <c r="M186" s="221" t="s">
        <v>1210</v>
      </c>
      <c r="N186" s="219" t="s">
        <v>1210</v>
      </c>
      <c r="O186" s="221" t="s">
        <v>1210</v>
      </c>
      <c r="P186" s="222" t="s">
        <v>1211</v>
      </c>
      <c r="Q186" s="223" t="s">
        <v>1212</v>
      </c>
      <c r="R186" s="223" t="s">
        <v>1212</v>
      </c>
      <c r="S186" s="222"/>
      <c r="T186" s="216"/>
    </row>
    <row r="187" spans="1:20">
      <c r="A187" s="216">
        <f t="shared" si="2"/>
        <v>180</v>
      </c>
      <c r="B187" s="224">
        <v>17</v>
      </c>
      <c r="C187" s="225" t="s">
        <v>1371</v>
      </c>
      <c r="D187" s="219" t="s">
        <v>1372</v>
      </c>
      <c r="E187" s="220" t="s">
        <v>1399</v>
      </c>
      <c r="F187" s="219" t="s">
        <v>1210</v>
      </c>
      <c r="G187" s="220" t="s">
        <v>1210</v>
      </c>
      <c r="H187" s="219" t="s">
        <v>1210</v>
      </c>
      <c r="I187" s="220" t="s">
        <v>1210</v>
      </c>
      <c r="J187" s="219" t="s">
        <v>1210</v>
      </c>
      <c r="K187" s="221" t="s">
        <v>1210</v>
      </c>
      <c r="L187" s="219" t="s">
        <v>1210</v>
      </c>
      <c r="M187" s="221" t="s">
        <v>1210</v>
      </c>
      <c r="N187" s="219" t="s">
        <v>1210</v>
      </c>
      <c r="O187" s="221" t="s">
        <v>1210</v>
      </c>
      <c r="P187" s="222" t="s">
        <v>1211</v>
      </c>
      <c r="Q187" s="223" t="s">
        <v>1212</v>
      </c>
      <c r="R187" s="223" t="s">
        <v>1212</v>
      </c>
      <c r="S187" s="222"/>
      <c r="T187" s="216"/>
    </row>
    <row r="188" spans="1:20">
      <c r="A188" s="216">
        <f t="shared" si="2"/>
        <v>181</v>
      </c>
      <c r="B188" s="224">
        <v>17</v>
      </c>
      <c r="C188" s="225" t="s">
        <v>1371</v>
      </c>
      <c r="D188" s="219" t="s">
        <v>1372</v>
      </c>
      <c r="E188" s="220" t="s">
        <v>1400</v>
      </c>
      <c r="F188" s="219" t="s">
        <v>1210</v>
      </c>
      <c r="G188" s="220" t="s">
        <v>1210</v>
      </c>
      <c r="H188" s="219" t="s">
        <v>1210</v>
      </c>
      <c r="I188" s="220" t="s">
        <v>1210</v>
      </c>
      <c r="J188" s="219" t="s">
        <v>1210</v>
      </c>
      <c r="K188" s="221" t="s">
        <v>1210</v>
      </c>
      <c r="L188" s="219" t="s">
        <v>1210</v>
      </c>
      <c r="M188" s="221" t="s">
        <v>1210</v>
      </c>
      <c r="N188" s="219" t="s">
        <v>1210</v>
      </c>
      <c r="O188" s="221" t="s">
        <v>1210</v>
      </c>
      <c r="P188" s="222" t="s">
        <v>1211</v>
      </c>
      <c r="Q188" s="223" t="s">
        <v>1212</v>
      </c>
      <c r="R188" s="223" t="s">
        <v>1212</v>
      </c>
      <c r="S188" s="222"/>
      <c r="T188" s="216"/>
    </row>
    <row r="189" spans="1:20">
      <c r="A189" s="216">
        <f t="shared" si="2"/>
        <v>182</v>
      </c>
      <c r="B189" s="224">
        <v>17</v>
      </c>
      <c r="C189" s="225" t="s">
        <v>1371</v>
      </c>
      <c r="D189" s="219" t="s">
        <v>1372</v>
      </c>
      <c r="E189" s="220" t="s">
        <v>1401</v>
      </c>
      <c r="F189" s="219" t="s">
        <v>1210</v>
      </c>
      <c r="G189" s="220" t="s">
        <v>1210</v>
      </c>
      <c r="H189" s="219" t="s">
        <v>1210</v>
      </c>
      <c r="I189" s="220" t="s">
        <v>1210</v>
      </c>
      <c r="J189" s="219" t="s">
        <v>1210</v>
      </c>
      <c r="K189" s="221" t="s">
        <v>1210</v>
      </c>
      <c r="L189" s="219" t="s">
        <v>1210</v>
      </c>
      <c r="M189" s="221" t="s">
        <v>1210</v>
      </c>
      <c r="N189" s="219" t="s">
        <v>1210</v>
      </c>
      <c r="O189" s="221" t="s">
        <v>1210</v>
      </c>
      <c r="P189" s="222" t="s">
        <v>1211</v>
      </c>
      <c r="Q189" s="223" t="s">
        <v>1212</v>
      </c>
      <c r="R189" s="223" t="s">
        <v>1212</v>
      </c>
      <c r="S189" s="222"/>
      <c r="T189" s="216"/>
    </row>
    <row r="190" spans="1:20">
      <c r="A190" s="216">
        <f t="shared" si="2"/>
        <v>183</v>
      </c>
      <c r="B190" s="224">
        <v>17</v>
      </c>
      <c r="C190" s="225" t="s">
        <v>1371</v>
      </c>
      <c r="D190" s="219" t="s">
        <v>1372</v>
      </c>
      <c r="E190" s="220" t="s">
        <v>1402</v>
      </c>
      <c r="F190" s="219" t="s">
        <v>1210</v>
      </c>
      <c r="G190" s="220" t="s">
        <v>1210</v>
      </c>
      <c r="H190" s="219" t="s">
        <v>1210</v>
      </c>
      <c r="I190" s="220" t="s">
        <v>1210</v>
      </c>
      <c r="J190" s="219" t="s">
        <v>1210</v>
      </c>
      <c r="K190" s="221" t="s">
        <v>1210</v>
      </c>
      <c r="L190" s="219" t="s">
        <v>1210</v>
      </c>
      <c r="M190" s="221" t="s">
        <v>1210</v>
      </c>
      <c r="N190" s="219" t="s">
        <v>1210</v>
      </c>
      <c r="O190" s="221" t="s">
        <v>1210</v>
      </c>
      <c r="P190" s="222" t="s">
        <v>1211</v>
      </c>
      <c r="Q190" s="223" t="s">
        <v>1212</v>
      </c>
      <c r="R190" s="223" t="s">
        <v>1212</v>
      </c>
      <c r="S190" s="222"/>
      <c r="T190" s="216"/>
    </row>
    <row r="191" spans="1:20">
      <c r="A191" s="216">
        <f t="shared" si="2"/>
        <v>184</v>
      </c>
      <c r="B191" s="224">
        <v>17</v>
      </c>
      <c r="C191" s="225" t="s">
        <v>1371</v>
      </c>
      <c r="D191" s="219" t="s">
        <v>1372</v>
      </c>
      <c r="E191" s="220" t="s">
        <v>1403</v>
      </c>
      <c r="F191" s="219" t="s">
        <v>1210</v>
      </c>
      <c r="G191" s="220" t="s">
        <v>1210</v>
      </c>
      <c r="H191" s="219" t="s">
        <v>1210</v>
      </c>
      <c r="I191" s="220" t="s">
        <v>1210</v>
      </c>
      <c r="J191" s="219" t="s">
        <v>1210</v>
      </c>
      <c r="K191" s="221" t="s">
        <v>1210</v>
      </c>
      <c r="L191" s="219" t="s">
        <v>1210</v>
      </c>
      <c r="M191" s="221" t="s">
        <v>1210</v>
      </c>
      <c r="N191" s="219" t="s">
        <v>1210</v>
      </c>
      <c r="O191" s="221" t="s">
        <v>1210</v>
      </c>
      <c r="P191" s="222" t="s">
        <v>1211</v>
      </c>
      <c r="Q191" s="223" t="s">
        <v>1212</v>
      </c>
      <c r="R191" s="223" t="s">
        <v>1212</v>
      </c>
      <c r="S191" s="222"/>
      <c r="T191" s="216"/>
    </row>
    <row r="192" spans="1:20">
      <c r="A192" s="216">
        <f t="shared" si="2"/>
        <v>185</v>
      </c>
      <c r="B192" s="224">
        <v>17</v>
      </c>
      <c r="C192" s="225" t="s">
        <v>1371</v>
      </c>
      <c r="D192" s="219" t="s">
        <v>1372</v>
      </c>
      <c r="E192" s="220" t="s">
        <v>1404</v>
      </c>
      <c r="F192" s="219" t="s">
        <v>1210</v>
      </c>
      <c r="G192" s="220" t="s">
        <v>1210</v>
      </c>
      <c r="H192" s="219" t="s">
        <v>1210</v>
      </c>
      <c r="I192" s="220" t="s">
        <v>1210</v>
      </c>
      <c r="J192" s="219" t="s">
        <v>1210</v>
      </c>
      <c r="K192" s="221" t="s">
        <v>1210</v>
      </c>
      <c r="L192" s="219" t="s">
        <v>1210</v>
      </c>
      <c r="M192" s="221" t="s">
        <v>1210</v>
      </c>
      <c r="N192" s="219" t="s">
        <v>1210</v>
      </c>
      <c r="O192" s="221" t="s">
        <v>1210</v>
      </c>
      <c r="P192" s="222" t="s">
        <v>1211</v>
      </c>
      <c r="Q192" s="223" t="s">
        <v>1212</v>
      </c>
      <c r="R192" s="223" t="s">
        <v>1212</v>
      </c>
      <c r="S192" s="222"/>
      <c r="T192" s="216"/>
    </row>
    <row r="193" spans="1:20">
      <c r="A193" s="216">
        <f t="shared" si="2"/>
        <v>186</v>
      </c>
      <c r="B193" s="224">
        <v>17</v>
      </c>
      <c r="C193" s="225" t="s">
        <v>1371</v>
      </c>
      <c r="D193" s="219" t="s">
        <v>1372</v>
      </c>
      <c r="E193" s="220" t="s">
        <v>1405</v>
      </c>
      <c r="F193" s="219" t="s">
        <v>1210</v>
      </c>
      <c r="G193" s="220" t="s">
        <v>1210</v>
      </c>
      <c r="H193" s="219" t="s">
        <v>1210</v>
      </c>
      <c r="I193" s="220" t="s">
        <v>1210</v>
      </c>
      <c r="J193" s="219" t="s">
        <v>1210</v>
      </c>
      <c r="K193" s="221" t="s">
        <v>1210</v>
      </c>
      <c r="L193" s="219" t="s">
        <v>1210</v>
      </c>
      <c r="M193" s="221" t="s">
        <v>1210</v>
      </c>
      <c r="N193" s="219" t="s">
        <v>1210</v>
      </c>
      <c r="O193" s="221" t="s">
        <v>1210</v>
      </c>
      <c r="P193" s="222" t="s">
        <v>1211</v>
      </c>
      <c r="Q193" s="223" t="s">
        <v>1212</v>
      </c>
      <c r="R193" s="223" t="s">
        <v>1212</v>
      </c>
      <c r="S193" s="222"/>
      <c r="T193" s="216"/>
    </row>
    <row r="194" spans="1:20">
      <c r="A194" s="216">
        <f t="shared" si="2"/>
        <v>187</v>
      </c>
      <c r="B194" s="224">
        <v>17</v>
      </c>
      <c r="C194" s="225" t="s">
        <v>1371</v>
      </c>
      <c r="D194" s="219" t="s">
        <v>1372</v>
      </c>
      <c r="E194" s="220" t="s">
        <v>1406</v>
      </c>
      <c r="F194" s="219" t="s">
        <v>1210</v>
      </c>
      <c r="G194" s="220" t="s">
        <v>1210</v>
      </c>
      <c r="H194" s="219" t="s">
        <v>1210</v>
      </c>
      <c r="I194" s="220" t="s">
        <v>1210</v>
      </c>
      <c r="J194" s="219" t="s">
        <v>1210</v>
      </c>
      <c r="K194" s="221" t="s">
        <v>1210</v>
      </c>
      <c r="L194" s="219" t="s">
        <v>1210</v>
      </c>
      <c r="M194" s="221" t="s">
        <v>1210</v>
      </c>
      <c r="N194" s="219" t="s">
        <v>1210</v>
      </c>
      <c r="O194" s="221" t="s">
        <v>1210</v>
      </c>
      <c r="P194" s="222" t="s">
        <v>1211</v>
      </c>
      <c r="Q194" s="223" t="s">
        <v>1212</v>
      </c>
      <c r="R194" s="223" t="s">
        <v>1212</v>
      </c>
      <c r="S194" s="222"/>
      <c r="T194" s="216"/>
    </row>
    <row r="195" spans="1:20">
      <c r="A195" s="216">
        <f t="shared" si="2"/>
        <v>188</v>
      </c>
      <c r="B195" s="224">
        <v>17</v>
      </c>
      <c r="C195" s="225" t="s">
        <v>1371</v>
      </c>
      <c r="D195" s="219" t="s">
        <v>1372</v>
      </c>
      <c r="E195" s="220" t="s">
        <v>1407</v>
      </c>
      <c r="F195" s="219" t="s">
        <v>1210</v>
      </c>
      <c r="G195" s="220" t="s">
        <v>1210</v>
      </c>
      <c r="H195" s="219" t="s">
        <v>1210</v>
      </c>
      <c r="I195" s="220" t="s">
        <v>1210</v>
      </c>
      <c r="J195" s="219" t="s">
        <v>1210</v>
      </c>
      <c r="K195" s="221" t="s">
        <v>1210</v>
      </c>
      <c r="L195" s="219" t="s">
        <v>1210</v>
      </c>
      <c r="M195" s="221" t="s">
        <v>1210</v>
      </c>
      <c r="N195" s="219" t="s">
        <v>1210</v>
      </c>
      <c r="O195" s="221" t="s">
        <v>1210</v>
      </c>
      <c r="P195" s="222" t="s">
        <v>1211</v>
      </c>
      <c r="Q195" s="223" t="s">
        <v>1212</v>
      </c>
      <c r="R195" s="223" t="s">
        <v>1212</v>
      </c>
      <c r="S195" s="222"/>
      <c r="T195" s="216"/>
    </row>
    <row r="196" spans="1:20">
      <c r="A196" s="216">
        <f t="shared" si="2"/>
        <v>189</v>
      </c>
      <c r="B196" s="224">
        <v>17</v>
      </c>
      <c r="C196" s="225" t="s">
        <v>1371</v>
      </c>
      <c r="D196" s="219" t="s">
        <v>1372</v>
      </c>
      <c r="E196" s="220" t="s">
        <v>1408</v>
      </c>
      <c r="F196" s="219" t="s">
        <v>1210</v>
      </c>
      <c r="G196" s="220" t="s">
        <v>1210</v>
      </c>
      <c r="H196" s="219" t="s">
        <v>1210</v>
      </c>
      <c r="I196" s="220" t="s">
        <v>1210</v>
      </c>
      <c r="J196" s="219" t="s">
        <v>1210</v>
      </c>
      <c r="K196" s="221" t="s">
        <v>1210</v>
      </c>
      <c r="L196" s="219" t="s">
        <v>1210</v>
      </c>
      <c r="M196" s="221" t="s">
        <v>1210</v>
      </c>
      <c r="N196" s="219" t="s">
        <v>1210</v>
      </c>
      <c r="O196" s="221" t="s">
        <v>1210</v>
      </c>
      <c r="P196" s="222" t="s">
        <v>1211</v>
      </c>
      <c r="Q196" s="223" t="s">
        <v>1212</v>
      </c>
      <c r="R196" s="223" t="s">
        <v>1212</v>
      </c>
      <c r="S196" s="222"/>
      <c r="T196" s="216"/>
    </row>
    <row r="197" spans="1:20">
      <c r="A197" s="216">
        <f t="shared" si="2"/>
        <v>190</v>
      </c>
      <c r="B197" s="224">
        <v>17</v>
      </c>
      <c r="C197" s="225" t="s">
        <v>1371</v>
      </c>
      <c r="D197" s="219" t="s">
        <v>1372</v>
      </c>
      <c r="E197" s="220" t="s">
        <v>1409</v>
      </c>
      <c r="F197" s="219" t="s">
        <v>1210</v>
      </c>
      <c r="G197" s="220" t="s">
        <v>1210</v>
      </c>
      <c r="H197" s="219" t="s">
        <v>1210</v>
      </c>
      <c r="I197" s="220" t="s">
        <v>1210</v>
      </c>
      <c r="J197" s="219" t="s">
        <v>1210</v>
      </c>
      <c r="K197" s="221" t="s">
        <v>1210</v>
      </c>
      <c r="L197" s="219" t="s">
        <v>1210</v>
      </c>
      <c r="M197" s="221" t="s">
        <v>1210</v>
      </c>
      <c r="N197" s="219" t="s">
        <v>1210</v>
      </c>
      <c r="O197" s="221" t="s">
        <v>1210</v>
      </c>
      <c r="P197" s="222" t="s">
        <v>1211</v>
      </c>
      <c r="Q197" s="223" t="s">
        <v>1212</v>
      </c>
      <c r="R197" s="223" t="s">
        <v>1212</v>
      </c>
      <c r="S197" s="222"/>
      <c r="T197" s="216"/>
    </row>
    <row r="198" spans="1:20">
      <c r="A198" s="216">
        <f t="shared" si="2"/>
        <v>191</v>
      </c>
      <c r="B198" s="224">
        <v>17</v>
      </c>
      <c r="C198" s="225" t="s">
        <v>1371</v>
      </c>
      <c r="D198" s="219" t="s">
        <v>1372</v>
      </c>
      <c r="E198" s="220" t="s">
        <v>1410</v>
      </c>
      <c r="F198" s="219" t="s">
        <v>1210</v>
      </c>
      <c r="G198" s="220" t="s">
        <v>1210</v>
      </c>
      <c r="H198" s="219" t="s">
        <v>1210</v>
      </c>
      <c r="I198" s="220" t="s">
        <v>1210</v>
      </c>
      <c r="J198" s="219" t="s">
        <v>1210</v>
      </c>
      <c r="K198" s="221" t="s">
        <v>1210</v>
      </c>
      <c r="L198" s="219" t="s">
        <v>1210</v>
      </c>
      <c r="M198" s="221" t="s">
        <v>1210</v>
      </c>
      <c r="N198" s="219" t="s">
        <v>1210</v>
      </c>
      <c r="O198" s="221" t="s">
        <v>1210</v>
      </c>
      <c r="P198" s="222" t="s">
        <v>1211</v>
      </c>
      <c r="Q198" s="223" t="s">
        <v>1212</v>
      </c>
      <c r="R198" s="223" t="s">
        <v>1212</v>
      </c>
      <c r="S198" s="222"/>
      <c r="T198" s="216"/>
    </row>
    <row r="199" spans="1:20">
      <c r="A199" s="216">
        <f t="shared" si="2"/>
        <v>192</v>
      </c>
      <c r="B199" s="231">
        <v>17</v>
      </c>
      <c r="C199" s="232" t="s">
        <v>1371</v>
      </c>
      <c r="D199" s="226" t="s">
        <v>1372</v>
      </c>
      <c r="E199" s="227" t="s">
        <v>1411</v>
      </c>
      <c r="F199" s="226" t="s">
        <v>1210</v>
      </c>
      <c r="G199" s="227" t="s">
        <v>1210</v>
      </c>
      <c r="H199" s="226" t="s">
        <v>1210</v>
      </c>
      <c r="I199" s="227" t="s">
        <v>1210</v>
      </c>
      <c r="J199" s="226" t="s">
        <v>1210</v>
      </c>
      <c r="K199" s="228" t="s">
        <v>1210</v>
      </c>
      <c r="L199" s="226" t="s">
        <v>1210</v>
      </c>
      <c r="M199" s="228" t="s">
        <v>1210</v>
      </c>
      <c r="N199" s="226" t="s">
        <v>1210</v>
      </c>
      <c r="O199" s="228" t="s">
        <v>1210</v>
      </c>
      <c r="P199" s="229" t="s">
        <v>1216</v>
      </c>
      <c r="Q199" s="230" t="s">
        <v>1371</v>
      </c>
      <c r="R199" s="230" t="s">
        <v>1373</v>
      </c>
      <c r="S199" s="222"/>
      <c r="T199" s="216"/>
    </row>
    <row r="200" spans="1:20">
      <c r="A200" s="216">
        <f t="shared" si="2"/>
        <v>193</v>
      </c>
      <c r="B200" s="217">
        <v>18</v>
      </c>
      <c r="C200" s="218" t="s">
        <v>1371</v>
      </c>
      <c r="D200" s="219" t="s">
        <v>1372</v>
      </c>
      <c r="E200" s="220" t="s">
        <v>1412</v>
      </c>
      <c r="F200" s="219" t="s">
        <v>1210</v>
      </c>
      <c r="G200" s="220" t="s">
        <v>1210</v>
      </c>
      <c r="H200" s="219" t="s">
        <v>1210</v>
      </c>
      <c r="I200" s="220" t="s">
        <v>1210</v>
      </c>
      <c r="J200" s="219" t="s">
        <v>1210</v>
      </c>
      <c r="K200" s="221" t="s">
        <v>1210</v>
      </c>
      <c r="L200" s="219" t="s">
        <v>1210</v>
      </c>
      <c r="M200" s="221" t="s">
        <v>1210</v>
      </c>
      <c r="N200" s="219" t="s">
        <v>1210</v>
      </c>
      <c r="O200" s="221" t="s">
        <v>1210</v>
      </c>
      <c r="P200" s="222" t="s">
        <v>1211</v>
      </c>
      <c r="Q200" s="223" t="s">
        <v>1212</v>
      </c>
      <c r="R200" s="223" t="s">
        <v>1212</v>
      </c>
      <c r="S200" s="222"/>
      <c r="T200" s="216"/>
    </row>
    <row r="201" spans="1:20">
      <c r="A201" s="216">
        <f t="shared" si="2"/>
        <v>194</v>
      </c>
      <c r="B201" s="224">
        <v>18</v>
      </c>
      <c r="C201" s="225" t="s">
        <v>1371</v>
      </c>
      <c r="D201" s="219" t="s">
        <v>1372</v>
      </c>
      <c r="E201" s="220" t="s">
        <v>1413</v>
      </c>
      <c r="F201" s="219" t="s">
        <v>1210</v>
      </c>
      <c r="G201" s="220" t="s">
        <v>1210</v>
      </c>
      <c r="H201" s="219" t="s">
        <v>1210</v>
      </c>
      <c r="I201" s="220" t="s">
        <v>1210</v>
      </c>
      <c r="J201" s="219" t="s">
        <v>1210</v>
      </c>
      <c r="K201" s="221" t="s">
        <v>1210</v>
      </c>
      <c r="L201" s="219" t="s">
        <v>1210</v>
      </c>
      <c r="M201" s="221" t="s">
        <v>1210</v>
      </c>
      <c r="N201" s="219" t="s">
        <v>1210</v>
      </c>
      <c r="O201" s="221" t="s">
        <v>1210</v>
      </c>
      <c r="P201" s="222" t="s">
        <v>1211</v>
      </c>
      <c r="Q201" s="223" t="s">
        <v>1212</v>
      </c>
      <c r="R201" s="223" t="s">
        <v>1212</v>
      </c>
      <c r="S201" s="222"/>
      <c r="T201" s="216"/>
    </row>
    <row r="202" spans="1:20">
      <c r="A202" s="216">
        <f t="shared" si="2"/>
        <v>195</v>
      </c>
      <c r="B202" s="224">
        <v>18</v>
      </c>
      <c r="C202" s="225" t="s">
        <v>1371</v>
      </c>
      <c r="D202" s="219" t="s">
        <v>1372</v>
      </c>
      <c r="E202" s="220" t="s">
        <v>1414</v>
      </c>
      <c r="F202" s="219" t="s">
        <v>1210</v>
      </c>
      <c r="G202" s="220" t="s">
        <v>1210</v>
      </c>
      <c r="H202" s="219" t="s">
        <v>1210</v>
      </c>
      <c r="I202" s="220" t="s">
        <v>1210</v>
      </c>
      <c r="J202" s="219" t="s">
        <v>1210</v>
      </c>
      <c r="K202" s="221" t="s">
        <v>1210</v>
      </c>
      <c r="L202" s="219" t="s">
        <v>1210</v>
      </c>
      <c r="M202" s="221" t="s">
        <v>1210</v>
      </c>
      <c r="N202" s="219" t="s">
        <v>1210</v>
      </c>
      <c r="O202" s="221" t="s">
        <v>1210</v>
      </c>
      <c r="P202" s="222" t="s">
        <v>1211</v>
      </c>
      <c r="Q202" s="223" t="s">
        <v>1212</v>
      </c>
      <c r="R202" s="223" t="s">
        <v>1212</v>
      </c>
      <c r="S202" s="222"/>
      <c r="T202" s="216"/>
    </row>
    <row r="203" spans="1:20">
      <c r="A203" s="216">
        <f t="shared" si="2"/>
        <v>196</v>
      </c>
      <c r="B203" s="224">
        <v>18</v>
      </c>
      <c r="C203" s="225" t="s">
        <v>1371</v>
      </c>
      <c r="D203" s="219" t="s">
        <v>1372</v>
      </c>
      <c r="E203" s="220" t="s">
        <v>1415</v>
      </c>
      <c r="F203" s="219" t="s">
        <v>1210</v>
      </c>
      <c r="G203" s="220" t="s">
        <v>1210</v>
      </c>
      <c r="H203" s="219" t="s">
        <v>1210</v>
      </c>
      <c r="I203" s="220" t="s">
        <v>1210</v>
      </c>
      <c r="J203" s="219" t="s">
        <v>1210</v>
      </c>
      <c r="K203" s="221" t="s">
        <v>1210</v>
      </c>
      <c r="L203" s="219" t="s">
        <v>1210</v>
      </c>
      <c r="M203" s="221" t="s">
        <v>1210</v>
      </c>
      <c r="N203" s="219" t="s">
        <v>1210</v>
      </c>
      <c r="O203" s="221" t="s">
        <v>1210</v>
      </c>
      <c r="P203" s="222" t="s">
        <v>1211</v>
      </c>
      <c r="Q203" s="223" t="s">
        <v>1212</v>
      </c>
      <c r="R203" s="223" t="s">
        <v>1212</v>
      </c>
      <c r="S203" s="222"/>
      <c r="T203" s="216"/>
    </row>
    <row r="204" spans="1:20">
      <c r="A204" s="216">
        <f t="shared" si="2"/>
        <v>197</v>
      </c>
      <c r="B204" s="224">
        <v>18</v>
      </c>
      <c r="C204" s="225" t="s">
        <v>1371</v>
      </c>
      <c r="D204" s="219" t="s">
        <v>1372</v>
      </c>
      <c r="E204" s="220" t="s">
        <v>1416</v>
      </c>
      <c r="F204" s="219" t="s">
        <v>1210</v>
      </c>
      <c r="G204" s="220" t="s">
        <v>1210</v>
      </c>
      <c r="H204" s="219" t="s">
        <v>1210</v>
      </c>
      <c r="I204" s="220" t="s">
        <v>1210</v>
      </c>
      <c r="J204" s="219" t="s">
        <v>1210</v>
      </c>
      <c r="K204" s="221" t="s">
        <v>1210</v>
      </c>
      <c r="L204" s="219" t="s">
        <v>1210</v>
      </c>
      <c r="M204" s="221" t="s">
        <v>1210</v>
      </c>
      <c r="N204" s="219" t="s">
        <v>1210</v>
      </c>
      <c r="O204" s="221" t="s">
        <v>1210</v>
      </c>
      <c r="P204" s="222" t="s">
        <v>1211</v>
      </c>
      <c r="Q204" s="223" t="s">
        <v>1212</v>
      </c>
      <c r="R204" s="223" t="s">
        <v>1212</v>
      </c>
      <c r="S204" s="222"/>
      <c r="T204" s="216"/>
    </row>
    <row r="205" spans="1:20">
      <c r="A205" s="216">
        <f t="shared" si="2"/>
        <v>198</v>
      </c>
      <c r="B205" s="224">
        <v>18</v>
      </c>
      <c r="C205" s="225" t="s">
        <v>1371</v>
      </c>
      <c r="D205" s="219" t="s">
        <v>1372</v>
      </c>
      <c r="E205" s="220" t="s">
        <v>1417</v>
      </c>
      <c r="F205" s="219" t="s">
        <v>1210</v>
      </c>
      <c r="G205" s="220" t="s">
        <v>1210</v>
      </c>
      <c r="H205" s="219" t="s">
        <v>1210</v>
      </c>
      <c r="I205" s="220" t="s">
        <v>1210</v>
      </c>
      <c r="J205" s="219" t="s">
        <v>1210</v>
      </c>
      <c r="K205" s="221" t="s">
        <v>1210</v>
      </c>
      <c r="L205" s="219" t="s">
        <v>1210</v>
      </c>
      <c r="M205" s="221" t="s">
        <v>1210</v>
      </c>
      <c r="N205" s="219" t="s">
        <v>1210</v>
      </c>
      <c r="O205" s="221" t="s">
        <v>1210</v>
      </c>
      <c r="P205" s="222" t="s">
        <v>1211</v>
      </c>
      <c r="Q205" s="223" t="s">
        <v>1212</v>
      </c>
      <c r="R205" s="223" t="s">
        <v>1212</v>
      </c>
      <c r="S205" s="222"/>
      <c r="T205" s="216"/>
    </row>
    <row r="206" spans="1:20">
      <c r="A206" s="216">
        <f t="shared" si="2"/>
        <v>199</v>
      </c>
      <c r="B206" s="224">
        <v>18</v>
      </c>
      <c r="C206" s="225" t="s">
        <v>1371</v>
      </c>
      <c r="D206" s="219" t="s">
        <v>1372</v>
      </c>
      <c r="E206" s="220" t="s">
        <v>1418</v>
      </c>
      <c r="F206" s="219" t="s">
        <v>1210</v>
      </c>
      <c r="G206" s="220" t="s">
        <v>1210</v>
      </c>
      <c r="H206" s="219" t="s">
        <v>1210</v>
      </c>
      <c r="I206" s="220" t="s">
        <v>1210</v>
      </c>
      <c r="J206" s="219" t="s">
        <v>1210</v>
      </c>
      <c r="K206" s="221" t="s">
        <v>1210</v>
      </c>
      <c r="L206" s="219" t="s">
        <v>1210</v>
      </c>
      <c r="M206" s="221" t="s">
        <v>1210</v>
      </c>
      <c r="N206" s="219" t="s">
        <v>1210</v>
      </c>
      <c r="O206" s="221" t="s">
        <v>1210</v>
      </c>
      <c r="P206" s="222" t="s">
        <v>1211</v>
      </c>
      <c r="Q206" s="223" t="s">
        <v>1212</v>
      </c>
      <c r="R206" s="223" t="s">
        <v>1212</v>
      </c>
      <c r="S206" s="222"/>
      <c r="T206" s="216"/>
    </row>
    <row r="207" spans="1:20">
      <c r="A207" s="216">
        <f t="shared" si="2"/>
        <v>200</v>
      </c>
      <c r="B207" s="224">
        <v>18</v>
      </c>
      <c r="C207" s="225" t="s">
        <v>1371</v>
      </c>
      <c r="D207" s="219" t="s">
        <v>1372</v>
      </c>
      <c r="E207" s="220" t="s">
        <v>1419</v>
      </c>
      <c r="F207" s="219" t="s">
        <v>1210</v>
      </c>
      <c r="G207" s="220" t="s">
        <v>1210</v>
      </c>
      <c r="H207" s="219" t="s">
        <v>1210</v>
      </c>
      <c r="I207" s="220" t="s">
        <v>1210</v>
      </c>
      <c r="J207" s="219" t="s">
        <v>1210</v>
      </c>
      <c r="K207" s="221" t="s">
        <v>1210</v>
      </c>
      <c r="L207" s="219" t="s">
        <v>1210</v>
      </c>
      <c r="M207" s="221" t="s">
        <v>1210</v>
      </c>
      <c r="N207" s="219" t="s">
        <v>1210</v>
      </c>
      <c r="O207" s="221" t="s">
        <v>1210</v>
      </c>
      <c r="P207" s="222" t="s">
        <v>1211</v>
      </c>
      <c r="Q207" s="223" t="s">
        <v>1212</v>
      </c>
      <c r="R207" s="223" t="s">
        <v>1212</v>
      </c>
      <c r="S207" s="222"/>
      <c r="T207" s="216"/>
    </row>
    <row r="208" spans="1:20">
      <c r="A208" s="216">
        <f t="shared" si="2"/>
        <v>201</v>
      </c>
      <c r="B208" s="224">
        <v>18</v>
      </c>
      <c r="C208" s="225" t="s">
        <v>1371</v>
      </c>
      <c r="D208" s="219" t="s">
        <v>1372</v>
      </c>
      <c r="E208" s="220" t="s">
        <v>1420</v>
      </c>
      <c r="F208" s="219" t="s">
        <v>1210</v>
      </c>
      <c r="G208" s="220" t="s">
        <v>1210</v>
      </c>
      <c r="H208" s="219" t="s">
        <v>1210</v>
      </c>
      <c r="I208" s="220" t="s">
        <v>1210</v>
      </c>
      <c r="J208" s="219" t="s">
        <v>1210</v>
      </c>
      <c r="K208" s="221" t="s">
        <v>1210</v>
      </c>
      <c r="L208" s="219" t="s">
        <v>1210</v>
      </c>
      <c r="M208" s="221" t="s">
        <v>1210</v>
      </c>
      <c r="N208" s="219" t="s">
        <v>1210</v>
      </c>
      <c r="O208" s="221" t="s">
        <v>1210</v>
      </c>
      <c r="P208" s="222" t="s">
        <v>1211</v>
      </c>
      <c r="Q208" s="223" t="s">
        <v>1212</v>
      </c>
      <c r="R208" s="223" t="s">
        <v>1212</v>
      </c>
      <c r="S208" s="222"/>
      <c r="T208" s="216"/>
    </row>
    <row r="209" spans="1:20">
      <c r="A209" s="216">
        <f t="shared" si="2"/>
        <v>202</v>
      </c>
      <c r="B209" s="224">
        <v>18</v>
      </c>
      <c r="C209" s="225" t="s">
        <v>1371</v>
      </c>
      <c r="D209" s="226" t="s">
        <v>1372</v>
      </c>
      <c r="E209" s="227" t="s">
        <v>1421</v>
      </c>
      <c r="F209" s="226" t="s">
        <v>1210</v>
      </c>
      <c r="G209" s="227" t="s">
        <v>1210</v>
      </c>
      <c r="H209" s="226" t="s">
        <v>1210</v>
      </c>
      <c r="I209" s="227" t="s">
        <v>1210</v>
      </c>
      <c r="J209" s="226" t="s">
        <v>1210</v>
      </c>
      <c r="K209" s="228" t="s">
        <v>1210</v>
      </c>
      <c r="L209" s="226" t="s">
        <v>1210</v>
      </c>
      <c r="M209" s="228" t="s">
        <v>1210</v>
      </c>
      <c r="N209" s="226" t="s">
        <v>1210</v>
      </c>
      <c r="O209" s="228" t="s">
        <v>1210</v>
      </c>
      <c r="P209" s="229" t="s">
        <v>1216</v>
      </c>
      <c r="Q209" s="230" t="s">
        <v>1371</v>
      </c>
      <c r="R209" s="230" t="s">
        <v>1373</v>
      </c>
      <c r="S209" s="222"/>
      <c r="T209" s="216"/>
    </row>
    <row r="210" spans="1:20">
      <c r="A210" s="216">
        <f t="shared" si="2"/>
        <v>203</v>
      </c>
      <c r="B210" s="224">
        <v>18</v>
      </c>
      <c r="C210" s="225" t="s">
        <v>1371</v>
      </c>
      <c r="D210" s="219" t="s">
        <v>1372</v>
      </c>
      <c r="E210" s="220" t="s">
        <v>1422</v>
      </c>
      <c r="F210" s="219" t="s">
        <v>1210</v>
      </c>
      <c r="G210" s="220" t="s">
        <v>1210</v>
      </c>
      <c r="H210" s="219" t="s">
        <v>1210</v>
      </c>
      <c r="I210" s="220" t="s">
        <v>1210</v>
      </c>
      <c r="J210" s="219" t="s">
        <v>1210</v>
      </c>
      <c r="K210" s="221" t="s">
        <v>1210</v>
      </c>
      <c r="L210" s="219" t="s">
        <v>1210</v>
      </c>
      <c r="M210" s="221" t="s">
        <v>1210</v>
      </c>
      <c r="N210" s="219" t="s">
        <v>1210</v>
      </c>
      <c r="O210" s="221" t="s">
        <v>1210</v>
      </c>
      <c r="P210" s="222" t="s">
        <v>1211</v>
      </c>
      <c r="Q210" s="223" t="s">
        <v>1212</v>
      </c>
      <c r="R210" s="223" t="s">
        <v>1212</v>
      </c>
      <c r="S210" s="222"/>
      <c r="T210" s="216"/>
    </row>
    <row r="211" spans="1:20">
      <c r="A211" s="216">
        <f t="shared" si="2"/>
        <v>204</v>
      </c>
      <c r="B211" s="224">
        <v>18</v>
      </c>
      <c r="C211" s="225" t="s">
        <v>1371</v>
      </c>
      <c r="D211" s="219" t="s">
        <v>1372</v>
      </c>
      <c r="E211" s="220" t="s">
        <v>1423</v>
      </c>
      <c r="F211" s="219" t="s">
        <v>1210</v>
      </c>
      <c r="G211" s="220" t="s">
        <v>1210</v>
      </c>
      <c r="H211" s="219" t="s">
        <v>1210</v>
      </c>
      <c r="I211" s="220" t="s">
        <v>1210</v>
      </c>
      <c r="J211" s="219" t="s">
        <v>1210</v>
      </c>
      <c r="K211" s="221" t="s">
        <v>1210</v>
      </c>
      <c r="L211" s="219" t="s">
        <v>1210</v>
      </c>
      <c r="M211" s="221" t="s">
        <v>1210</v>
      </c>
      <c r="N211" s="219" t="s">
        <v>1210</v>
      </c>
      <c r="O211" s="221" t="s">
        <v>1210</v>
      </c>
      <c r="P211" s="222" t="s">
        <v>1211</v>
      </c>
      <c r="Q211" s="223" t="s">
        <v>1212</v>
      </c>
      <c r="R211" s="223" t="s">
        <v>1212</v>
      </c>
      <c r="S211" s="222"/>
      <c r="T211" s="216"/>
    </row>
    <row r="212" spans="1:20">
      <c r="A212" s="216">
        <f t="shared" si="2"/>
        <v>205</v>
      </c>
      <c r="B212" s="224">
        <v>18</v>
      </c>
      <c r="C212" s="225" t="s">
        <v>1371</v>
      </c>
      <c r="D212" s="219" t="s">
        <v>1372</v>
      </c>
      <c r="E212" s="220" t="s">
        <v>1424</v>
      </c>
      <c r="F212" s="219" t="s">
        <v>1210</v>
      </c>
      <c r="G212" s="220" t="s">
        <v>1210</v>
      </c>
      <c r="H212" s="219" t="s">
        <v>1210</v>
      </c>
      <c r="I212" s="220" t="s">
        <v>1210</v>
      </c>
      <c r="J212" s="219" t="s">
        <v>1210</v>
      </c>
      <c r="K212" s="221" t="s">
        <v>1210</v>
      </c>
      <c r="L212" s="219" t="s">
        <v>1210</v>
      </c>
      <c r="M212" s="221" t="s">
        <v>1210</v>
      </c>
      <c r="N212" s="219" t="s">
        <v>1210</v>
      </c>
      <c r="O212" s="221" t="s">
        <v>1210</v>
      </c>
      <c r="P212" s="222" t="s">
        <v>1211</v>
      </c>
      <c r="Q212" s="223" t="s">
        <v>1212</v>
      </c>
      <c r="R212" s="223" t="s">
        <v>1212</v>
      </c>
      <c r="S212" s="222"/>
      <c r="T212" s="216"/>
    </row>
    <row r="213" spans="1:20">
      <c r="A213" s="216">
        <f t="shared" si="2"/>
        <v>206</v>
      </c>
      <c r="B213" s="224">
        <v>18</v>
      </c>
      <c r="C213" s="225" t="s">
        <v>1371</v>
      </c>
      <c r="D213" s="219" t="s">
        <v>1372</v>
      </c>
      <c r="E213" s="220" t="s">
        <v>1425</v>
      </c>
      <c r="F213" s="219" t="s">
        <v>1210</v>
      </c>
      <c r="G213" s="220" t="s">
        <v>1210</v>
      </c>
      <c r="H213" s="219" t="s">
        <v>1210</v>
      </c>
      <c r="I213" s="220" t="s">
        <v>1210</v>
      </c>
      <c r="J213" s="219" t="s">
        <v>1210</v>
      </c>
      <c r="K213" s="221" t="s">
        <v>1210</v>
      </c>
      <c r="L213" s="219" t="s">
        <v>1210</v>
      </c>
      <c r="M213" s="221" t="s">
        <v>1210</v>
      </c>
      <c r="N213" s="219" t="s">
        <v>1210</v>
      </c>
      <c r="O213" s="221" t="s">
        <v>1210</v>
      </c>
      <c r="P213" s="222" t="s">
        <v>1211</v>
      </c>
      <c r="Q213" s="223" t="s">
        <v>1212</v>
      </c>
      <c r="R213" s="223" t="s">
        <v>1212</v>
      </c>
      <c r="S213" s="222"/>
      <c r="T213" s="216"/>
    </row>
    <row r="214" spans="1:20">
      <c r="A214" s="216">
        <f t="shared" si="2"/>
        <v>207</v>
      </c>
      <c r="B214" s="224">
        <v>18</v>
      </c>
      <c r="C214" s="225" t="s">
        <v>1371</v>
      </c>
      <c r="D214" s="219" t="s">
        <v>1372</v>
      </c>
      <c r="E214" s="220" t="s">
        <v>1426</v>
      </c>
      <c r="F214" s="219" t="s">
        <v>1210</v>
      </c>
      <c r="G214" s="220" t="s">
        <v>1210</v>
      </c>
      <c r="H214" s="219" t="s">
        <v>1210</v>
      </c>
      <c r="I214" s="220" t="s">
        <v>1210</v>
      </c>
      <c r="J214" s="219" t="s">
        <v>1210</v>
      </c>
      <c r="K214" s="221" t="s">
        <v>1210</v>
      </c>
      <c r="L214" s="219" t="s">
        <v>1210</v>
      </c>
      <c r="M214" s="221" t="s">
        <v>1210</v>
      </c>
      <c r="N214" s="219" t="s">
        <v>1210</v>
      </c>
      <c r="O214" s="221" t="s">
        <v>1210</v>
      </c>
      <c r="P214" s="222" t="s">
        <v>1211</v>
      </c>
      <c r="Q214" s="223" t="s">
        <v>1212</v>
      </c>
      <c r="R214" s="223" t="s">
        <v>1212</v>
      </c>
      <c r="S214" s="222"/>
      <c r="T214" s="216"/>
    </row>
    <row r="215" spans="1:20">
      <c r="A215" s="216">
        <f t="shared" ref="A215:A278" si="3">ROW()-7</f>
        <v>208</v>
      </c>
      <c r="B215" s="224">
        <v>18</v>
      </c>
      <c r="C215" s="225" t="s">
        <v>1371</v>
      </c>
      <c r="D215" s="219" t="s">
        <v>1372</v>
      </c>
      <c r="E215" s="220" t="s">
        <v>1427</v>
      </c>
      <c r="F215" s="219" t="s">
        <v>1210</v>
      </c>
      <c r="G215" s="220" t="s">
        <v>1210</v>
      </c>
      <c r="H215" s="219" t="s">
        <v>1210</v>
      </c>
      <c r="I215" s="220" t="s">
        <v>1210</v>
      </c>
      <c r="J215" s="219" t="s">
        <v>1210</v>
      </c>
      <c r="K215" s="221" t="s">
        <v>1210</v>
      </c>
      <c r="L215" s="219" t="s">
        <v>1210</v>
      </c>
      <c r="M215" s="221" t="s">
        <v>1210</v>
      </c>
      <c r="N215" s="219" t="s">
        <v>1210</v>
      </c>
      <c r="O215" s="221" t="s">
        <v>1210</v>
      </c>
      <c r="P215" s="222" t="s">
        <v>1211</v>
      </c>
      <c r="Q215" s="223" t="s">
        <v>1212</v>
      </c>
      <c r="R215" s="223" t="s">
        <v>1212</v>
      </c>
      <c r="S215" s="222"/>
      <c r="T215" s="216"/>
    </row>
    <row r="216" spans="1:20">
      <c r="A216" s="216">
        <f t="shared" si="3"/>
        <v>209</v>
      </c>
      <c r="B216" s="224">
        <v>18</v>
      </c>
      <c r="C216" s="225" t="s">
        <v>1371</v>
      </c>
      <c r="D216" s="219" t="s">
        <v>1372</v>
      </c>
      <c r="E216" s="220" t="s">
        <v>1428</v>
      </c>
      <c r="F216" s="219" t="s">
        <v>1210</v>
      </c>
      <c r="G216" s="220" t="s">
        <v>1210</v>
      </c>
      <c r="H216" s="219" t="s">
        <v>1210</v>
      </c>
      <c r="I216" s="220" t="s">
        <v>1210</v>
      </c>
      <c r="J216" s="219" t="s">
        <v>1210</v>
      </c>
      <c r="K216" s="221" t="s">
        <v>1210</v>
      </c>
      <c r="L216" s="219" t="s">
        <v>1210</v>
      </c>
      <c r="M216" s="221" t="s">
        <v>1210</v>
      </c>
      <c r="N216" s="219" t="s">
        <v>1210</v>
      </c>
      <c r="O216" s="221" t="s">
        <v>1210</v>
      </c>
      <c r="P216" s="222" t="s">
        <v>1211</v>
      </c>
      <c r="Q216" s="223" t="s">
        <v>1212</v>
      </c>
      <c r="R216" s="223" t="s">
        <v>1212</v>
      </c>
      <c r="S216" s="222"/>
      <c r="T216" s="216"/>
    </row>
    <row r="217" spans="1:20">
      <c r="A217" s="216">
        <f t="shared" si="3"/>
        <v>210</v>
      </c>
      <c r="B217" s="224">
        <v>18</v>
      </c>
      <c r="C217" s="225" t="s">
        <v>1371</v>
      </c>
      <c r="D217" s="219" t="s">
        <v>1372</v>
      </c>
      <c r="E217" s="220" t="s">
        <v>1429</v>
      </c>
      <c r="F217" s="219" t="s">
        <v>1210</v>
      </c>
      <c r="G217" s="220" t="s">
        <v>1210</v>
      </c>
      <c r="H217" s="219" t="s">
        <v>1210</v>
      </c>
      <c r="I217" s="220" t="s">
        <v>1210</v>
      </c>
      <c r="J217" s="219" t="s">
        <v>1210</v>
      </c>
      <c r="K217" s="221" t="s">
        <v>1210</v>
      </c>
      <c r="L217" s="219" t="s">
        <v>1210</v>
      </c>
      <c r="M217" s="221" t="s">
        <v>1210</v>
      </c>
      <c r="N217" s="219" t="s">
        <v>1210</v>
      </c>
      <c r="O217" s="221" t="s">
        <v>1210</v>
      </c>
      <c r="P217" s="222" t="s">
        <v>1211</v>
      </c>
      <c r="Q217" s="223" t="s">
        <v>1212</v>
      </c>
      <c r="R217" s="223" t="s">
        <v>1212</v>
      </c>
      <c r="S217" s="222"/>
      <c r="T217" s="216"/>
    </row>
    <row r="218" spans="1:20">
      <c r="A218" s="216">
        <f t="shared" si="3"/>
        <v>211</v>
      </c>
      <c r="B218" s="224">
        <v>18</v>
      </c>
      <c r="C218" s="225" t="s">
        <v>1371</v>
      </c>
      <c r="D218" s="219" t="s">
        <v>1372</v>
      </c>
      <c r="E218" s="220" t="s">
        <v>1430</v>
      </c>
      <c r="F218" s="219" t="s">
        <v>1210</v>
      </c>
      <c r="G218" s="220" t="s">
        <v>1210</v>
      </c>
      <c r="H218" s="219" t="s">
        <v>1210</v>
      </c>
      <c r="I218" s="220" t="s">
        <v>1210</v>
      </c>
      <c r="J218" s="219" t="s">
        <v>1210</v>
      </c>
      <c r="K218" s="221" t="s">
        <v>1210</v>
      </c>
      <c r="L218" s="219" t="s">
        <v>1210</v>
      </c>
      <c r="M218" s="221" t="s">
        <v>1210</v>
      </c>
      <c r="N218" s="219" t="s">
        <v>1210</v>
      </c>
      <c r="O218" s="221" t="s">
        <v>1210</v>
      </c>
      <c r="P218" s="222" t="s">
        <v>1211</v>
      </c>
      <c r="Q218" s="223" t="s">
        <v>1212</v>
      </c>
      <c r="R218" s="223" t="s">
        <v>1212</v>
      </c>
      <c r="S218" s="222"/>
      <c r="T218" s="216"/>
    </row>
    <row r="219" spans="1:20">
      <c r="A219" s="216">
        <f t="shared" si="3"/>
        <v>212</v>
      </c>
      <c r="B219" s="224">
        <v>18</v>
      </c>
      <c r="C219" s="225" t="s">
        <v>1371</v>
      </c>
      <c r="D219" s="219" t="s">
        <v>1372</v>
      </c>
      <c r="E219" s="220" t="s">
        <v>1431</v>
      </c>
      <c r="F219" s="219" t="s">
        <v>1210</v>
      </c>
      <c r="G219" s="220" t="s">
        <v>1210</v>
      </c>
      <c r="H219" s="219" t="s">
        <v>1210</v>
      </c>
      <c r="I219" s="220" t="s">
        <v>1210</v>
      </c>
      <c r="J219" s="219" t="s">
        <v>1210</v>
      </c>
      <c r="K219" s="221" t="s">
        <v>1210</v>
      </c>
      <c r="L219" s="219" t="s">
        <v>1210</v>
      </c>
      <c r="M219" s="221" t="s">
        <v>1210</v>
      </c>
      <c r="N219" s="219" t="s">
        <v>1210</v>
      </c>
      <c r="O219" s="221" t="s">
        <v>1210</v>
      </c>
      <c r="P219" s="222" t="s">
        <v>1211</v>
      </c>
      <c r="Q219" s="223" t="s">
        <v>1212</v>
      </c>
      <c r="R219" s="223" t="s">
        <v>1212</v>
      </c>
      <c r="S219" s="222"/>
      <c r="T219" s="216"/>
    </row>
    <row r="220" spans="1:20">
      <c r="A220" s="216">
        <f t="shared" si="3"/>
        <v>213</v>
      </c>
      <c r="B220" s="224">
        <v>18</v>
      </c>
      <c r="C220" s="225" t="s">
        <v>1371</v>
      </c>
      <c r="D220" s="219" t="s">
        <v>1372</v>
      </c>
      <c r="E220" s="220" t="s">
        <v>1432</v>
      </c>
      <c r="F220" s="219" t="s">
        <v>1210</v>
      </c>
      <c r="G220" s="220" t="s">
        <v>1210</v>
      </c>
      <c r="H220" s="219" t="s">
        <v>1210</v>
      </c>
      <c r="I220" s="220" t="s">
        <v>1210</v>
      </c>
      <c r="J220" s="219" t="s">
        <v>1210</v>
      </c>
      <c r="K220" s="221" t="s">
        <v>1210</v>
      </c>
      <c r="L220" s="219" t="s">
        <v>1210</v>
      </c>
      <c r="M220" s="221" t="s">
        <v>1210</v>
      </c>
      <c r="N220" s="219" t="s">
        <v>1210</v>
      </c>
      <c r="O220" s="221" t="s">
        <v>1210</v>
      </c>
      <c r="P220" s="222" t="s">
        <v>1211</v>
      </c>
      <c r="Q220" s="223" t="s">
        <v>1212</v>
      </c>
      <c r="R220" s="223" t="s">
        <v>1212</v>
      </c>
      <c r="S220" s="222"/>
      <c r="T220" s="216"/>
    </row>
    <row r="221" spans="1:20">
      <c r="A221" s="216">
        <f t="shared" si="3"/>
        <v>214</v>
      </c>
      <c r="B221" s="224">
        <v>18</v>
      </c>
      <c r="C221" s="225" t="s">
        <v>1371</v>
      </c>
      <c r="D221" s="219" t="s">
        <v>1372</v>
      </c>
      <c r="E221" s="220" t="s">
        <v>1433</v>
      </c>
      <c r="F221" s="219" t="s">
        <v>1210</v>
      </c>
      <c r="G221" s="220" t="s">
        <v>1210</v>
      </c>
      <c r="H221" s="219" t="s">
        <v>1210</v>
      </c>
      <c r="I221" s="220" t="s">
        <v>1210</v>
      </c>
      <c r="J221" s="219" t="s">
        <v>1210</v>
      </c>
      <c r="K221" s="221" t="s">
        <v>1210</v>
      </c>
      <c r="L221" s="219" t="s">
        <v>1210</v>
      </c>
      <c r="M221" s="221" t="s">
        <v>1210</v>
      </c>
      <c r="N221" s="219" t="s">
        <v>1210</v>
      </c>
      <c r="O221" s="221" t="s">
        <v>1210</v>
      </c>
      <c r="P221" s="222" t="s">
        <v>1211</v>
      </c>
      <c r="Q221" s="223" t="s">
        <v>1212</v>
      </c>
      <c r="R221" s="223" t="s">
        <v>1212</v>
      </c>
      <c r="S221" s="222"/>
      <c r="T221" s="216"/>
    </row>
    <row r="222" spans="1:20">
      <c r="A222" s="216">
        <f t="shared" si="3"/>
        <v>215</v>
      </c>
      <c r="B222" s="224">
        <v>18</v>
      </c>
      <c r="C222" s="225" t="s">
        <v>1371</v>
      </c>
      <c r="D222" s="219" t="s">
        <v>1372</v>
      </c>
      <c r="E222" s="220" t="s">
        <v>1434</v>
      </c>
      <c r="F222" s="219" t="s">
        <v>1210</v>
      </c>
      <c r="G222" s="220" t="s">
        <v>1210</v>
      </c>
      <c r="H222" s="219" t="s">
        <v>1210</v>
      </c>
      <c r="I222" s="220" t="s">
        <v>1210</v>
      </c>
      <c r="J222" s="219" t="s">
        <v>1210</v>
      </c>
      <c r="K222" s="221" t="s">
        <v>1210</v>
      </c>
      <c r="L222" s="219" t="s">
        <v>1210</v>
      </c>
      <c r="M222" s="221" t="s">
        <v>1210</v>
      </c>
      <c r="N222" s="219" t="s">
        <v>1210</v>
      </c>
      <c r="O222" s="221" t="s">
        <v>1210</v>
      </c>
      <c r="P222" s="222" t="s">
        <v>1211</v>
      </c>
      <c r="Q222" s="223" t="s">
        <v>1212</v>
      </c>
      <c r="R222" s="223" t="s">
        <v>1212</v>
      </c>
      <c r="S222" s="222"/>
      <c r="T222" s="216"/>
    </row>
    <row r="223" spans="1:20">
      <c r="A223" s="216">
        <f t="shared" si="3"/>
        <v>216</v>
      </c>
      <c r="B223" s="224">
        <v>18</v>
      </c>
      <c r="C223" s="225" t="s">
        <v>1371</v>
      </c>
      <c r="D223" s="219" t="s">
        <v>1372</v>
      </c>
      <c r="E223" s="220" t="s">
        <v>1435</v>
      </c>
      <c r="F223" s="219" t="s">
        <v>1210</v>
      </c>
      <c r="G223" s="220" t="s">
        <v>1210</v>
      </c>
      <c r="H223" s="219" t="s">
        <v>1210</v>
      </c>
      <c r="I223" s="220" t="s">
        <v>1210</v>
      </c>
      <c r="J223" s="219" t="s">
        <v>1210</v>
      </c>
      <c r="K223" s="221" t="s">
        <v>1210</v>
      </c>
      <c r="L223" s="219" t="s">
        <v>1210</v>
      </c>
      <c r="M223" s="221" t="s">
        <v>1210</v>
      </c>
      <c r="N223" s="219" t="s">
        <v>1210</v>
      </c>
      <c r="O223" s="221" t="s">
        <v>1210</v>
      </c>
      <c r="P223" s="222" t="s">
        <v>1211</v>
      </c>
      <c r="Q223" s="223" t="s">
        <v>1212</v>
      </c>
      <c r="R223" s="223" t="s">
        <v>1212</v>
      </c>
      <c r="S223" s="222"/>
      <c r="T223" s="216"/>
    </row>
    <row r="224" spans="1:20">
      <c r="A224" s="216">
        <f t="shared" si="3"/>
        <v>217</v>
      </c>
      <c r="B224" s="224">
        <v>18</v>
      </c>
      <c r="C224" s="225" t="s">
        <v>1371</v>
      </c>
      <c r="D224" s="219" t="s">
        <v>1372</v>
      </c>
      <c r="E224" s="220" t="s">
        <v>1436</v>
      </c>
      <c r="F224" s="219" t="s">
        <v>1210</v>
      </c>
      <c r="G224" s="220" t="s">
        <v>1210</v>
      </c>
      <c r="H224" s="219" t="s">
        <v>1210</v>
      </c>
      <c r="I224" s="220" t="s">
        <v>1210</v>
      </c>
      <c r="J224" s="219" t="s">
        <v>1210</v>
      </c>
      <c r="K224" s="221" t="s">
        <v>1210</v>
      </c>
      <c r="L224" s="219" t="s">
        <v>1210</v>
      </c>
      <c r="M224" s="221" t="s">
        <v>1210</v>
      </c>
      <c r="N224" s="219" t="s">
        <v>1210</v>
      </c>
      <c r="O224" s="221" t="s">
        <v>1210</v>
      </c>
      <c r="P224" s="222" t="s">
        <v>1211</v>
      </c>
      <c r="Q224" s="223" t="s">
        <v>1212</v>
      </c>
      <c r="R224" s="223" t="s">
        <v>1212</v>
      </c>
      <c r="S224" s="222"/>
      <c r="T224" s="216"/>
    </row>
    <row r="225" spans="1:20">
      <c r="A225" s="216">
        <f t="shared" si="3"/>
        <v>218</v>
      </c>
      <c r="B225" s="224">
        <v>18</v>
      </c>
      <c r="C225" s="225" t="s">
        <v>1371</v>
      </c>
      <c r="D225" s="219" t="s">
        <v>1372</v>
      </c>
      <c r="E225" s="220" t="s">
        <v>1437</v>
      </c>
      <c r="F225" s="219" t="s">
        <v>1210</v>
      </c>
      <c r="G225" s="220" t="s">
        <v>1210</v>
      </c>
      <c r="H225" s="219" t="s">
        <v>1210</v>
      </c>
      <c r="I225" s="220" t="s">
        <v>1210</v>
      </c>
      <c r="J225" s="219" t="s">
        <v>1210</v>
      </c>
      <c r="K225" s="221" t="s">
        <v>1210</v>
      </c>
      <c r="L225" s="219" t="s">
        <v>1210</v>
      </c>
      <c r="M225" s="221" t="s">
        <v>1210</v>
      </c>
      <c r="N225" s="219" t="s">
        <v>1210</v>
      </c>
      <c r="O225" s="221" t="s">
        <v>1210</v>
      </c>
      <c r="P225" s="222" t="s">
        <v>1211</v>
      </c>
      <c r="Q225" s="223" t="s">
        <v>1212</v>
      </c>
      <c r="R225" s="223" t="s">
        <v>1212</v>
      </c>
      <c r="S225" s="222"/>
      <c r="T225" s="216"/>
    </row>
    <row r="226" spans="1:20">
      <c r="A226" s="216">
        <f t="shared" si="3"/>
        <v>219</v>
      </c>
      <c r="B226" s="224">
        <v>18</v>
      </c>
      <c r="C226" s="225" t="s">
        <v>1371</v>
      </c>
      <c r="D226" s="219" t="s">
        <v>1372</v>
      </c>
      <c r="E226" s="220" t="s">
        <v>1438</v>
      </c>
      <c r="F226" s="219" t="s">
        <v>1210</v>
      </c>
      <c r="G226" s="220" t="s">
        <v>1210</v>
      </c>
      <c r="H226" s="219" t="s">
        <v>1210</v>
      </c>
      <c r="I226" s="220" t="s">
        <v>1210</v>
      </c>
      <c r="J226" s="219" t="s">
        <v>1210</v>
      </c>
      <c r="K226" s="221" t="s">
        <v>1210</v>
      </c>
      <c r="L226" s="219" t="s">
        <v>1210</v>
      </c>
      <c r="M226" s="221" t="s">
        <v>1210</v>
      </c>
      <c r="N226" s="219" t="s">
        <v>1210</v>
      </c>
      <c r="O226" s="221" t="s">
        <v>1210</v>
      </c>
      <c r="P226" s="222" t="s">
        <v>1211</v>
      </c>
      <c r="Q226" s="223" t="s">
        <v>1212</v>
      </c>
      <c r="R226" s="223" t="s">
        <v>1212</v>
      </c>
      <c r="S226" s="222"/>
      <c r="T226" s="216"/>
    </row>
    <row r="227" spans="1:20">
      <c r="A227" s="216">
        <f t="shared" si="3"/>
        <v>220</v>
      </c>
      <c r="B227" s="224">
        <v>18</v>
      </c>
      <c r="C227" s="225" t="s">
        <v>1371</v>
      </c>
      <c r="D227" s="219" t="s">
        <v>1372</v>
      </c>
      <c r="E227" s="220" t="s">
        <v>1439</v>
      </c>
      <c r="F227" s="219" t="s">
        <v>1210</v>
      </c>
      <c r="G227" s="220" t="s">
        <v>1210</v>
      </c>
      <c r="H227" s="219" t="s">
        <v>1210</v>
      </c>
      <c r="I227" s="220" t="s">
        <v>1210</v>
      </c>
      <c r="J227" s="219" t="s">
        <v>1210</v>
      </c>
      <c r="K227" s="221" t="s">
        <v>1210</v>
      </c>
      <c r="L227" s="219" t="s">
        <v>1210</v>
      </c>
      <c r="M227" s="221" t="s">
        <v>1210</v>
      </c>
      <c r="N227" s="219" t="s">
        <v>1210</v>
      </c>
      <c r="O227" s="221" t="s">
        <v>1210</v>
      </c>
      <c r="P227" s="222" t="s">
        <v>1211</v>
      </c>
      <c r="Q227" s="223" t="s">
        <v>1212</v>
      </c>
      <c r="R227" s="223" t="s">
        <v>1212</v>
      </c>
      <c r="S227" s="222"/>
      <c r="T227" s="216"/>
    </row>
    <row r="228" spans="1:20">
      <c r="A228" s="216">
        <f t="shared" si="3"/>
        <v>221</v>
      </c>
      <c r="B228" s="224">
        <v>18</v>
      </c>
      <c r="C228" s="225" t="s">
        <v>1371</v>
      </c>
      <c r="D228" s="219" t="s">
        <v>1372</v>
      </c>
      <c r="E228" s="220" t="s">
        <v>1440</v>
      </c>
      <c r="F228" s="219" t="s">
        <v>1210</v>
      </c>
      <c r="G228" s="220" t="s">
        <v>1210</v>
      </c>
      <c r="H228" s="219" t="s">
        <v>1210</v>
      </c>
      <c r="I228" s="220" t="s">
        <v>1210</v>
      </c>
      <c r="J228" s="219" t="s">
        <v>1210</v>
      </c>
      <c r="K228" s="221" t="s">
        <v>1210</v>
      </c>
      <c r="L228" s="219" t="s">
        <v>1210</v>
      </c>
      <c r="M228" s="221" t="s">
        <v>1210</v>
      </c>
      <c r="N228" s="219" t="s">
        <v>1210</v>
      </c>
      <c r="O228" s="221" t="s">
        <v>1210</v>
      </c>
      <c r="P228" s="222" t="s">
        <v>1211</v>
      </c>
      <c r="Q228" s="223" t="s">
        <v>1212</v>
      </c>
      <c r="R228" s="223" t="s">
        <v>1212</v>
      </c>
      <c r="S228" s="222"/>
      <c r="T228" s="216"/>
    </row>
    <row r="229" spans="1:20">
      <c r="A229" s="216">
        <f t="shared" si="3"/>
        <v>222</v>
      </c>
      <c r="B229" s="224">
        <v>18</v>
      </c>
      <c r="C229" s="225" t="s">
        <v>1371</v>
      </c>
      <c r="D229" s="226" t="s">
        <v>1372</v>
      </c>
      <c r="E229" s="227" t="s">
        <v>1441</v>
      </c>
      <c r="F229" s="226" t="s">
        <v>1210</v>
      </c>
      <c r="G229" s="227" t="s">
        <v>1210</v>
      </c>
      <c r="H229" s="226" t="s">
        <v>1210</v>
      </c>
      <c r="I229" s="227" t="s">
        <v>1210</v>
      </c>
      <c r="J229" s="226" t="s">
        <v>1210</v>
      </c>
      <c r="K229" s="228" t="s">
        <v>1210</v>
      </c>
      <c r="L229" s="226" t="s">
        <v>1210</v>
      </c>
      <c r="M229" s="228" t="s">
        <v>1210</v>
      </c>
      <c r="N229" s="226" t="s">
        <v>1210</v>
      </c>
      <c r="O229" s="228" t="s">
        <v>1210</v>
      </c>
      <c r="P229" s="229" t="s">
        <v>1216</v>
      </c>
      <c r="Q229" s="230" t="s">
        <v>1371</v>
      </c>
      <c r="R229" s="230" t="s">
        <v>1373</v>
      </c>
      <c r="S229" s="222"/>
      <c r="T229" s="216"/>
    </row>
    <row r="230" spans="1:20">
      <c r="A230" s="216">
        <f t="shared" si="3"/>
        <v>223</v>
      </c>
      <c r="B230" s="224">
        <v>18</v>
      </c>
      <c r="C230" s="225" t="s">
        <v>1371</v>
      </c>
      <c r="D230" s="219" t="s">
        <v>1372</v>
      </c>
      <c r="E230" s="220" t="s">
        <v>1442</v>
      </c>
      <c r="F230" s="219" t="s">
        <v>1210</v>
      </c>
      <c r="G230" s="220" t="s">
        <v>1210</v>
      </c>
      <c r="H230" s="219" t="s">
        <v>1210</v>
      </c>
      <c r="I230" s="220" t="s">
        <v>1210</v>
      </c>
      <c r="J230" s="219" t="s">
        <v>1210</v>
      </c>
      <c r="K230" s="221" t="s">
        <v>1210</v>
      </c>
      <c r="L230" s="219" t="s">
        <v>1210</v>
      </c>
      <c r="M230" s="221" t="s">
        <v>1210</v>
      </c>
      <c r="N230" s="219" t="s">
        <v>1210</v>
      </c>
      <c r="O230" s="221" t="s">
        <v>1210</v>
      </c>
      <c r="P230" s="222" t="s">
        <v>1211</v>
      </c>
      <c r="Q230" s="223" t="s">
        <v>1212</v>
      </c>
      <c r="R230" s="223" t="s">
        <v>1212</v>
      </c>
      <c r="S230" s="222"/>
      <c r="T230" s="216"/>
    </row>
    <row r="231" spans="1:20">
      <c r="A231" s="216">
        <f t="shared" si="3"/>
        <v>224</v>
      </c>
      <c r="B231" s="224">
        <v>18</v>
      </c>
      <c r="C231" s="225" t="s">
        <v>1371</v>
      </c>
      <c r="D231" s="219" t="s">
        <v>1372</v>
      </c>
      <c r="E231" s="220" t="s">
        <v>1443</v>
      </c>
      <c r="F231" s="219" t="s">
        <v>1210</v>
      </c>
      <c r="G231" s="220" t="s">
        <v>1210</v>
      </c>
      <c r="H231" s="219" t="s">
        <v>1210</v>
      </c>
      <c r="I231" s="220" t="s">
        <v>1210</v>
      </c>
      <c r="J231" s="219" t="s">
        <v>1210</v>
      </c>
      <c r="K231" s="221" t="s">
        <v>1210</v>
      </c>
      <c r="L231" s="219" t="s">
        <v>1210</v>
      </c>
      <c r="M231" s="221" t="s">
        <v>1210</v>
      </c>
      <c r="N231" s="219" t="s">
        <v>1210</v>
      </c>
      <c r="O231" s="221" t="s">
        <v>1210</v>
      </c>
      <c r="P231" s="222" t="s">
        <v>1211</v>
      </c>
      <c r="Q231" s="223" t="s">
        <v>1212</v>
      </c>
      <c r="R231" s="223" t="s">
        <v>1212</v>
      </c>
      <c r="S231" s="222"/>
      <c r="T231" s="216"/>
    </row>
    <row r="232" spans="1:20">
      <c r="A232" s="216">
        <f t="shared" si="3"/>
        <v>225</v>
      </c>
      <c r="B232" s="224">
        <v>18</v>
      </c>
      <c r="C232" s="225" t="s">
        <v>1371</v>
      </c>
      <c r="D232" s="219" t="s">
        <v>1372</v>
      </c>
      <c r="E232" s="220" t="s">
        <v>1444</v>
      </c>
      <c r="F232" s="219" t="s">
        <v>1210</v>
      </c>
      <c r="G232" s="220" t="s">
        <v>1210</v>
      </c>
      <c r="H232" s="219" t="s">
        <v>1210</v>
      </c>
      <c r="I232" s="220" t="s">
        <v>1210</v>
      </c>
      <c r="J232" s="219" t="s">
        <v>1210</v>
      </c>
      <c r="K232" s="221" t="s">
        <v>1210</v>
      </c>
      <c r="L232" s="219" t="s">
        <v>1210</v>
      </c>
      <c r="M232" s="221" t="s">
        <v>1210</v>
      </c>
      <c r="N232" s="219" t="s">
        <v>1210</v>
      </c>
      <c r="O232" s="221" t="s">
        <v>1210</v>
      </c>
      <c r="P232" s="222" t="s">
        <v>1211</v>
      </c>
      <c r="Q232" s="223" t="s">
        <v>1212</v>
      </c>
      <c r="R232" s="223" t="s">
        <v>1212</v>
      </c>
      <c r="S232" s="222"/>
      <c r="T232" s="216"/>
    </row>
    <row r="233" spans="1:20">
      <c r="A233" s="216">
        <f t="shared" si="3"/>
        <v>226</v>
      </c>
      <c r="B233" s="224">
        <v>18</v>
      </c>
      <c r="C233" s="225" t="s">
        <v>1371</v>
      </c>
      <c r="D233" s="219" t="s">
        <v>1372</v>
      </c>
      <c r="E233" s="220" t="s">
        <v>1445</v>
      </c>
      <c r="F233" s="219" t="s">
        <v>1210</v>
      </c>
      <c r="G233" s="220" t="s">
        <v>1210</v>
      </c>
      <c r="H233" s="219" t="s">
        <v>1210</v>
      </c>
      <c r="I233" s="220" t="s">
        <v>1210</v>
      </c>
      <c r="J233" s="219" t="s">
        <v>1210</v>
      </c>
      <c r="K233" s="221" t="s">
        <v>1210</v>
      </c>
      <c r="L233" s="219" t="s">
        <v>1210</v>
      </c>
      <c r="M233" s="221" t="s">
        <v>1210</v>
      </c>
      <c r="N233" s="219" t="s">
        <v>1210</v>
      </c>
      <c r="O233" s="221" t="s">
        <v>1210</v>
      </c>
      <c r="P233" s="222" t="s">
        <v>1211</v>
      </c>
      <c r="Q233" s="223" t="s">
        <v>1212</v>
      </c>
      <c r="R233" s="223" t="s">
        <v>1212</v>
      </c>
      <c r="S233" s="222"/>
      <c r="T233" s="216"/>
    </row>
    <row r="234" spans="1:20">
      <c r="A234" s="216">
        <f t="shared" si="3"/>
        <v>227</v>
      </c>
      <c r="B234" s="224">
        <v>18</v>
      </c>
      <c r="C234" s="225" t="s">
        <v>1371</v>
      </c>
      <c r="D234" s="219" t="s">
        <v>1372</v>
      </c>
      <c r="E234" s="220" t="s">
        <v>1446</v>
      </c>
      <c r="F234" s="219" t="s">
        <v>1210</v>
      </c>
      <c r="G234" s="220" t="s">
        <v>1210</v>
      </c>
      <c r="H234" s="219" t="s">
        <v>1210</v>
      </c>
      <c r="I234" s="220" t="s">
        <v>1210</v>
      </c>
      <c r="J234" s="219" t="s">
        <v>1210</v>
      </c>
      <c r="K234" s="221" t="s">
        <v>1210</v>
      </c>
      <c r="L234" s="219" t="s">
        <v>1210</v>
      </c>
      <c r="M234" s="221" t="s">
        <v>1210</v>
      </c>
      <c r="N234" s="219" t="s">
        <v>1210</v>
      </c>
      <c r="O234" s="221" t="s">
        <v>1210</v>
      </c>
      <c r="P234" s="222" t="s">
        <v>1211</v>
      </c>
      <c r="Q234" s="223" t="s">
        <v>1212</v>
      </c>
      <c r="R234" s="223" t="s">
        <v>1212</v>
      </c>
      <c r="S234" s="222"/>
      <c r="T234" s="216"/>
    </row>
    <row r="235" spans="1:20">
      <c r="A235" s="216">
        <f t="shared" si="3"/>
        <v>228</v>
      </c>
      <c r="B235" s="224">
        <v>18</v>
      </c>
      <c r="C235" s="225" t="s">
        <v>1371</v>
      </c>
      <c r="D235" s="219" t="s">
        <v>1372</v>
      </c>
      <c r="E235" s="220" t="s">
        <v>1447</v>
      </c>
      <c r="F235" s="219" t="s">
        <v>1210</v>
      </c>
      <c r="G235" s="220" t="s">
        <v>1210</v>
      </c>
      <c r="H235" s="219" t="s">
        <v>1210</v>
      </c>
      <c r="I235" s="220" t="s">
        <v>1210</v>
      </c>
      <c r="J235" s="219" t="s">
        <v>1210</v>
      </c>
      <c r="K235" s="221" t="s">
        <v>1210</v>
      </c>
      <c r="L235" s="219" t="s">
        <v>1210</v>
      </c>
      <c r="M235" s="221" t="s">
        <v>1210</v>
      </c>
      <c r="N235" s="219" t="s">
        <v>1210</v>
      </c>
      <c r="O235" s="221" t="s">
        <v>1210</v>
      </c>
      <c r="P235" s="222" t="s">
        <v>1211</v>
      </c>
      <c r="Q235" s="223" t="s">
        <v>1212</v>
      </c>
      <c r="R235" s="223" t="s">
        <v>1212</v>
      </c>
      <c r="S235" s="222"/>
      <c r="T235" s="216"/>
    </row>
    <row r="236" spans="1:20">
      <c r="A236" s="216">
        <f t="shared" si="3"/>
        <v>229</v>
      </c>
      <c r="B236" s="224">
        <v>18</v>
      </c>
      <c r="C236" s="225" t="s">
        <v>1371</v>
      </c>
      <c r="D236" s="219" t="s">
        <v>1372</v>
      </c>
      <c r="E236" s="220" t="s">
        <v>1448</v>
      </c>
      <c r="F236" s="219" t="s">
        <v>1210</v>
      </c>
      <c r="G236" s="220" t="s">
        <v>1210</v>
      </c>
      <c r="H236" s="219" t="s">
        <v>1210</v>
      </c>
      <c r="I236" s="220" t="s">
        <v>1210</v>
      </c>
      <c r="J236" s="219" t="s">
        <v>1210</v>
      </c>
      <c r="K236" s="221" t="s">
        <v>1210</v>
      </c>
      <c r="L236" s="219" t="s">
        <v>1210</v>
      </c>
      <c r="M236" s="221" t="s">
        <v>1210</v>
      </c>
      <c r="N236" s="219" t="s">
        <v>1210</v>
      </c>
      <c r="O236" s="221" t="s">
        <v>1210</v>
      </c>
      <c r="P236" s="222" t="s">
        <v>1211</v>
      </c>
      <c r="Q236" s="223" t="s">
        <v>1212</v>
      </c>
      <c r="R236" s="223" t="s">
        <v>1212</v>
      </c>
      <c r="S236" s="222"/>
      <c r="T236" s="216"/>
    </row>
    <row r="237" spans="1:20">
      <c r="A237" s="216">
        <f t="shared" si="3"/>
        <v>230</v>
      </c>
      <c r="B237" s="224">
        <v>18</v>
      </c>
      <c r="C237" s="225" t="s">
        <v>1371</v>
      </c>
      <c r="D237" s="219" t="s">
        <v>1372</v>
      </c>
      <c r="E237" s="220" t="s">
        <v>1449</v>
      </c>
      <c r="F237" s="219" t="s">
        <v>1210</v>
      </c>
      <c r="G237" s="220" t="s">
        <v>1210</v>
      </c>
      <c r="H237" s="219" t="s">
        <v>1210</v>
      </c>
      <c r="I237" s="220" t="s">
        <v>1210</v>
      </c>
      <c r="J237" s="219" t="s">
        <v>1210</v>
      </c>
      <c r="K237" s="221" t="s">
        <v>1210</v>
      </c>
      <c r="L237" s="219" t="s">
        <v>1210</v>
      </c>
      <c r="M237" s="221" t="s">
        <v>1210</v>
      </c>
      <c r="N237" s="219" t="s">
        <v>1210</v>
      </c>
      <c r="O237" s="221" t="s">
        <v>1210</v>
      </c>
      <c r="P237" s="222" t="s">
        <v>1211</v>
      </c>
      <c r="Q237" s="223" t="s">
        <v>1212</v>
      </c>
      <c r="R237" s="223" t="s">
        <v>1212</v>
      </c>
      <c r="S237" s="222"/>
      <c r="T237" s="216"/>
    </row>
    <row r="238" spans="1:20">
      <c r="A238" s="216">
        <f t="shared" si="3"/>
        <v>231</v>
      </c>
      <c r="B238" s="224">
        <v>18</v>
      </c>
      <c r="C238" s="225" t="s">
        <v>1371</v>
      </c>
      <c r="D238" s="219" t="s">
        <v>1372</v>
      </c>
      <c r="E238" s="220" t="s">
        <v>1450</v>
      </c>
      <c r="F238" s="219" t="s">
        <v>1210</v>
      </c>
      <c r="G238" s="220" t="s">
        <v>1210</v>
      </c>
      <c r="H238" s="219" t="s">
        <v>1210</v>
      </c>
      <c r="I238" s="220" t="s">
        <v>1210</v>
      </c>
      <c r="J238" s="219" t="s">
        <v>1210</v>
      </c>
      <c r="K238" s="221" t="s">
        <v>1210</v>
      </c>
      <c r="L238" s="219" t="s">
        <v>1210</v>
      </c>
      <c r="M238" s="221" t="s">
        <v>1210</v>
      </c>
      <c r="N238" s="219" t="s">
        <v>1210</v>
      </c>
      <c r="O238" s="221" t="s">
        <v>1210</v>
      </c>
      <c r="P238" s="222" t="s">
        <v>1211</v>
      </c>
      <c r="Q238" s="223" t="s">
        <v>1212</v>
      </c>
      <c r="R238" s="223" t="s">
        <v>1212</v>
      </c>
      <c r="S238" s="222"/>
      <c r="T238" s="216"/>
    </row>
    <row r="239" spans="1:20">
      <c r="A239" s="216">
        <f t="shared" si="3"/>
        <v>232</v>
      </c>
      <c r="B239" s="231">
        <v>18</v>
      </c>
      <c r="C239" s="232" t="s">
        <v>1371</v>
      </c>
      <c r="D239" s="219" t="s">
        <v>1372</v>
      </c>
      <c r="E239" s="220" t="s">
        <v>1451</v>
      </c>
      <c r="F239" s="219" t="s">
        <v>1210</v>
      </c>
      <c r="G239" s="220" t="s">
        <v>1210</v>
      </c>
      <c r="H239" s="219" t="s">
        <v>1210</v>
      </c>
      <c r="I239" s="220" t="s">
        <v>1210</v>
      </c>
      <c r="J239" s="226" t="s">
        <v>1210</v>
      </c>
      <c r="K239" s="228" t="s">
        <v>1210</v>
      </c>
      <c r="L239" s="226" t="s">
        <v>1210</v>
      </c>
      <c r="M239" s="228" t="s">
        <v>1210</v>
      </c>
      <c r="N239" s="226" t="s">
        <v>1210</v>
      </c>
      <c r="O239" s="228" t="s">
        <v>1210</v>
      </c>
      <c r="P239" s="222" t="s">
        <v>1211</v>
      </c>
      <c r="Q239" s="223" t="s">
        <v>1212</v>
      </c>
      <c r="R239" s="223" t="s">
        <v>1212</v>
      </c>
      <c r="S239" s="222"/>
      <c r="T239" s="216"/>
    </row>
    <row r="240" spans="1:20">
      <c r="A240" s="216">
        <f t="shared" si="3"/>
        <v>233</v>
      </c>
      <c r="B240" s="217">
        <v>19</v>
      </c>
      <c r="C240" s="218" t="s">
        <v>1452</v>
      </c>
      <c r="D240" s="226" t="s">
        <v>1372</v>
      </c>
      <c r="E240" s="227" t="s">
        <v>1270</v>
      </c>
      <c r="F240" s="226" t="s">
        <v>1210</v>
      </c>
      <c r="G240" s="227" t="s">
        <v>1210</v>
      </c>
      <c r="H240" s="226" t="s">
        <v>1210</v>
      </c>
      <c r="I240" s="227" t="s">
        <v>1210</v>
      </c>
      <c r="J240" s="226" t="s">
        <v>1210</v>
      </c>
      <c r="K240" s="228" t="s">
        <v>1210</v>
      </c>
      <c r="L240" s="226" t="s">
        <v>1210</v>
      </c>
      <c r="M240" s="228" t="s">
        <v>1210</v>
      </c>
      <c r="N240" s="226" t="s">
        <v>1210</v>
      </c>
      <c r="O240" s="228" t="s">
        <v>1210</v>
      </c>
      <c r="P240" s="229" t="s">
        <v>1216</v>
      </c>
      <c r="Q240" s="230" t="s">
        <v>1452</v>
      </c>
      <c r="R240" s="230" t="s">
        <v>1453</v>
      </c>
      <c r="S240" s="222"/>
      <c r="T240" s="216"/>
    </row>
    <row r="241" spans="1:20">
      <c r="A241" s="216">
        <f t="shared" si="3"/>
        <v>234</v>
      </c>
      <c r="B241" s="224">
        <v>19</v>
      </c>
      <c r="C241" s="225" t="s">
        <v>1452</v>
      </c>
      <c r="D241" s="219" t="s">
        <v>1372</v>
      </c>
      <c r="E241" s="220" t="s">
        <v>1272</v>
      </c>
      <c r="F241" s="219" t="s">
        <v>1210</v>
      </c>
      <c r="G241" s="220" t="s">
        <v>1210</v>
      </c>
      <c r="H241" s="219" t="s">
        <v>1210</v>
      </c>
      <c r="I241" s="220" t="s">
        <v>1210</v>
      </c>
      <c r="J241" s="219" t="s">
        <v>1210</v>
      </c>
      <c r="K241" s="221" t="s">
        <v>1210</v>
      </c>
      <c r="L241" s="219" t="s">
        <v>1210</v>
      </c>
      <c r="M241" s="221" t="s">
        <v>1210</v>
      </c>
      <c r="N241" s="219" t="s">
        <v>1210</v>
      </c>
      <c r="O241" s="221" t="s">
        <v>1210</v>
      </c>
      <c r="P241" s="222" t="s">
        <v>1211</v>
      </c>
      <c r="Q241" s="223" t="s">
        <v>1212</v>
      </c>
      <c r="R241" s="223" t="s">
        <v>1212</v>
      </c>
      <c r="S241" s="222"/>
      <c r="T241" s="216"/>
    </row>
    <row r="242" spans="1:20">
      <c r="A242" s="216">
        <f t="shared" si="3"/>
        <v>235</v>
      </c>
      <c r="B242" s="224">
        <v>19</v>
      </c>
      <c r="C242" s="225" t="s">
        <v>1452</v>
      </c>
      <c r="D242" s="219" t="s">
        <v>1372</v>
      </c>
      <c r="E242" s="236" t="s">
        <v>1454</v>
      </c>
      <c r="F242" s="219" t="s">
        <v>1210</v>
      </c>
      <c r="G242" s="220" t="s">
        <v>1210</v>
      </c>
      <c r="H242" s="219" t="s">
        <v>1210</v>
      </c>
      <c r="I242" s="220" t="s">
        <v>1210</v>
      </c>
      <c r="J242" s="219" t="s">
        <v>1210</v>
      </c>
      <c r="K242" s="221" t="s">
        <v>1210</v>
      </c>
      <c r="L242" s="219" t="s">
        <v>1210</v>
      </c>
      <c r="M242" s="221" t="s">
        <v>1210</v>
      </c>
      <c r="N242" s="219" t="s">
        <v>1210</v>
      </c>
      <c r="O242" s="221" t="s">
        <v>1210</v>
      </c>
      <c r="P242" s="222" t="s">
        <v>1211</v>
      </c>
      <c r="Q242" s="223" t="s">
        <v>1212</v>
      </c>
      <c r="R242" s="223" t="s">
        <v>1212</v>
      </c>
      <c r="S242" s="222"/>
      <c r="T242" s="216"/>
    </row>
    <row r="243" spans="1:20">
      <c r="A243" s="216">
        <f t="shared" si="3"/>
        <v>236</v>
      </c>
      <c r="B243" s="224">
        <v>19</v>
      </c>
      <c r="C243" s="225" t="s">
        <v>1452</v>
      </c>
      <c r="D243" s="226" t="s">
        <v>1372</v>
      </c>
      <c r="E243" s="227" t="s">
        <v>1455</v>
      </c>
      <c r="F243" s="226" t="s">
        <v>1210</v>
      </c>
      <c r="G243" s="227" t="s">
        <v>1210</v>
      </c>
      <c r="H243" s="226" t="s">
        <v>1210</v>
      </c>
      <c r="I243" s="227" t="s">
        <v>1210</v>
      </c>
      <c r="J243" s="226" t="s">
        <v>1210</v>
      </c>
      <c r="K243" s="228" t="s">
        <v>1210</v>
      </c>
      <c r="L243" s="226" t="s">
        <v>1210</v>
      </c>
      <c r="M243" s="228" t="s">
        <v>1210</v>
      </c>
      <c r="N243" s="226" t="s">
        <v>1210</v>
      </c>
      <c r="O243" s="228" t="s">
        <v>1210</v>
      </c>
      <c r="P243" s="229" t="s">
        <v>1216</v>
      </c>
      <c r="Q243" s="230" t="s">
        <v>1452</v>
      </c>
      <c r="R243" s="230" t="s">
        <v>1453</v>
      </c>
      <c r="S243" s="222"/>
      <c r="T243" s="216"/>
    </row>
    <row r="244" spans="1:20">
      <c r="A244" s="216">
        <f t="shared" si="3"/>
        <v>237</v>
      </c>
      <c r="B244" s="224">
        <v>19</v>
      </c>
      <c r="C244" s="225" t="s">
        <v>1452</v>
      </c>
      <c r="D244" s="226" t="s">
        <v>1372</v>
      </c>
      <c r="E244" s="227" t="s">
        <v>1365</v>
      </c>
      <c r="F244" s="226" t="s">
        <v>1210</v>
      </c>
      <c r="G244" s="227" t="s">
        <v>1210</v>
      </c>
      <c r="H244" s="226" t="s">
        <v>1210</v>
      </c>
      <c r="I244" s="227" t="s">
        <v>1210</v>
      </c>
      <c r="J244" s="226" t="s">
        <v>1210</v>
      </c>
      <c r="K244" s="228" t="s">
        <v>1210</v>
      </c>
      <c r="L244" s="226" t="s">
        <v>1210</v>
      </c>
      <c r="M244" s="228" t="s">
        <v>1210</v>
      </c>
      <c r="N244" s="226" t="s">
        <v>1210</v>
      </c>
      <c r="O244" s="228" t="s">
        <v>1210</v>
      </c>
      <c r="P244" s="229" t="s">
        <v>1216</v>
      </c>
      <c r="Q244" s="230" t="s">
        <v>1452</v>
      </c>
      <c r="R244" s="230" t="s">
        <v>1453</v>
      </c>
      <c r="S244" s="222"/>
      <c r="T244" s="216"/>
    </row>
    <row r="245" spans="1:20">
      <c r="A245" s="216">
        <f t="shared" si="3"/>
        <v>238</v>
      </c>
      <c r="B245" s="224">
        <v>19</v>
      </c>
      <c r="C245" s="225" t="s">
        <v>1452</v>
      </c>
      <c r="D245" s="219" t="s">
        <v>1372</v>
      </c>
      <c r="E245" s="220" t="s">
        <v>1275</v>
      </c>
      <c r="F245" s="219" t="s">
        <v>1210</v>
      </c>
      <c r="G245" s="220" t="s">
        <v>1210</v>
      </c>
      <c r="H245" s="219" t="s">
        <v>1210</v>
      </c>
      <c r="I245" s="220" t="s">
        <v>1210</v>
      </c>
      <c r="J245" s="219" t="s">
        <v>1210</v>
      </c>
      <c r="K245" s="221" t="s">
        <v>1210</v>
      </c>
      <c r="L245" s="219" t="s">
        <v>1210</v>
      </c>
      <c r="M245" s="221" t="s">
        <v>1210</v>
      </c>
      <c r="N245" s="219" t="s">
        <v>1210</v>
      </c>
      <c r="O245" s="221" t="s">
        <v>1210</v>
      </c>
      <c r="P245" s="222" t="s">
        <v>1211</v>
      </c>
      <c r="Q245" s="223" t="s">
        <v>1212</v>
      </c>
      <c r="R245" s="223" t="s">
        <v>1212</v>
      </c>
      <c r="S245" s="222"/>
      <c r="T245" s="216"/>
    </row>
    <row r="246" spans="1:20">
      <c r="A246" s="216">
        <f t="shared" si="3"/>
        <v>239</v>
      </c>
      <c r="B246" s="224">
        <v>19</v>
      </c>
      <c r="C246" s="225" t="s">
        <v>1452</v>
      </c>
      <c r="D246" s="219" t="s">
        <v>1372</v>
      </c>
      <c r="E246" s="236" t="s">
        <v>1456</v>
      </c>
      <c r="F246" s="219" t="s">
        <v>1210</v>
      </c>
      <c r="G246" s="220" t="s">
        <v>1210</v>
      </c>
      <c r="H246" s="219" t="s">
        <v>1210</v>
      </c>
      <c r="I246" s="220" t="s">
        <v>1210</v>
      </c>
      <c r="J246" s="219" t="s">
        <v>1210</v>
      </c>
      <c r="K246" s="221" t="s">
        <v>1210</v>
      </c>
      <c r="L246" s="219" t="s">
        <v>1210</v>
      </c>
      <c r="M246" s="221" t="s">
        <v>1210</v>
      </c>
      <c r="N246" s="219" t="s">
        <v>1210</v>
      </c>
      <c r="O246" s="221" t="s">
        <v>1210</v>
      </c>
      <c r="P246" s="222" t="s">
        <v>1211</v>
      </c>
      <c r="Q246" s="223" t="s">
        <v>1212</v>
      </c>
      <c r="R246" s="223" t="s">
        <v>1212</v>
      </c>
      <c r="S246" s="222"/>
      <c r="T246" s="216"/>
    </row>
    <row r="247" spans="1:20">
      <c r="A247" s="216">
        <f t="shared" si="3"/>
        <v>240</v>
      </c>
      <c r="B247" s="231">
        <v>19</v>
      </c>
      <c r="C247" s="232" t="s">
        <v>1452</v>
      </c>
      <c r="D247" s="226" t="s">
        <v>1372</v>
      </c>
      <c r="E247" s="227" t="s">
        <v>1457</v>
      </c>
      <c r="F247" s="226" t="s">
        <v>1210</v>
      </c>
      <c r="G247" s="227" t="s">
        <v>1210</v>
      </c>
      <c r="H247" s="226" t="s">
        <v>1210</v>
      </c>
      <c r="I247" s="227" t="s">
        <v>1210</v>
      </c>
      <c r="J247" s="226" t="s">
        <v>1210</v>
      </c>
      <c r="K247" s="228" t="s">
        <v>1210</v>
      </c>
      <c r="L247" s="226" t="s">
        <v>1210</v>
      </c>
      <c r="M247" s="228" t="s">
        <v>1210</v>
      </c>
      <c r="N247" s="226" t="s">
        <v>1210</v>
      </c>
      <c r="O247" s="228" t="s">
        <v>1210</v>
      </c>
      <c r="P247" s="229" t="s">
        <v>1216</v>
      </c>
      <c r="Q247" s="230" t="s">
        <v>1452</v>
      </c>
      <c r="R247" s="230" t="s">
        <v>1453</v>
      </c>
      <c r="S247" s="222"/>
      <c r="T247" s="216"/>
    </row>
    <row r="248" spans="1:20">
      <c r="A248" s="216">
        <f t="shared" si="3"/>
        <v>241</v>
      </c>
      <c r="B248" s="217">
        <v>20</v>
      </c>
      <c r="C248" s="218" t="s">
        <v>1458</v>
      </c>
      <c r="D248" s="219" t="s">
        <v>1268</v>
      </c>
      <c r="E248" s="220" t="s">
        <v>1272</v>
      </c>
      <c r="F248" s="219" t="s">
        <v>1372</v>
      </c>
      <c r="G248" s="220" t="s">
        <v>1459</v>
      </c>
      <c r="H248" s="219" t="s">
        <v>1210</v>
      </c>
      <c r="I248" s="220" t="s">
        <v>1210</v>
      </c>
      <c r="J248" s="219" t="s">
        <v>1210</v>
      </c>
      <c r="K248" s="221" t="s">
        <v>1210</v>
      </c>
      <c r="L248" s="219" t="s">
        <v>1210</v>
      </c>
      <c r="M248" s="221" t="s">
        <v>1210</v>
      </c>
      <c r="N248" s="219" t="s">
        <v>1210</v>
      </c>
      <c r="O248" s="221" t="s">
        <v>1210</v>
      </c>
      <c r="P248" s="222" t="s">
        <v>1211</v>
      </c>
      <c r="Q248" s="223" t="s">
        <v>1212</v>
      </c>
      <c r="R248" s="223" t="s">
        <v>1212</v>
      </c>
      <c r="S248" s="222"/>
      <c r="T248" s="216"/>
    </row>
    <row r="249" spans="1:20">
      <c r="A249" s="216">
        <f t="shared" si="3"/>
        <v>242</v>
      </c>
      <c r="B249" s="231">
        <v>20</v>
      </c>
      <c r="C249" s="232" t="s">
        <v>1458</v>
      </c>
      <c r="D249" s="226" t="s">
        <v>1268</v>
      </c>
      <c r="E249" s="227" t="s">
        <v>1272</v>
      </c>
      <c r="F249" s="226" t="s">
        <v>1372</v>
      </c>
      <c r="G249" s="227" t="s">
        <v>1272</v>
      </c>
      <c r="H249" s="226" t="s">
        <v>1210</v>
      </c>
      <c r="I249" s="227" t="s">
        <v>1210</v>
      </c>
      <c r="J249" s="226" t="s">
        <v>1210</v>
      </c>
      <c r="K249" s="228" t="s">
        <v>1210</v>
      </c>
      <c r="L249" s="226" t="s">
        <v>1210</v>
      </c>
      <c r="M249" s="228" t="s">
        <v>1210</v>
      </c>
      <c r="N249" s="226" t="s">
        <v>1210</v>
      </c>
      <c r="O249" s="228" t="s">
        <v>1210</v>
      </c>
      <c r="P249" s="229" t="s">
        <v>1216</v>
      </c>
      <c r="Q249" s="230" t="s">
        <v>1458</v>
      </c>
      <c r="R249" s="230" t="s">
        <v>1460</v>
      </c>
      <c r="S249" s="222"/>
      <c r="T249" s="216"/>
    </row>
    <row r="250" spans="1:20">
      <c r="A250" s="216">
        <f t="shared" si="3"/>
        <v>243</v>
      </c>
      <c r="B250" s="217">
        <v>22</v>
      </c>
      <c r="C250" s="218" t="s">
        <v>1371</v>
      </c>
      <c r="D250" s="219" t="s">
        <v>1268</v>
      </c>
      <c r="E250" s="220" t="s">
        <v>1276</v>
      </c>
      <c r="F250" s="219" t="s">
        <v>1372</v>
      </c>
      <c r="G250" s="220" t="s">
        <v>1369</v>
      </c>
      <c r="H250" s="219" t="s">
        <v>1210</v>
      </c>
      <c r="I250" s="220" t="s">
        <v>1210</v>
      </c>
      <c r="J250" s="219" t="s">
        <v>1210</v>
      </c>
      <c r="K250" s="221" t="s">
        <v>1210</v>
      </c>
      <c r="L250" s="219" t="s">
        <v>1210</v>
      </c>
      <c r="M250" s="221" t="s">
        <v>1210</v>
      </c>
      <c r="N250" s="219" t="s">
        <v>1210</v>
      </c>
      <c r="O250" s="221" t="s">
        <v>1210</v>
      </c>
      <c r="P250" s="222" t="s">
        <v>1211</v>
      </c>
      <c r="Q250" s="223" t="s">
        <v>1212</v>
      </c>
      <c r="R250" s="223" t="s">
        <v>1212</v>
      </c>
      <c r="S250" s="222"/>
      <c r="T250" s="216"/>
    </row>
    <row r="251" spans="1:20">
      <c r="A251" s="216">
        <f t="shared" si="3"/>
        <v>244</v>
      </c>
      <c r="B251" s="224">
        <v>22</v>
      </c>
      <c r="C251" s="225" t="s">
        <v>1371</v>
      </c>
      <c r="D251" s="226" t="s">
        <v>1268</v>
      </c>
      <c r="E251" s="227" t="s">
        <v>1276</v>
      </c>
      <c r="F251" s="226" t="s">
        <v>1372</v>
      </c>
      <c r="G251" s="227" t="s">
        <v>1272</v>
      </c>
      <c r="H251" s="226" t="s">
        <v>1210</v>
      </c>
      <c r="I251" s="227" t="s">
        <v>1210</v>
      </c>
      <c r="J251" s="226" t="s">
        <v>1210</v>
      </c>
      <c r="K251" s="228" t="s">
        <v>1210</v>
      </c>
      <c r="L251" s="226" t="s">
        <v>1210</v>
      </c>
      <c r="M251" s="228" t="s">
        <v>1210</v>
      </c>
      <c r="N251" s="226" t="s">
        <v>1210</v>
      </c>
      <c r="O251" s="228" t="s">
        <v>1210</v>
      </c>
      <c r="P251" s="229" t="s">
        <v>1216</v>
      </c>
      <c r="Q251" s="230" t="s">
        <v>1371</v>
      </c>
      <c r="R251" s="230" t="s">
        <v>1373</v>
      </c>
      <c r="S251" s="222"/>
      <c r="T251" s="216"/>
    </row>
    <row r="252" spans="1:20">
      <c r="A252" s="216">
        <f t="shared" si="3"/>
        <v>245</v>
      </c>
      <c r="B252" s="224">
        <v>22</v>
      </c>
      <c r="C252" s="225" t="s">
        <v>1371</v>
      </c>
      <c r="D252" s="219" t="s">
        <v>1268</v>
      </c>
      <c r="E252" s="220" t="s">
        <v>1224</v>
      </c>
      <c r="F252" s="219" t="s">
        <v>1372</v>
      </c>
      <c r="G252" s="220" t="s">
        <v>1369</v>
      </c>
      <c r="H252" s="219" t="s">
        <v>1210</v>
      </c>
      <c r="I252" s="220" t="s">
        <v>1210</v>
      </c>
      <c r="J252" s="219" t="s">
        <v>1210</v>
      </c>
      <c r="K252" s="221" t="s">
        <v>1210</v>
      </c>
      <c r="L252" s="219" t="s">
        <v>1210</v>
      </c>
      <c r="M252" s="221" t="s">
        <v>1210</v>
      </c>
      <c r="N252" s="219" t="s">
        <v>1210</v>
      </c>
      <c r="O252" s="221" t="s">
        <v>1210</v>
      </c>
      <c r="P252" s="222" t="s">
        <v>1211</v>
      </c>
      <c r="Q252" s="223" t="s">
        <v>1212</v>
      </c>
      <c r="R252" s="223" t="s">
        <v>1212</v>
      </c>
      <c r="S252" s="222"/>
      <c r="T252" s="216"/>
    </row>
    <row r="253" spans="1:20">
      <c r="A253" s="216">
        <f t="shared" si="3"/>
        <v>246</v>
      </c>
      <c r="B253" s="231">
        <v>22</v>
      </c>
      <c r="C253" s="232" t="s">
        <v>1371</v>
      </c>
      <c r="D253" s="219" t="s">
        <v>1268</v>
      </c>
      <c r="E253" s="220" t="s">
        <v>1224</v>
      </c>
      <c r="F253" s="219" t="s">
        <v>1372</v>
      </c>
      <c r="G253" s="220" t="s">
        <v>1272</v>
      </c>
      <c r="H253" s="219" t="s">
        <v>1210</v>
      </c>
      <c r="I253" s="220" t="s">
        <v>1210</v>
      </c>
      <c r="J253" s="219" t="s">
        <v>1210</v>
      </c>
      <c r="K253" s="221" t="s">
        <v>1210</v>
      </c>
      <c r="L253" s="219" t="s">
        <v>1210</v>
      </c>
      <c r="M253" s="221" t="s">
        <v>1210</v>
      </c>
      <c r="N253" s="219" t="s">
        <v>1210</v>
      </c>
      <c r="O253" s="221" t="s">
        <v>1210</v>
      </c>
      <c r="P253" s="222" t="s">
        <v>1281</v>
      </c>
      <c r="Q253" s="223" t="s">
        <v>1212</v>
      </c>
      <c r="R253" s="223" t="s">
        <v>1212</v>
      </c>
      <c r="S253" s="222"/>
      <c r="T253" s="216"/>
    </row>
    <row r="254" spans="1:20">
      <c r="A254" s="216">
        <f t="shared" si="3"/>
        <v>247</v>
      </c>
      <c r="B254" s="217">
        <v>23</v>
      </c>
      <c r="C254" s="218" t="s">
        <v>1461</v>
      </c>
      <c r="D254" s="219" t="s">
        <v>1462</v>
      </c>
      <c r="E254" s="220" t="s">
        <v>1272</v>
      </c>
      <c r="F254" s="219" t="s">
        <v>1210</v>
      </c>
      <c r="G254" s="220" t="s">
        <v>1210</v>
      </c>
      <c r="H254" s="219" t="s">
        <v>1210</v>
      </c>
      <c r="I254" s="220" t="s">
        <v>1210</v>
      </c>
      <c r="J254" s="219" t="s">
        <v>1210</v>
      </c>
      <c r="K254" s="221" t="s">
        <v>1210</v>
      </c>
      <c r="L254" s="219" t="s">
        <v>1210</v>
      </c>
      <c r="M254" s="221" t="s">
        <v>1210</v>
      </c>
      <c r="N254" s="219" t="s">
        <v>1210</v>
      </c>
      <c r="O254" s="221" t="s">
        <v>1210</v>
      </c>
      <c r="P254" s="222" t="s">
        <v>1211</v>
      </c>
      <c r="Q254" s="223" t="s">
        <v>1212</v>
      </c>
      <c r="R254" s="223" t="s">
        <v>1212</v>
      </c>
      <c r="S254" s="222"/>
      <c r="T254" s="216"/>
    </row>
    <row r="255" spans="1:20">
      <c r="A255" s="216">
        <f t="shared" si="3"/>
        <v>248</v>
      </c>
      <c r="B255" s="224">
        <v>23</v>
      </c>
      <c r="C255" s="225" t="s">
        <v>1461</v>
      </c>
      <c r="D255" s="226" t="s">
        <v>1462</v>
      </c>
      <c r="E255" s="227" t="s">
        <v>1463</v>
      </c>
      <c r="F255" s="226" t="s">
        <v>1210</v>
      </c>
      <c r="G255" s="227" t="s">
        <v>1210</v>
      </c>
      <c r="H255" s="226" t="s">
        <v>1210</v>
      </c>
      <c r="I255" s="227" t="s">
        <v>1210</v>
      </c>
      <c r="J255" s="226" t="s">
        <v>1210</v>
      </c>
      <c r="K255" s="228" t="s">
        <v>1210</v>
      </c>
      <c r="L255" s="226" t="s">
        <v>1210</v>
      </c>
      <c r="M255" s="228" t="s">
        <v>1210</v>
      </c>
      <c r="N255" s="226" t="s">
        <v>1210</v>
      </c>
      <c r="O255" s="228" t="s">
        <v>1210</v>
      </c>
      <c r="P255" s="229" t="s">
        <v>1228</v>
      </c>
      <c r="Q255" s="230" t="s">
        <v>1461</v>
      </c>
      <c r="R255" s="230" t="s">
        <v>1464</v>
      </c>
      <c r="S255" s="222"/>
      <c r="T255" s="216"/>
    </row>
    <row r="256" spans="1:20">
      <c r="A256" s="216">
        <f t="shared" si="3"/>
        <v>249</v>
      </c>
      <c r="B256" s="231">
        <v>23</v>
      </c>
      <c r="C256" s="232" t="s">
        <v>1461</v>
      </c>
      <c r="D256" s="226" t="s">
        <v>1462</v>
      </c>
      <c r="E256" s="227" t="s">
        <v>1465</v>
      </c>
      <c r="F256" s="226" t="s">
        <v>1210</v>
      </c>
      <c r="G256" s="227" t="s">
        <v>1210</v>
      </c>
      <c r="H256" s="226" t="s">
        <v>1210</v>
      </c>
      <c r="I256" s="227" t="s">
        <v>1210</v>
      </c>
      <c r="J256" s="226" t="s">
        <v>1210</v>
      </c>
      <c r="K256" s="228" t="s">
        <v>1210</v>
      </c>
      <c r="L256" s="226" t="s">
        <v>1210</v>
      </c>
      <c r="M256" s="228" t="s">
        <v>1210</v>
      </c>
      <c r="N256" s="226" t="s">
        <v>1210</v>
      </c>
      <c r="O256" s="228" t="s">
        <v>1210</v>
      </c>
      <c r="P256" s="229" t="s">
        <v>1216</v>
      </c>
      <c r="Q256" s="230" t="s">
        <v>1461</v>
      </c>
      <c r="R256" s="230" t="s">
        <v>1464</v>
      </c>
      <c r="S256" s="222"/>
      <c r="T256" s="216"/>
    </row>
    <row r="257" spans="1:20">
      <c r="A257" s="216">
        <f t="shared" si="3"/>
        <v>250</v>
      </c>
      <c r="B257" s="217">
        <v>24</v>
      </c>
      <c r="C257" s="218" t="s">
        <v>1461</v>
      </c>
      <c r="D257" s="219" t="s">
        <v>1462</v>
      </c>
      <c r="E257" s="220" t="s">
        <v>1272</v>
      </c>
      <c r="F257" s="219" t="s">
        <v>1210</v>
      </c>
      <c r="G257" s="220" t="s">
        <v>1210</v>
      </c>
      <c r="H257" s="219" t="s">
        <v>1210</v>
      </c>
      <c r="I257" s="220" t="s">
        <v>1210</v>
      </c>
      <c r="J257" s="219" t="s">
        <v>1210</v>
      </c>
      <c r="K257" s="221" t="s">
        <v>1210</v>
      </c>
      <c r="L257" s="219" t="s">
        <v>1210</v>
      </c>
      <c r="M257" s="221" t="s">
        <v>1210</v>
      </c>
      <c r="N257" s="219" t="s">
        <v>1210</v>
      </c>
      <c r="O257" s="221" t="s">
        <v>1210</v>
      </c>
      <c r="P257" s="222" t="s">
        <v>1211</v>
      </c>
      <c r="Q257" s="223" t="s">
        <v>1212</v>
      </c>
      <c r="R257" s="223" t="s">
        <v>1212</v>
      </c>
      <c r="S257" s="222"/>
      <c r="T257" s="216"/>
    </row>
    <row r="258" spans="1:20">
      <c r="A258" s="216">
        <f t="shared" si="3"/>
        <v>251</v>
      </c>
      <c r="B258" s="231">
        <v>24</v>
      </c>
      <c r="C258" s="232" t="s">
        <v>1461</v>
      </c>
      <c r="D258" s="226" t="s">
        <v>1462</v>
      </c>
      <c r="E258" s="227" t="s">
        <v>1466</v>
      </c>
      <c r="F258" s="226" t="s">
        <v>1210</v>
      </c>
      <c r="G258" s="227" t="s">
        <v>1210</v>
      </c>
      <c r="H258" s="226" t="s">
        <v>1210</v>
      </c>
      <c r="I258" s="227" t="s">
        <v>1210</v>
      </c>
      <c r="J258" s="226" t="s">
        <v>1210</v>
      </c>
      <c r="K258" s="228" t="s">
        <v>1210</v>
      </c>
      <c r="L258" s="226" t="s">
        <v>1210</v>
      </c>
      <c r="M258" s="228" t="s">
        <v>1210</v>
      </c>
      <c r="N258" s="226" t="s">
        <v>1210</v>
      </c>
      <c r="O258" s="228" t="s">
        <v>1210</v>
      </c>
      <c r="P258" s="229" t="s">
        <v>1216</v>
      </c>
      <c r="Q258" s="230" t="s">
        <v>1461</v>
      </c>
      <c r="R258" s="230" t="s">
        <v>1464</v>
      </c>
      <c r="S258" s="222"/>
      <c r="T258" s="216"/>
    </row>
    <row r="259" spans="1:20">
      <c r="A259" s="216">
        <f t="shared" si="3"/>
        <v>252</v>
      </c>
      <c r="B259" s="217">
        <v>25</v>
      </c>
      <c r="C259" s="218" t="s">
        <v>1461</v>
      </c>
      <c r="D259" s="226" t="s">
        <v>1462</v>
      </c>
      <c r="E259" s="227" t="s">
        <v>1270</v>
      </c>
      <c r="F259" s="226" t="s">
        <v>1210</v>
      </c>
      <c r="G259" s="227" t="s">
        <v>1210</v>
      </c>
      <c r="H259" s="226" t="s">
        <v>1210</v>
      </c>
      <c r="I259" s="227" t="s">
        <v>1210</v>
      </c>
      <c r="J259" s="226" t="s">
        <v>1210</v>
      </c>
      <c r="K259" s="228" t="s">
        <v>1210</v>
      </c>
      <c r="L259" s="226" t="s">
        <v>1210</v>
      </c>
      <c r="M259" s="228" t="s">
        <v>1210</v>
      </c>
      <c r="N259" s="226" t="s">
        <v>1210</v>
      </c>
      <c r="O259" s="228" t="s">
        <v>1210</v>
      </c>
      <c r="P259" s="229" t="s">
        <v>1216</v>
      </c>
      <c r="Q259" s="230" t="s">
        <v>1461</v>
      </c>
      <c r="R259" s="230" t="s">
        <v>1464</v>
      </c>
      <c r="S259" s="222"/>
      <c r="T259" s="216"/>
    </row>
    <row r="260" spans="1:20">
      <c r="A260" s="216">
        <f t="shared" si="3"/>
        <v>253</v>
      </c>
      <c r="B260" s="224">
        <v>25</v>
      </c>
      <c r="C260" s="225" t="s">
        <v>1461</v>
      </c>
      <c r="D260" s="219" t="s">
        <v>1462</v>
      </c>
      <c r="E260" s="220" t="s">
        <v>1272</v>
      </c>
      <c r="F260" s="219" t="s">
        <v>1210</v>
      </c>
      <c r="G260" s="220" t="s">
        <v>1210</v>
      </c>
      <c r="H260" s="219" t="s">
        <v>1210</v>
      </c>
      <c r="I260" s="220" t="s">
        <v>1210</v>
      </c>
      <c r="J260" s="219" t="s">
        <v>1210</v>
      </c>
      <c r="K260" s="221" t="s">
        <v>1210</v>
      </c>
      <c r="L260" s="219" t="s">
        <v>1210</v>
      </c>
      <c r="M260" s="221" t="s">
        <v>1210</v>
      </c>
      <c r="N260" s="219" t="s">
        <v>1210</v>
      </c>
      <c r="O260" s="221" t="s">
        <v>1210</v>
      </c>
      <c r="P260" s="222" t="s">
        <v>1211</v>
      </c>
      <c r="Q260" s="223" t="s">
        <v>1212</v>
      </c>
      <c r="R260" s="223" t="s">
        <v>1212</v>
      </c>
      <c r="S260" s="222"/>
      <c r="T260" s="216"/>
    </row>
    <row r="261" spans="1:20">
      <c r="A261" s="216">
        <f t="shared" si="3"/>
        <v>254</v>
      </c>
      <c r="B261" s="224">
        <v>25</v>
      </c>
      <c r="C261" s="225" t="s">
        <v>1461</v>
      </c>
      <c r="D261" s="219" t="s">
        <v>1462</v>
      </c>
      <c r="E261" s="220" t="s">
        <v>1454</v>
      </c>
      <c r="F261" s="219" t="s">
        <v>1210</v>
      </c>
      <c r="G261" s="220" t="s">
        <v>1210</v>
      </c>
      <c r="H261" s="219" t="s">
        <v>1210</v>
      </c>
      <c r="I261" s="220" t="s">
        <v>1210</v>
      </c>
      <c r="J261" s="219" t="s">
        <v>1210</v>
      </c>
      <c r="K261" s="221" t="s">
        <v>1210</v>
      </c>
      <c r="L261" s="219" t="s">
        <v>1210</v>
      </c>
      <c r="M261" s="221" t="s">
        <v>1210</v>
      </c>
      <c r="N261" s="219" t="s">
        <v>1210</v>
      </c>
      <c r="O261" s="221" t="s">
        <v>1210</v>
      </c>
      <c r="P261" s="222" t="s">
        <v>1211</v>
      </c>
      <c r="Q261" s="223" t="s">
        <v>1212</v>
      </c>
      <c r="R261" s="223" t="s">
        <v>1212</v>
      </c>
      <c r="S261" s="222"/>
      <c r="T261" s="216"/>
    </row>
    <row r="262" spans="1:20">
      <c r="A262" s="216">
        <f t="shared" si="3"/>
        <v>255</v>
      </c>
      <c r="B262" s="224">
        <v>25</v>
      </c>
      <c r="C262" s="225" t="s">
        <v>1461</v>
      </c>
      <c r="D262" s="226" t="s">
        <v>1462</v>
      </c>
      <c r="E262" s="227" t="s">
        <v>1455</v>
      </c>
      <c r="F262" s="226" t="s">
        <v>1210</v>
      </c>
      <c r="G262" s="227" t="s">
        <v>1210</v>
      </c>
      <c r="H262" s="226" t="s">
        <v>1210</v>
      </c>
      <c r="I262" s="227" t="s">
        <v>1210</v>
      </c>
      <c r="J262" s="226" t="s">
        <v>1210</v>
      </c>
      <c r="K262" s="228" t="s">
        <v>1210</v>
      </c>
      <c r="L262" s="226" t="s">
        <v>1210</v>
      </c>
      <c r="M262" s="228" t="s">
        <v>1210</v>
      </c>
      <c r="N262" s="226" t="s">
        <v>1210</v>
      </c>
      <c r="O262" s="228" t="s">
        <v>1210</v>
      </c>
      <c r="P262" s="229" t="s">
        <v>1216</v>
      </c>
      <c r="Q262" s="230" t="s">
        <v>1461</v>
      </c>
      <c r="R262" s="230" t="s">
        <v>1464</v>
      </c>
      <c r="S262" s="222"/>
      <c r="T262" s="216"/>
    </row>
    <row r="263" spans="1:20">
      <c r="A263" s="216">
        <f t="shared" si="3"/>
        <v>256</v>
      </c>
      <c r="B263" s="224">
        <v>25</v>
      </c>
      <c r="C263" s="225" t="s">
        <v>1461</v>
      </c>
      <c r="D263" s="226" t="s">
        <v>1462</v>
      </c>
      <c r="E263" s="227" t="s">
        <v>1365</v>
      </c>
      <c r="F263" s="226" t="s">
        <v>1210</v>
      </c>
      <c r="G263" s="227" t="s">
        <v>1210</v>
      </c>
      <c r="H263" s="226" t="s">
        <v>1210</v>
      </c>
      <c r="I263" s="227" t="s">
        <v>1210</v>
      </c>
      <c r="J263" s="226" t="s">
        <v>1210</v>
      </c>
      <c r="K263" s="228" t="s">
        <v>1210</v>
      </c>
      <c r="L263" s="226" t="s">
        <v>1210</v>
      </c>
      <c r="M263" s="228" t="s">
        <v>1210</v>
      </c>
      <c r="N263" s="226" t="s">
        <v>1210</v>
      </c>
      <c r="O263" s="228" t="s">
        <v>1210</v>
      </c>
      <c r="P263" s="229" t="s">
        <v>1216</v>
      </c>
      <c r="Q263" s="230" t="s">
        <v>1461</v>
      </c>
      <c r="R263" s="230" t="s">
        <v>1464</v>
      </c>
      <c r="S263" s="222"/>
      <c r="T263" s="216"/>
    </row>
    <row r="264" spans="1:20">
      <c r="A264" s="216">
        <f t="shared" si="3"/>
        <v>257</v>
      </c>
      <c r="B264" s="224">
        <v>25</v>
      </c>
      <c r="C264" s="225" t="s">
        <v>1461</v>
      </c>
      <c r="D264" s="219" t="s">
        <v>1462</v>
      </c>
      <c r="E264" s="220" t="s">
        <v>1275</v>
      </c>
      <c r="F264" s="219" t="s">
        <v>1210</v>
      </c>
      <c r="G264" s="220" t="s">
        <v>1210</v>
      </c>
      <c r="H264" s="219" t="s">
        <v>1210</v>
      </c>
      <c r="I264" s="220" t="s">
        <v>1210</v>
      </c>
      <c r="J264" s="219" t="s">
        <v>1210</v>
      </c>
      <c r="K264" s="221" t="s">
        <v>1210</v>
      </c>
      <c r="L264" s="219" t="s">
        <v>1210</v>
      </c>
      <c r="M264" s="221" t="s">
        <v>1210</v>
      </c>
      <c r="N264" s="219" t="s">
        <v>1210</v>
      </c>
      <c r="O264" s="221" t="s">
        <v>1210</v>
      </c>
      <c r="P264" s="222" t="s">
        <v>1211</v>
      </c>
      <c r="Q264" s="223" t="s">
        <v>1212</v>
      </c>
      <c r="R264" s="223" t="s">
        <v>1212</v>
      </c>
      <c r="S264" s="222"/>
      <c r="T264" s="216"/>
    </row>
    <row r="265" spans="1:20">
      <c r="A265" s="216">
        <f t="shared" si="3"/>
        <v>258</v>
      </c>
      <c r="B265" s="224">
        <v>25</v>
      </c>
      <c r="C265" s="225" t="s">
        <v>1461</v>
      </c>
      <c r="D265" s="219" t="s">
        <v>1462</v>
      </c>
      <c r="E265" s="220" t="s">
        <v>1456</v>
      </c>
      <c r="F265" s="219" t="s">
        <v>1210</v>
      </c>
      <c r="G265" s="220" t="s">
        <v>1210</v>
      </c>
      <c r="H265" s="219" t="s">
        <v>1210</v>
      </c>
      <c r="I265" s="220" t="s">
        <v>1210</v>
      </c>
      <c r="J265" s="219" t="s">
        <v>1210</v>
      </c>
      <c r="K265" s="221" t="s">
        <v>1210</v>
      </c>
      <c r="L265" s="219" t="s">
        <v>1210</v>
      </c>
      <c r="M265" s="221" t="s">
        <v>1210</v>
      </c>
      <c r="N265" s="219" t="s">
        <v>1210</v>
      </c>
      <c r="O265" s="221" t="s">
        <v>1210</v>
      </c>
      <c r="P265" s="222" t="s">
        <v>1211</v>
      </c>
      <c r="Q265" s="223" t="s">
        <v>1212</v>
      </c>
      <c r="R265" s="223" t="s">
        <v>1212</v>
      </c>
      <c r="S265" s="222"/>
      <c r="T265" s="216"/>
    </row>
    <row r="266" spans="1:20">
      <c r="A266" s="216">
        <f t="shared" si="3"/>
        <v>259</v>
      </c>
      <c r="B266" s="231">
        <v>25</v>
      </c>
      <c r="C266" s="232" t="s">
        <v>1461</v>
      </c>
      <c r="D266" s="226" t="s">
        <v>1462</v>
      </c>
      <c r="E266" s="227" t="s">
        <v>1457</v>
      </c>
      <c r="F266" s="226" t="s">
        <v>1210</v>
      </c>
      <c r="G266" s="227" t="s">
        <v>1210</v>
      </c>
      <c r="H266" s="226" t="s">
        <v>1210</v>
      </c>
      <c r="I266" s="227" t="s">
        <v>1210</v>
      </c>
      <c r="J266" s="226" t="s">
        <v>1210</v>
      </c>
      <c r="K266" s="228" t="s">
        <v>1210</v>
      </c>
      <c r="L266" s="226" t="s">
        <v>1210</v>
      </c>
      <c r="M266" s="228" t="s">
        <v>1210</v>
      </c>
      <c r="N266" s="226" t="s">
        <v>1210</v>
      </c>
      <c r="O266" s="228" t="s">
        <v>1210</v>
      </c>
      <c r="P266" s="229" t="s">
        <v>1216</v>
      </c>
      <c r="Q266" s="230" t="s">
        <v>1461</v>
      </c>
      <c r="R266" s="230" t="s">
        <v>1464</v>
      </c>
      <c r="S266" s="222"/>
      <c r="T266" s="216"/>
    </row>
    <row r="267" spans="1:20">
      <c r="A267" s="216">
        <f t="shared" si="3"/>
        <v>260</v>
      </c>
      <c r="B267" s="217">
        <v>26</v>
      </c>
      <c r="C267" s="218" t="s">
        <v>1467</v>
      </c>
      <c r="D267" s="219" t="s">
        <v>1468</v>
      </c>
      <c r="E267" s="220" t="s">
        <v>1469</v>
      </c>
      <c r="F267" s="219" t="s">
        <v>1210</v>
      </c>
      <c r="G267" s="220" t="s">
        <v>1210</v>
      </c>
      <c r="H267" s="219" t="s">
        <v>1210</v>
      </c>
      <c r="I267" s="220" t="s">
        <v>1210</v>
      </c>
      <c r="J267" s="219" t="s">
        <v>1210</v>
      </c>
      <c r="K267" s="221" t="s">
        <v>1210</v>
      </c>
      <c r="L267" s="219" t="s">
        <v>1210</v>
      </c>
      <c r="M267" s="221" t="s">
        <v>1210</v>
      </c>
      <c r="N267" s="219" t="s">
        <v>1210</v>
      </c>
      <c r="O267" s="221" t="s">
        <v>1210</v>
      </c>
      <c r="P267" s="222" t="s">
        <v>1211</v>
      </c>
      <c r="Q267" s="223" t="s">
        <v>1212</v>
      </c>
      <c r="R267" s="223" t="s">
        <v>1212</v>
      </c>
      <c r="S267" s="222"/>
      <c r="T267" s="216"/>
    </row>
    <row r="268" spans="1:20">
      <c r="A268" s="216">
        <f t="shared" si="3"/>
        <v>261</v>
      </c>
      <c r="B268" s="231">
        <v>26</v>
      </c>
      <c r="C268" s="232" t="s">
        <v>1467</v>
      </c>
      <c r="D268" s="226" t="s">
        <v>1468</v>
      </c>
      <c r="E268" s="227" t="s">
        <v>1369</v>
      </c>
      <c r="F268" s="226" t="s">
        <v>1210</v>
      </c>
      <c r="G268" s="227" t="s">
        <v>1210</v>
      </c>
      <c r="H268" s="226" t="s">
        <v>1210</v>
      </c>
      <c r="I268" s="227" t="s">
        <v>1210</v>
      </c>
      <c r="J268" s="226" t="s">
        <v>1210</v>
      </c>
      <c r="K268" s="228" t="s">
        <v>1210</v>
      </c>
      <c r="L268" s="226" t="s">
        <v>1210</v>
      </c>
      <c r="M268" s="228" t="s">
        <v>1210</v>
      </c>
      <c r="N268" s="226" t="s">
        <v>1210</v>
      </c>
      <c r="O268" s="228" t="s">
        <v>1210</v>
      </c>
      <c r="P268" s="229" t="s">
        <v>1216</v>
      </c>
      <c r="Q268" s="230" t="s">
        <v>1467</v>
      </c>
      <c r="R268" s="230" t="s">
        <v>1470</v>
      </c>
      <c r="S268" s="222"/>
      <c r="T268" s="216"/>
    </row>
    <row r="269" spans="1:20">
      <c r="A269" s="216">
        <f t="shared" si="3"/>
        <v>262</v>
      </c>
      <c r="B269" s="217">
        <v>27</v>
      </c>
      <c r="C269" s="218" t="s">
        <v>1471</v>
      </c>
      <c r="D269" s="219" t="s">
        <v>1472</v>
      </c>
      <c r="E269" s="220">
        <v>1</v>
      </c>
      <c r="F269" s="219" t="s">
        <v>1210</v>
      </c>
      <c r="G269" s="220" t="s">
        <v>1210</v>
      </c>
      <c r="H269" s="219" t="s">
        <v>1210</v>
      </c>
      <c r="I269" s="220" t="s">
        <v>1210</v>
      </c>
      <c r="J269" s="219" t="s">
        <v>1210</v>
      </c>
      <c r="K269" s="221" t="s">
        <v>1210</v>
      </c>
      <c r="L269" s="219" t="s">
        <v>1210</v>
      </c>
      <c r="M269" s="221" t="s">
        <v>1210</v>
      </c>
      <c r="N269" s="219" t="s">
        <v>1210</v>
      </c>
      <c r="O269" s="221" t="s">
        <v>1210</v>
      </c>
      <c r="P269" s="222" t="s">
        <v>1211</v>
      </c>
      <c r="Q269" s="223" t="s">
        <v>1212</v>
      </c>
      <c r="R269" s="223" t="s">
        <v>1212</v>
      </c>
      <c r="S269" s="222"/>
      <c r="T269" s="216"/>
    </row>
    <row r="270" spans="1:20">
      <c r="A270" s="216">
        <f t="shared" si="3"/>
        <v>263</v>
      </c>
      <c r="B270" s="224">
        <v>27</v>
      </c>
      <c r="C270" s="225" t="s">
        <v>1471</v>
      </c>
      <c r="D270" s="226" t="s">
        <v>1472</v>
      </c>
      <c r="E270" s="227">
        <v>9</v>
      </c>
      <c r="F270" s="226" t="s">
        <v>1210</v>
      </c>
      <c r="G270" s="227" t="s">
        <v>1210</v>
      </c>
      <c r="H270" s="226" t="s">
        <v>1210</v>
      </c>
      <c r="I270" s="227" t="s">
        <v>1210</v>
      </c>
      <c r="J270" s="226" t="s">
        <v>1210</v>
      </c>
      <c r="K270" s="228" t="s">
        <v>1210</v>
      </c>
      <c r="L270" s="226" t="s">
        <v>1210</v>
      </c>
      <c r="M270" s="228" t="s">
        <v>1210</v>
      </c>
      <c r="N270" s="226" t="s">
        <v>1210</v>
      </c>
      <c r="O270" s="228" t="s">
        <v>1210</v>
      </c>
      <c r="P270" s="229" t="s">
        <v>1216</v>
      </c>
      <c r="Q270" s="230" t="s">
        <v>1471</v>
      </c>
      <c r="R270" s="230" t="s">
        <v>1473</v>
      </c>
      <c r="S270" s="222"/>
      <c r="T270" s="216"/>
    </row>
    <row r="271" spans="1:20">
      <c r="A271" s="216">
        <f t="shared" si="3"/>
        <v>264</v>
      </c>
      <c r="B271" s="231">
        <v>27</v>
      </c>
      <c r="C271" s="232" t="s">
        <v>1471</v>
      </c>
      <c r="D271" s="219" t="s">
        <v>1472</v>
      </c>
      <c r="E271" s="220" t="s">
        <v>1224</v>
      </c>
      <c r="F271" s="219" t="s">
        <v>1210</v>
      </c>
      <c r="G271" s="220" t="s">
        <v>1210</v>
      </c>
      <c r="H271" s="219" t="s">
        <v>1210</v>
      </c>
      <c r="I271" s="220" t="s">
        <v>1210</v>
      </c>
      <c r="J271" s="219" t="s">
        <v>1210</v>
      </c>
      <c r="K271" s="221" t="s">
        <v>1210</v>
      </c>
      <c r="L271" s="219" t="s">
        <v>1210</v>
      </c>
      <c r="M271" s="221" t="s">
        <v>1210</v>
      </c>
      <c r="N271" s="219" t="s">
        <v>1210</v>
      </c>
      <c r="O271" s="221" t="s">
        <v>1210</v>
      </c>
      <c r="P271" s="222" t="s">
        <v>1211</v>
      </c>
      <c r="Q271" s="223" t="s">
        <v>1212</v>
      </c>
      <c r="R271" s="223" t="s">
        <v>1212</v>
      </c>
      <c r="S271" s="222"/>
      <c r="T271" s="216"/>
    </row>
    <row r="272" spans="1:20">
      <c r="A272" s="216">
        <f t="shared" si="3"/>
        <v>265</v>
      </c>
      <c r="B272" s="217">
        <v>29</v>
      </c>
      <c r="C272" s="218" t="s">
        <v>1474</v>
      </c>
      <c r="D272" s="219" t="s">
        <v>1475</v>
      </c>
      <c r="E272" s="220">
        <v>1</v>
      </c>
      <c r="F272" s="219" t="s">
        <v>1210</v>
      </c>
      <c r="G272" s="220" t="s">
        <v>1210</v>
      </c>
      <c r="H272" s="219" t="s">
        <v>1210</v>
      </c>
      <c r="I272" s="220" t="s">
        <v>1210</v>
      </c>
      <c r="J272" s="219" t="s">
        <v>1210</v>
      </c>
      <c r="K272" s="221" t="s">
        <v>1210</v>
      </c>
      <c r="L272" s="219" t="s">
        <v>1210</v>
      </c>
      <c r="M272" s="221" t="s">
        <v>1210</v>
      </c>
      <c r="N272" s="219" t="s">
        <v>1210</v>
      </c>
      <c r="O272" s="221" t="s">
        <v>1210</v>
      </c>
      <c r="P272" s="222" t="s">
        <v>1211</v>
      </c>
      <c r="Q272" s="223" t="s">
        <v>1212</v>
      </c>
      <c r="R272" s="223" t="s">
        <v>1212</v>
      </c>
      <c r="S272" s="222"/>
      <c r="T272" s="216"/>
    </row>
    <row r="273" spans="1:20">
      <c r="A273" s="216">
        <f t="shared" si="3"/>
        <v>266</v>
      </c>
      <c r="B273" s="224">
        <v>29</v>
      </c>
      <c r="C273" s="225" t="s">
        <v>1474</v>
      </c>
      <c r="D273" s="226" t="s">
        <v>1475</v>
      </c>
      <c r="E273" s="227">
        <v>2</v>
      </c>
      <c r="F273" s="226" t="s">
        <v>1210</v>
      </c>
      <c r="G273" s="227" t="s">
        <v>1210</v>
      </c>
      <c r="H273" s="226" t="s">
        <v>1210</v>
      </c>
      <c r="I273" s="227" t="s">
        <v>1210</v>
      </c>
      <c r="J273" s="226" t="s">
        <v>1210</v>
      </c>
      <c r="K273" s="228" t="s">
        <v>1210</v>
      </c>
      <c r="L273" s="226" t="s">
        <v>1210</v>
      </c>
      <c r="M273" s="228" t="s">
        <v>1210</v>
      </c>
      <c r="N273" s="226" t="s">
        <v>1210</v>
      </c>
      <c r="O273" s="228" t="s">
        <v>1210</v>
      </c>
      <c r="P273" s="229" t="s">
        <v>1216</v>
      </c>
      <c r="Q273" s="230" t="s">
        <v>1474</v>
      </c>
      <c r="R273" s="230" t="s">
        <v>1476</v>
      </c>
      <c r="S273" s="222"/>
      <c r="T273" s="216"/>
    </row>
    <row r="274" spans="1:20">
      <c r="A274" s="216">
        <f t="shared" si="3"/>
        <v>267</v>
      </c>
      <c r="B274" s="231">
        <v>29</v>
      </c>
      <c r="C274" s="232" t="s">
        <v>1474</v>
      </c>
      <c r="D274" s="226" t="s">
        <v>1475</v>
      </c>
      <c r="E274" s="227" t="s">
        <v>1369</v>
      </c>
      <c r="F274" s="226" t="s">
        <v>1210</v>
      </c>
      <c r="G274" s="227" t="s">
        <v>1210</v>
      </c>
      <c r="H274" s="226" t="s">
        <v>1210</v>
      </c>
      <c r="I274" s="227" t="s">
        <v>1210</v>
      </c>
      <c r="J274" s="226" t="s">
        <v>1210</v>
      </c>
      <c r="K274" s="228" t="s">
        <v>1210</v>
      </c>
      <c r="L274" s="226" t="s">
        <v>1210</v>
      </c>
      <c r="M274" s="228" t="s">
        <v>1210</v>
      </c>
      <c r="N274" s="226" t="s">
        <v>1210</v>
      </c>
      <c r="O274" s="228" t="s">
        <v>1210</v>
      </c>
      <c r="P274" s="229" t="s">
        <v>1216</v>
      </c>
      <c r="Q274" s="230" t="s">
        <v>1474</v>
      </c>
      <c r="R274" s="230" t="s">
        <v>1476</v>
      </c>
      <c r="S274" s="222"/>
      <c r="T274" s="216"/>
    </row>
    <row r="275" spans="1:20">
      <c r="A275" s="216">
        <f t="shared" si="3"/>
        <v>268</v>
      </c>
      <c r="B275" s="217">
        <v>31</v>
      </c>
      <c r="C275" s="218" t="s">
        <v>1477</v>
      </c>
      <c r="D275" s="219" t="s">
        <v>1478</v>
      </c>
      <c r="E275" s="220">
        <v>1</v>
      </c>
      <c r="F275" s="219" t="s">
        <v>1210</v>
      </c>
      <c r="G275" s="220" t="s">
        <v>1210</v>
      </c>
      <c r="H275" s="219" t="s">
        <v>1210</v>
      </c>
      <c r="I275" s="220" t="s">
        <v>1210</v>
      </c>
      <c r="J275" s="219" t="s">
        <v>1210</v>
      </c>
      <c r="K275" s="221" t="s">
        <v>1210</v>
      </c>
      <c r="L275" s="219" t="s">
        <v>1210</v>
      </c>
      <c r="M275" s="221" t="s">
        <v>1210</v>
      </c>
      <c r="N275" s="219" t="s">
        <v>1210</v>
      </c>
      <c r="O275" s="221" t="s">
        <v>1210</v>
      </c>
      <c r="P275" s="222" t="s">
        <v>1211</v>
      </c>
      <c r="Q275" s="223" t="s">
        <v>1212</v>
      </c>
      <c r="R275" s="223" t="s">
        <v>1212</v>
      </c>
      <c r="S275" s="222"/>
      <c r="T275" s="216"/>
    </row>
    <row r="276" spans="1:20">
      <c r="A276" s="216">
        <f t="shared" si="3"/>
        <v>269</v>
      </c>
      <c r="B276" s="224">
        <v>31</v>
      </c>
      <c r="C276" s="225" t="s">
        <v>1477</v>
      </c>
      <c r="D276" s="226" t="s">
        <v>1478</v>
      </c>
      <c r="E276" s="227">
        <v>2</v>
      </c>
      <c r="F276" s="226" t="s">
        <v>1210</v>
      </c>
      <c r="G276" s="227" t="s">
        <v>1210</v>
      </c>
      <c r="H276" s="226" t="s">
        <v>1210</v>
      </c>
      <c r="I276" s="227" t="s">
        <v>1210</v>
      </c>
      <c r="J276" s="226" t="s">
        <v>1210</v>
      </c>
      <c r="K276" s="228" t="s">
        <v>1210</v>
      </c>
      <c r="L276" s="226" t="s">
        <v>1210</v>
      </c>
      <c r="M276" s="228" t="s">
        <v>1210</v>
      </c>
      <c r="N276" s="226" t="s">
        <v>1210</v>
      </c>
      <c r="O276" s="228" t="s">
        <v>1210</v>
      </c>
      <c r="P276" s="229" t="s">
        <v>1216</v>
      </c>
      <c r="Q276" s="230" t="s">
        <v>1477</v>
      </c>
      <c r="R276" s="230" t="s">
        <v>1479</v>
      </c>
      <c r="S276" s="222"/>
      <c r="T276" s="216"/>
    </row>
    <row r="277" spans="1:20">
      <c r="A277" s="216">
        <f t="shared" si="3"/>
        <v>270</v>
      </c>
      <c r="B277" s="231">
        <v>31</v>
      </c>
      <c r="C277" s="232" t="s">
        <v>1477</v>
      </c>
      <c r="D277" s="226" t="s">
        <v>1478</v>
      </c>
      <c r="E277" s="227" t="s">
        <v>1369</v>
      </c>
      <c r="F277" s="226" t="s">
        <v>1210</v>
      </c>
      <c r="G277" s="227" t="s">
        <v>1210</v>
      </c>
      <c r="H277" s="226" t="s">
        <v>1210</v>
      </c>
      <c r="I277" s="227" t="s">
        <v>1210</v>
      </c>
      <c r="J277" s="226" t="s">
        <v>1210</v>
      </c>
      <c r="K277" s="228" t="s">
        <v>1210</v>
      </c>
      <c r="L277" s="226" t="s">
        <v>1210</v>
      </c>
      <c r="M277" s="228" t="s">
        <v>1210</v>
      </c>
      <c r="N277" s="226" t="s">
        <v>1210</v>
      </c>
      <c r="O277" s="228" t="s">
        <v>1210</v>
      </c>
      <c r="P277" s="229" t="s">
        <v>1216</v>
      </c>
      <c r="Q277" s="230" t="s">
        <v>1477</v>
      </c>
      <c r="R277" s="230" t="s">
        <v>1479</v>
      </c>
      <c r="S277" s="222"/>
      <c r="T277" s="216"/>
    </row>
    <row r="278" spans="1:20">
      <c r="A278" s="216">
        <f t="shared" si="3"/>
        <v>271</v>
      </c>
      <c r="B278" s="217">
        <v>32</v>
      </c>
      <c r="C278" s="218" t="s">
        <v>1480</v>
      </c>
      <c r="D278" s="219" t="s">
        <v>1481</v>
      </c>
      <c r="E278" s="220">
        <v>20200401</v>
      </c>
      <c r="F278" s="219" t="s">
        <v>1482</v>
      </c>
      <c r="G278" s="220">
        <v>20200401</v>
      </c>
      <c r="H278" s="219" t="s">
        <v>1210</v>
      </c>
      <c r="I278" s="220" t="s">
        <v>1210</v>
      </c>
      <c r="J278" s="219" t="s">
        <v>1210</v>
      </c>
      <c r="K278" s="221" t="s">
        <v>1210</v>
      </c>
      <c r="L278" s="219" t="s">
        <v>1210</v>
      </c>
      <c r="M278" s="221" t="s">
        <v>1210</v>
      </c>
      <c r="N278" s="219" t="s">
        <v>1210</v>
      </c>
      <c r="O278" s="221" t="s">
        <v>1210</v>
      </c>
      <c r="P278" s="222" t="s">
        <v>1211</v>
      </c>
      <c r="Q278" s="223" t="s">
        <v>1212</v>
      </c>
      <c r="R278" s="223" t="s">
        <v>1212</v>
      </c>
      <c r="S278" s="222"/>
      <c r="T278" s="216"/>
    </row>
    <row r="279" spans="1:20">
      <c r="A279" s="216">
        <f t="shared" ref="A279:A350" si="4">ROW()-7</f>
        <v>272</v>
      </c>
      <c r="B279" s="224">
        <v>32</v>
      </c>
      <c r="C279" s="225" t="s">
        <v>1480</v>
      </c>
      <c r="D279" s="226" t="s">
        <v>1481</v>
      </c>
      <c r="E279" s="227" t="s">
        <v>1483</v>
      </c>
      <c r="F279" s="226" t="s">
        <v>1482</v>
      </c>
      <c r="G279" s="227">
        <v>20200401</v>
      </c>
      <c r="H279" s="226" t="s">
        <v>1210</v>
      </c>
      <c r="I279" s="227" t="s">
        <v>1210</v>
      </c>
      <c r="J279" s="226" t="s">
        <v>1210</v>
      </c>
      <c r="K279" s="228" t="s">
        <v>1210</v>
      </c>
      <c r="L279" s="226" t="s">
        <v>1210</v>
      </c>
      <c r="M279" s="228" t="s">
        <v>1210</v>
      </c>
      <c r="N279" s="226" t="s">
        <v>1210</v>
      </c>
      <c r="O279" s="228" t="s">
        <v>1210</v>
      </c>
      <c r="P279" s="229" t="s">
        <v>1216</v>
      </c>
      <c r="Q279" s="230" t="s">
        <v>1480</v>
      </c>
      <c r="R279" s="230" t="s">
        <v>1484</v>
      </c>
      <c r="S279" s="222"/>
      <c r="T279" s="216"/>
    </row>
    <row r="280" spans="1:20">
      <c r="A280" s="216">
        <f t="shared" si="4"/>
        <v>273</v>
      </c>
      <c r="B280" s="231">
        <v>32</v>
      </c>
      <c r="C280" s="232" t="s">
        <v>1480</v>
      </c>
      <c r="D280" s="219" t="s">
        <v>1481</v>
      </c>
      <c r="E280" s="220" t="s">
        <v>1369</v>
      </c>
      <c r="F280" s="219" t="s">
        <v>1482</v>
      </c>
      <c r="G280" s="220">
        <v>20200401</v>
      </c>
      <c r="H280" s="219" t="s">
        <v>1210</v>
      </c>
      <c r="I280" s="220" t="s">
        <v>1210</v>
      </c>
      <c r="J280" s="219" t="s">
        <v>1210</v>
      </c>
      <c r="K280" s="221" t="s">
        <v>1210</v>
      </c>
      <c r="L280" s="219" t="s">
        <v>1210</v>
      </c>
      <c r="M280" s="221" t="s">
        <v>1210</v>
      </c>
      <c r="N280" s="219" t="s">
        <v>1210</v>
      </c>
      <c r="O280" s="221" t="s">
        <v>1210</v>
      </c>
      <c r="P280" s="222" t="s">
        <v>1211</v>
      </c>
      <c r="Q280" s="223" t="s">
        <v>1212</v>
      </c>
      <c r="R280" s="223" t="s">
        <v>1212</v>
      </c>
      <c r="S280" s="222"/>
      <c r="T280" s="216"/>
    </row>
    <row r="281" spans="1:20">
      <c r="A281" s="216">
        <f t="shared" si="4"/>
        <v>274</v>
      </c>
      <c r="B281" s="217">
        <v>33</v>
      </c>
      <c r="C281" s="218" t="s">
        <v>1485</v>
      </c>
      <c r="D281" s="219" t="s">
        <v>1486</v>
      </c>
      <c r="E281" s="220" t="s">
        <v>1487</v>
      </c>
      <c r="F281" s="219" t="s">
        <v>1210</v>
      </c>
      <c r="G281" s="220" t="s">
        <v>1210</v>
      </c>
      <c r="H281" s="219" t="s">
        <v>1210</v>
      </c>
      <c r="I281" s="220" t="s">
        <v>1210</v>
      </c>
      <c r="J281" s="219" t="s">
        <v>1210</v>
      </c>
      <c r="K281" s="221" t="s">
        <v>1210</v>
      </c>
      <c r="L281" s="219" t="s">
        <v>1210</v>
      </c>
      <c r="M281" s="221" t="s">
        <v>1210</v>
      </c>
      <c r="N281" s="219" t="s">
        <v>1210</v>
      </c>
      <c r="O281" s="221" t="s">
        <v>1210</v>
      </c>
      <c r="P281" s="222" t="s">
        <v>1211</v>
      </c>
      <c r="Q281" s="223" t="s">
        <v>1212</v>
      </c>
      <c r="R281" s="223" t="s">
        <v>1212</v>
      </c>
      <c r="S281" s="222"/>
      <c r="T281" s="216"/>
    </row>
    <row r="282" spans="1:20">
      <c r="A282" s="216">
        <f t="shared" si="4"/>
        <v>275</v>
      </c>
      <c r="B282" s="224">
        <v>33</v>
      </c>
      <c r="C282" s="225" t="s">
        <v>1485</v>
      </c>
      <c r="D282" s="226" t="s">
        <v>1486</v>
      </c>
      <c r="E282" s="227" t="s">
        <v>1488</v>
      </c>
      <c r="F282" s="226" t="s">
        <v>1210</v>
      </c>
      <c r="G282" s="227" t="s">
        <v>1210</v>
      </c>
      <c r="H282" s="226" t="s">
        <v>1210</v>
      </c>
      <c r="I282" s="227" t="s">
        <v>1210</v>
      </c>
      <c r="J282" s="226" t="s">
        <v>1210</v>
      </c>
      <c r="K282" s="228" t="s">
        <v>1210</v>
      </c>
      <c r="L282" s="226" t="s">
        <v>1210</v>
      </c>
      <c r="M282" s="228" t="s">
        <v>1210</v>
      </c>
      <c r="N282" s="226" t="s">
        <v>1210</v>
      </c>
      <c r="O282" s="228" t="s">
        <v>1210</v>
      </c>
      <c r="P282" s="229" t="s">
        <v>1216</v>
      </c>
      <c r="Q282" s="230" t="s">
        <v>1485</v>
      </c>
      <c r="R282" s="230" t="s">
        <v>1489</v>
      </c>
      <c r="S282" s="222"/>
      <c r="T282" s="216"/>
    </row>
    <row r="283" spans="1:20">
      <c r="A283" s="216">
        <f t="shared" si="4"/>
        <v>276</v>
      </c>
      <c r="B283" s="231">
        <v>33</v>
      </c>
      <c r="C283" s="232" t="s">
        <v>1485</v>
      </c>
      <c r="D283" s="226" t="s">
        <v>1486</v>
      </c>
      <c r="E283" s="227" t="s">
        <v>1369</v>
      </c>
      <c r="F283" s="226" t="s">
        <v>1210</v>
      </c>
      <c r="G283" s="227" t="s">
        <v>1210</v>
      </c>
      <c r="H283" s="226" t="s">
        <v>1210</v>
      </c>
      <c r="I283" s="227" t="s">
        <v>1210</v>
      </c>
      <c r="J283" s="226" t="s">
        <v>1210</v>
      </c>
      <c r="K283" s="228" t="s">
        <v>1210</v>
      </c>
      <c r="L283" s="226" t="s">
        <v>1210</v>
      </c>
      <c r="M283" s="228" t="s">
        <v>1210</v>
      </c>
      <c r="N283" s="226" t="s">
        <v>1210</v>
      </c>
      <c r="O283" s="228" t="s">
        <v>1210</v>
      </c>
      <c r="P283" s="229" t="s">
        <v>1216</v>
      </c>
      <c r="Q283" s="230" t="s">
        <v>1485</v>
      </c>
      <c r="R283" s="230" t="s">
        <v>1489</v>
      </c>
      <c r="S283" s="222"/>
      <c r="T283" s="216"/>
    </row>
    <row r="284" spans="1:20">
      <c r="A284" s="216">
        <f t="shared" si="4"/>
        <v>277</v>
      </c>
      <c r="B284" s="217">
        <v>34</v>
      </c>
      <c r="C284" s="218" t="s">
        <v>1490</v>
      </c>
      <c r="D284" s="219" t="s">
        <v>1491</v>
      </c>
      <c r="E284" s="220" t="s">
        <v>1492</v>
      </c>
      <c r="F284" s="219" t="s">
        <v>1210</v>
      </c>
      <c r="G284" s="220" t="s">
        <v>1210</v>
      </c>
      <c r="H284" s="219" t="s">
        <v>1210</v>
      </c>
      <c r="I284" s="220" t="s">
        <v>1210</v>
      </c>
      <c r="J284" s="219" t="s">
        <v>1210</v>
      </c>
      <c r="K284" s="221" t="s">
        <v>1210</v>
      </c>
      <c r="L284" s="219" t="s">
        <v>1210</v>
      </c>
      <c r="M284" s="221" t="s">
        <v>1210</v>
      </c>
      <c r="N284" s="219" t="s">
        <v>1210</v>
      </c>
      <c r="O284" s="221" t="s">
        <v>1210</v>
      </c>
      <c r="P284" s="222" t="s">
        <v>1211</v>
      </c>
      <c r="Q284" s="223" t="s">
        <v>1212</v>
      </c>
      <c r="R284" s="223" t="s">
        <v>1212</v>
      </c>
      <c r="S284" s="222"/>
      <c r="T284" s="216"/>
    </row>
    <row r="285" spans="1:20">
      <c r="A285" s="216">
        <f t="shared" si="4"/>
        <v>278</v>
      </c>
      <c r="B285" s="224">
        <v>34</v>
      </c>
      <c r="C285" s="225" t="s">
        <v>1490</v>
      </c>
      <c r="D285" s="219" t="s">
        <v>1491</v>
      </c>
      <c r="E285" s="220" t="s">
        <v>1493</v>
      </c>
      <c r="F285" s="219" t="s">
        <v>1210</v>
      </c>
      <c r="G285" s="220" t="s">
        <v>1210</v>
      </c>
      <c r="H285" s="219" t="s">
        <v>1210</v>
      </c>
      <c r="I285" s="220" t="s">
        <v>1210</v>
      </c>
      <c r="J285" s="219" t="s">
        <v>1210</v>
      </c>
      <c r="K285" s="221" t="s">
        <v>1210</v>
      </c>
      <c r="L285" s="219" t="s">
        <v>1210</v>
      </c>
      <c r="M285" s="221" t="s">
        <v>1210</v>
      </c>
      <c r="N285" s="219" t="s">
        <v>1210</v>
      </c>
      <c r="O285" s="221" t="s">
        <v>1210</v>
      </c>
      <c r="P285" s="222" t="s">
        <v>1211</v>
      </c>
      <c r="Q285" s="223" t="s">
        <v>1212</v>
      </c>
      <c r="R285" s="223" t="s">
        <v>1212</v>
      </c>
      <c r="S285" s="222"/>
      <c r="T285" s="216"/>
    </row>
    <row r="286" spans="1:20">
      <c r="A286" s="216">
        <f t="shared" si="4"/>
        <v>279</v>
      </c>
      <c r="B286" s="224">
        <v>34</v>
      </c>
      <c r="C286" s="225" t="s">
        <v>1490</v>
      </c>
      <c r="D286" s="219" t="s">
        <v>1491</v>
      </c>
      <c r="E286" s="220" t="s">
        <v>1494</v>
      </c>
      <c r="F286" s="219" t="s">
        <v>1210</v>
      </c>
      <c r="G286" s="220" t="s">
        <v>1210</v>
      </c>
      <c r="H286" s="219" t="s">
        <v>1210</v>
      </c>
      <c r="I286" s="220" t="s">
        <v>1210</v>
      </c>
      <c r="J286" s="219" t="s">
        <v>1210</v>
      </c>
      <c r="K286" s="221" t="s">
        <v>1210</v>
      </c>
      <c r="L286" s="219" t="s">
        <v>1210</v>
      </c>
      <c r="M286" s="221" t="s">
        <v>1210</v>
      </c>
      <c r="N286" s="219" t="s">
        <v>1210</v>
      </c>
      <c r="O286" s="221" t="s">
        <v>1210</v>
      </c>
      <c r="P286" s="222" t="s">
        <v>1211</v>
      </c>
      <c r="Q286" s="223" t="s">
        <v>1212</v>
      </c>
      <c r="R286" s="223" t="s">
        <v>1212</v>
      </c>
      <c r="S286" s="222"/>
      <c r="T286" s="216"/>
    </row>
    <row r="287" spans="1:20">
      <c r="A287" s="216">
        <f t="shared" si="4"/>
        <v>280</v>
      </c>
      <c r="B287" s="224">
        <v>34</v>
      </c>
      <c r="C287" s="225" t="s">
        <v>1490</v>
      </c>
      <c r="D287" s="219" t="s">
        <v>1491</v>
      </c>
      <c r="E287" s="220" t="s">
        <v>1495</v>
      </c>
      <c r="F287" s="219" t="s">
        <v>1210</v>
      </c>
      <c r="G287" s="220" t="s">
        <v>1210</v>
      </c>
      <c r="H287" s="219" t="s">
        <v>1210</v>
      </c>
      <c r="I287" s="220" t="s">
        <v>1210</v>
      </c>
      <c r="J287" s="219" t="s">
        <v>1210</v>
      </c>
      <c r="K287" s="221" t="s">
        <v>1210</v>
      </c>
      <c r="L287" s="219" t="s">
        <v>1210</v>
      </c>
      <c r="M287" s="221" t="s">
        <v>1210</v>
      </c>
      <c r="N287" s="219" t="s">
        <v>1210</v>
      </c>
      <c r="O287" s="221" t="s">
        <v>1210</v>
      </c>
      <c r="P287" s="222" t="s">
        <v>1211</v>
      </c>
      <c r="Q287" s="223" t="s">
        <v>1212</v>
      </c>
      <c r="R287" s="223" t="s">
        <v>1212</v>
      </c>
      <c r="S287" s="222"/>
      <c r="T287" s="216"/>
    </row>
    <row r="288" spans="1:20">
      <c r="A288" s="216">
        <f t="shared" si="4"/>
        <v>281</v>
      </c>
      <c r="B288" s="224">
        <v>34</v>
      </c>
      <c r="C288" s="225" t="s">
        <v>1490</v>
      </c>
      <c r="D288" s="226" t="s">
        <v>1491</v>
      </c>
      <c r="E288" s="227" t="s">
        <v>1496</v>
      </c>
      <c r="F288" s="226" t="s">
        <v>1210</v>
      </c>
      <c r="G288" s="227" t="s">
        <v>1210</v>
      </c>
      <c r="H288" s="226" t="s">
        <v>1210</v>
      </c>
      <c r="I288" s="227" t="s">
        <v>1210</v>
      </c>
      <c r="J288" s="226" t="s">
        <v>1210</v>
      </c>
      <c r="K288" s="228" t="s">
        <v>1210</v>
      </c>
      <c r="L288" s="226" t="s">
        <v>1210</v>
      </c>
      <c r="M288" s="228" t="s">
        <v>1210</v>
      </c>
      <c r="N288" s="226" t="s">
        <v>1210</v>
      </c>
      <c r="O288" s="228" t="s">
        <v>1210</v>
      </c>
      <c r="P288" s="229" t="s">
        <v>1216</v>
      </c>
      <c r="Q288" s="230" t="s">
        <v>1490</v>
      </c>
      <c r="R288" s="230" t="s">
        <v>1497</v>
      </c>
      <c r="S288" s="222"/>
      <c r="T288" s="216"/>
    </row>
    <row r="289" spans="1:20">
      <c r="A289" s="216">
        <f t="shared" si="4"/>
        <v>282</v>
      </c>
      <c r="B289" s="231">
        <v>34</v>
      </c>
      <c r="C289" s="232" t="s">
        <v>1490</v>
      </c>
      <c r="D289" s="226" t="s">
        <v>1491</v>
      </c>
      <c r="E289" s="227" t="s">
        <v>1369</v>
      </c>
      <c r="F289" s="226" t="s">
        <v>1210</v>
      </c>
      <c r="G289" s="227" t="s">
        <v>1210</v>
      </c>
      <c r="H289" s="226" t="s">
        <v>1210</v>
      </c>
      <c r="I289" s="227" t="s">
        <v>1210</v>
      </c>
      <c r="J289" s="226" t="s">
        <v>1210</v>
      </c>
      <c r="K289" s="228" t="s">
        <v>1210</v>
      </c>
      <c r="L289" s="226" t="s">
        <v>1210</v>
      </c>
      <c r="M289" s="228" t="s">
        <v>1210</v>
      </c>
      <c r="N289" s="226" t="s">
        <v>1210</v>
      </c>
      <c r="O289" s="228" t="s">
        <v>1210</v>
      </c>
      <c r="P289" s="229" t="s">
        <v>1216</v>
      </c>
      <c r="Q289" s="230" t="s">
        <v>1490</v>
      </c>
      <c r="R289" s="230" t="s">
        <v>1497</v>
      </c>
      <c r="S289" s="222"/>
      <c r="T289" s="216"/>
    </row>
    <row r="290" spans="1:20">
      <c r="A290" s="216">
        <f t="shared" si="4"/>
        <v>283</v>
      </c>
      <c r="B290" s="217">
        <v>37</v>
      </c>
      <c r="C290" s="218" t="s">
        <v>1498</v>
      </c>
      <c r="D290" s="219" t="s">
        <v>1499</v>
      </c>
      <c r="E290" s="220">
        <v>1</v>
      </c>
      <c r="F290" s="219" t="s">
        <v>1210</v>
      </c>
      <c r="G290" s="220" t="s">
        <v>1210</v>
      </c>
      <c r="H290" s="219" t="s">
        <v>1210</v>
      </c>
      <c r="I290" s="220" t="s">
        <v>1210</v>
      </c>
      <c r="J290" s="219" t="s">
        <v>1210</v>
      </c>
      <c r="K290" s="221" t="s">
        <v>1210</v>
      </c>
      <c r="L290" s="219" t="s">
        <v>1210</v>
      </c>
      <c r="M290" s="221" t="s">
        <v>1210</v>
      </c>
      <c r="N290" s="219" t="s">
        <v>1210</v>
      </c>
      <c r="O290" s="221" t="s">
        <v>1210</v>
      </c>
      <c r="P290" s="222" t="s">
        <v>1211</v>
      </c>
      <c r="Q290" s="223" t="s">
        <v>1212</v>
      </c>
      <c r="R290" s="223" t="s">
        <v>1212</v>
      </c>
      <c r="S290" s="222"/>
      <c r="T290" s="216"/>
    </row>
    <row r="291" spans="1:20">
      <c r="A291" s="216">
        <f t="shared" si="4"/>
        <v>284</v>
      </c>
      <c r="B291" s="224">
        <v>37</v>
      </c>
      <c r="C291" s="225" t="s">
        <v>1498</v>
      </c>
      <c r="D291" s="219" t="s">
        <v>1499</v>
      </c>
      <c r="E291" s="220">
        <v>2</v>
      </c>
      <c r="F291" s="219" t="s">
        <v>1210</v>
      </c>
      <c r="G291" s="220" t="s">
        <v>1210</v>
      </c>
      <c r="H291" s="219" t="s">
        <v>1210</v>
      </c>
      <c r="I291" s="220" t="s">
        <v>1210</v>
      </c>
      <c r="J291" s="219" t="s">
        <v>1210</v>
      </c>
      <c r="K291" s="221" t="s">
        <v>1210</v>
      </c>
      <c r="L291" s="219" t="s">
        <v>1210</v>
      </c>
      <c r="M291" s="221" t="s">
        <v>1210</v>
      </c>
      <c r="N291" s="219" t="s">
        <v>1210</v>
      </c>
      <c r="O291" s="221" t="s">
        <v>1210</v>
      </c>
      <c r="P291" s="222" t="s">
        <v>1211</v>
      </c>
      <c r="Q291" s="223" t="s">
        <v>1212</v>
      </c>
      <c r="R291" s="223" t="s">
        <v>1212</v>
      </c>
      <c r="S291" s="222"/>
      <c r="T291" s="216"/>
    </row>
    <row r="292" spans="1:20">
      <c r="A292" s="216">
        <f t="shared" si="4"/>
        <v>285</v>
      </c>
      <c r="B292" s="224">
        <v>37</v>
      </c>
      <c r="C292" s="225" t="s">
        <v>1498</v>
      </c>
      <c r="D292" s="219" t="s">
        <v>1499</v>
      </c>
      <c r="E292" s="220">
        <v>3</v>
      </c>
      <c r="F292" s="219" t="s">
        <v>1210</v>
      </c>
      <c r="G292" s="220" t="s">
        <v>1210</v>
      </c>
      <c r="H292" s="219" t="s">
        <v>1210</v>
      </c>
      <c r="I292" s="220" t="s">
        <v>1210</v>
      </c>
      <c r="J292" s="219" t="s">
        <v>1210</v>
      </c>
      <c r="K292" s="221" t="s">
        <v>1210</v>
      </c>
      <c r="L292" s="219" t="s">
        <v>1210</v>
      </c>
      <c r="M292" s="221" t="s">
        <v>1210</v>
      </c>
      <c r="N292" s="219" t="s">
        <v>1210</v>
      </c>
      <c r="O292" s="221" t="s">
        <v>1210</v>
      </c>
      <c r="P292" s="222" t="s">
        <v>1211</v>
      </c>
      <c r="Q292" s="223" t="s">
        <v>1212</v>
      </c>
      <c r="R292" s="223" t="s">
        <v>1212</v>
      </c>
      <c r="S292" s="222"/>
      <c r="T292" s="216"/>
    </row>
    <row r="293" spans="1:20">
      <c r="A293" s="216">
        <f t="shared" si="4"/>
        <v>286</v>
      </c>
      <c r="B293" s="224">
        <v>37</v>
      </c>
      <c r="C293" s="225" t="s">
        <v>1498</v>
      </c>
      <c r="D293" s="226" t="s">
        <v>1499</v>
      </c>
      <c r="E293" s="227">
        <v>9</v>
      </c>
      <c r="F293" s="226" t="s">
        <v>1210</v>
      </c>
      <c r="G293" s="227" t="s">
        <v>1210</v>
      </c>
      <c r="H293" s="226" t="s">
        <v>1210</v>
      </c>
      <c r="I293" s="227" t="s">
        <v>1210</v>
      </c>
      <c r="J293" s="226" t="s">
        <v>1210</v>
      </c>
      <c r="K293" s="228" t="s">
        <v>1210</v>
      </c>
      <c r="L293" s="226" t="s">
        <v>1210</v>
      </c>
      <c r="M293" s="228" t="s">
        <v>1210</v>
      </c>
      <c r="N293" s="226" t="s">
        <v>1210</v>
      </c>
      <c r="O293" s="228" t="s">
        <v>1210</v>
      </c>
      <c r="P293" s="229" t="s">
        <v>1216</v>
      </c>
      <c r="Q293" s="230" t="s">
        <v>1498</v>
      </c>
      <c r="R293" s="230" t="s">
        <v>1500</v>
      </c>
      <c r="S293" s="222"/>
      <c r="T293" s="216"/>
    </row>
    <row r="294" spans="1:20">
      <c r="A294" s="216">
        <f t="shared" si="4"/>
        <v>287</v>
      </c>
      <c r="B294" s="231">
        <v>37</v>
      </c>
      <c r="C294" s="232" t="s">
        <v>1498</v>
      </c>
      <c r="D294" s="219" t="s">
        <v>1499</v>
      </c>
      <c r="E294" s="220" t="s">
        <v>1224</v>
      </c>
      <c r="F294" s="219" t="s">
        <v>1210</v>
      </c>
      <c r="G294" s="220" t="s">
        <v>1210</v>
      </c>
      <c r="H294" s="219" t="s">
        <v>1210</v>
      </c>
      <c r="I294" s="220" t="s">
        <v>1210</v>
      </c>
      <c r="J294" s="219" t="s">
        <v>1210</v>
      </c>
      <c r="K294" s="221" t="s">
        <v>1210</v>
      </c>
      <c r="L294" s="219" t="s">
        <v>1210</v>
      </c>
      <c r="M294" s="221" t="s">
        <v>1210</v>
      </c>
      <c r="N294" s="219" t="s">
        <v>1210</v>
      </c>
      <c r="O294" s="221" t="s">
        <v>1210</v>
      </c>
      <c r="P294" s="222" t="s">
        <v>1211</v>
      </c>
      <c r="Q294" s="223" t="s">
        <v>1212</v>
      </c>
      <c r="R294" s="223" t="s">
        <v>1212</v>
      </c>
      <c r="S294" s="222"/>
      <c r="T294" s="216"/>
    </row>
    <row r="295" spans="1:20">
      <c r="A295" s="216">
        <f t="shared" si="4"/>
        <v>288</v>
      </c>
      <c r="B295" s="217">
        <v>40</v>
      </c>
      <c r="C295" s="218" t="s">
        <v>1501</v>
      </c>
      <c r="D295" s="219" t="s">
        <v>1502</v>
      </c>
      <c r="E295" s="220">
        <v>0</v>
      </c>
      <c r="F295" s="219" t="s">
        <v>1210</v>
      </c>
      <c r="G295" s="220" t="s">
        <v>1210</v>
      </c>
      <c r="H295" s="219" t="s">
        <v>1210</v>
      </c>
      <c r="I295" s="220" t="s">
        <v>1210</v>
      </c>
      <c r="J295" s="219" t="s">
        <v>1210</v>
      </c>
      <c r="K295" s="221" t="s">
        <v>1210</v>
      </c>
      <c r="L295" s="219" t="s">
        <v>1210</v>
      </c>
      <c r="M295" s="221" t="s">
        <v>1210</v>
      </c>
      <c r="N295" s="219" t="s">
        <v>1210</v>
      </c>
      <c r="O295" s="221" t="s">
        <v>1210</v>
      </c>
      <c r="P295" s="222" t="s">
        <v>1211</v>
      </c>
      <c r="Q295" s="223" t="s">
        <v>1212</v>
      </c>
      <c r="R295" s="223" t="s">
        <v>1212</v>
      </c>
      <c r="S295" s="222"/>
      <c r="T295" s="216"/>
    </row>
    <row r="296" spans="1:20">
      <c r="A296" s="216">
        <f t="shared" si="4"/>
        <v>289</v>
      </c>
      <c r="B296" s="224">
        <v>40</v>
      </c>
      <c r="C296" s="225" t="s">
        <v>1501</v>
      </c>
      <c r="D296" s="226" t="s">
        <v>1502</v>
      </c>
      <c r="E296" s="227" t="s">
        <v>1369</v>
      </c>
      <c r="F296" s="226" t="s">
        <v>1210</v>
      </c>
      <c r="G296" s="227" t="s">
        <v>1210</v>
      </c>
      <c r="H296" s="226" t="s">
        <v>1210</v>
      </c>
      <c r="I296" s="227" t="s">
        <v>1210</v>
      </c>
      <c r="J296" s="226" t="s">
        <v>1210</v>
      </c>
      <c r="K296" s="228" t="s">
        <v>1210</v>
      </c>
      <c r="L296" s="226" t="s">
        <v>1210</v>
      </c>
      <c r="M296" s="228" t="s">
        <v>1210</v>
      </c>
      <c r="N296" s="226" t="s">
        <v>1210</v>
      </c>
      <c r="O296" s="228" t="s">
        <v>1210</v>
      </c>
      <c r="P296" s="229" t="s">
        <v>1216</v>
      </c>
      <c r="Q296" s="230" t="s">
        <v>1501</v>
      </c>
      <c r="R296" s="230" t="s">
        <v>1503</v>
      </c>
      <c r="S296" s="222"/>
      <c r="T296" s="216"/>
    </row>
    <row r="297" spans="1:20">
      <c r="A297" s="216">
        <f t="shared" si="4"/>
        <v>290</v>
      </c>
      <c r="B297" s="217">
        <v>41</v>
      </c>
      <c r="C297" s="218" t="s">
        <v>1504</v>
      </c>
      <c r="D297" s="219" t="s">
        <v>1502</v>
      </c>
      <c r="E297" s="220">
        <v>0</v>
      </c>
      <c r="F297" s="219" t="s">
        <v>1210</v>
      </c>
      <c r="G297" s="220" t="s">
        <v>1210</v>
      </c>
      <c r="H297" s="219" t="s">
        <v>1210</v>
      </c>
      <c r="I297" s="220" t="s">
        <v>1210</v>
      </c>
      <c r="J297" s="219" t="s">
        <v>1210</v>
      </c>
      <c r="K297" s="221" t="s">
        <v>1210</v>
      </c>
      <c r="L297" s="219" t="s">
        <v>1210</v>
      </c>
      <c r="M297" s="221" t="s">
        <v>1210</v>
      </c>
      <c r="N297" s="219" t="s">
        <v>1210</v>
      </c>
      <c r="O297" s="221" t="s">
        <v>1210</v>
      </c>
      <c r="P297" s="222" t="s">
        <v>1211</v>
      </c>
      <c r="Q297" s="223" t="s">
        <v>1212</v>
      </c>
      <c r="R297" s="223" t="s">
        <v>1212</v>
      </c>
      <c r="S297" s="222"/>
      <c r="T297" s="216"/>
    </row>
    <row r="298" spans="1:20">
      <c r="A298" s="216">
        <f t="shared" si="4"/>
        <v>291</v>
      </c>
      <c r="B298" s="231">
        <v>41</v>
      </c>
      <c r="C298" s="232" t="s">
        <v>1504</v>
      </c>
      <c r="D298" s="226" t="s">
        <v>1502</v>
      </c>
      <c r="E298" s="227" t="s">
        <v>1505</v>
      </c>
      <c r="F298" s="226" t="s">
        <v>1210</v>
      </c>
      <c r="G298" s="227" t="s">
        <v>1210</v>
      </c>
      <c r="H298" s="226" t="s">
        <v>1210</v>
      </c>
      <c r="I298" s="227" t="s">
        <v>1210</v>
      </c>
      <c r="J298" s="226" t="s">
        <v>1210</v>
      </c>
      <c r="K298" s="228" t="s">
        <v>1210</v>
      </c>
      <c r="L298" s="226" t="s">
        <v>1210</v>
      </c>
      <c r="M298" s="228" t="s">
        <v>1210</v>
      </c>
      <c r="N298" s="226" t="s">
        <v>1210</v>
      </c>
      <c r="O298" s="228" t="s">
        <v>1210</v>
      </c>
      <c r="P298" s="229" t="s">
        <v>1216</v>
      </c>
      <c r="Q298" s="230" t="s">
        <v>1504</v>
      </c>
      <c r="R298" s="230" t="s">
        <v>1506</v>
      </c>
      <c r="S298" s="222"/>
      <c r="T298" s="216"/>
    </row>
    <row r="299" spans="1:20">
      <c r="A299" s="216">
        <f t="shared" si="4"/>
        <v>292</v>
      </c>
      <c r="B299" s="217">
        <v>43</v>
      </c>
      <c r="C299" s="218" t="s">
        <v>1507</v>
      </c>
      <c r="D299" s="219" t="s">
        <v>1508</v>
      </c>
      <c r="E299" s="220" t="s">
        <v>1509</v>
      </c>
      <c r="F299" s="219" t="s">
        <v>1210</v>
      </c>
      <c r="G299" s="220" t="s">
        <v>1210</v>
      </c>
      <c r="H299" s="219" t="s">
        <v>1210</v>
      </c>
      <c r="I299" s="220" t="s">
        <v>1210</v>
      </c>
      <c r="J299" s="219" t="s">
        <v>1210</v>
      </c>
      <c r="K299" s="221" t="s">
        <v>1210</v>
      </c>
      <c r="L299" s="219" t="s">
        <v>1210</v>
      </c>
      <c r="M299" s="221" t="s">
        <v>1210</v>
      </c>
      <c r="N299" s="219" t="s">
        <v>1210</v>
      </c>
      <c r="O299" s="221" t="s">
        <v>1210</v>
      </c>
      <c r="P299" s="222" t="s">
        <v>1211</v>
      </c>
      <c r="Q299" s="223" t="s">
        <v>1212</v>
      </c>
      <c r="R299" s="223" t="s">
        <v>1212</v>
      </c>
      <c r="S299" s="222"/>
      <c r="T299" s="216"/>
    </row>
    <row r="300" spans="1:20">
      <c r="A300" s="216">
        <f t="shared" si="4"/>
        <v>293</v>
      </c>
      <c r="B300" s="224">
        <v>43</v>
      </c>
      <c r="C300" s="225" t="s">
        <v>1507</v>
      </c>
      <c r="D300" s="219" t="s">
        <v>1508</v>
      </c>
      <c r="E300" s="220" t="s">
        <v>1510</v>
      </c>
      <c r="F300" s="219" t="s">
        <v>1210</v>
      </c>
      <c r="G300" s="220" t="s">
        <v>1210</v>
      </c>
      <c r="H300" s="219" t="s">
        <v>1210</v>
      </c>
      <c r="I300" s="220" t="s">
        <v>1210</v>
      </c>
      <c r="J300" s="219" t="s">
        <v>1210</v>
      </c>
      <c r="K300" s="221" t="s">
        <v>1210</v>
      </c>
      <c r="L300" s="219" t="s">
        <v>1210</v>
      </c>
      <c r="M300" s="221" t="s">
        <v>1210</v>
      </c>
      <c r="N300" s="219" t="s">
        <v>1210</v>
      </c>
      <c r="O300" s="221" t="s">
        <v>1210</v>
      </c>
      <c r="P300" s="222" t="s">
        <v>1211</v>
      </c>
      <c r="Q300" s="223" t="s">
        <v>1212</v>
      </c>
      <c r="R300" s="223" t="s">
        <v>1212</v>
      </c>
      <c r="S300" s="222"/>
      <c r="T300" s="216"/>
    </row>
    <row r="301" spans="1:20">
      <c r="A301" s="216">
        <f t="shared" si="4"/>
        <v>294</v>
      </c>
      <c r="B301" s="224">
        <v>43</v>
      </c>
      <c r="C301" s="225" t="s">
        <v>1507</v>
      </c>
      <c r="D301" s="226" t="s">
        <v>1508</v>
      </c>
      <c r="E301" s="227" t="s">
        <v>1511</v>
      </c>
      <c r="F301" s="226" t="s">
        <v>1210</v>
      </c>
      <c r="G301" s="227" t="s">
        <v>1210</v>
      </c>
      <c r="H301" s="226" t="s">
        <v>1210</v>
      </c>
      <c r="I301" s="227" t="s">
        <v>1210</v>
      </c>
      <c r="J301" s="226" t="s">
        <v>1210</v>
      </c>
      <c r="K301" s="228" t="s">
        <v>1210</v>
      </c>
      <c r="L301" s="226" t="s">
        <v>1210</v>
      </c>
      <c r="M301" s="228" t="s">
        <v>1210</v>
      </c>
      <c r="N301" s="226" t="s">
        <v>1210</v>
      </c>
      <c r="O301" s="228" t="s">
        <v>1210</v>
      </c>
      <c r="P301" s="229" t="s">
        <v>1216</v>
      </c>
      <c r="Q301" s="230" t="s">
        <v>1507</v>
      </c>
      <c r="R301" s="230" t="s">
        <v>1512</v>
      </c>
      <c r="S301" s="222"/>
      <c r="T301" s="216"/>
    </row>
    <row r="302" spans="1:20">
      <c r="A302" s="216">
        <f t="shared" si="4"/>
        <v>295</v>
      </c>
      <c r="B302" s="224">
        <v>43</v>
      </c>
      <c r="C302" s="225" t="s">
        <v>1507</v>
      </c>
      <c r="D302" s="226" t="s">
        <v>1508</v>
      </c>
      <c r="E302" s="227" t="s">
        <v>1513</v>
      </c>
      <c r="F302" s="226" t="s">
        <v>1210</v>
      </c>
      <c r="G302" s="227" t="s">
        <v>1210</v>
      </c>
      <c r="H302" s="226" t="s">
        <v>1210</v>
      </c>
      <c r="I302" s="227" t="s">
        <v>1210</v>
      </c>
      <c r="J302" s="226" t="s">
        <v>1210</v>
      </c>
      <c r="K302" s="228" t="s">
        <v>1210</v>
      </c>
      <c r="L302" s="226" t="s">
        <v>1210</v>
      </c>
      <c r="M302" s="228" t="s">
        <v>1210</v>
      </c>
      <c r="N302" s="226" t="s">
        <v>1210</v>
      </c>
      <c r="O302" s="228" t="s">
        <v>1210</v>
      </c>
      <c r="P302" s="229" t="s">
        <v>1216</v>
      </c>
      <c r="Q302" s="230" t="s">
        <v>1507</v>
      </c>
      <c r="R302" s="230" t="s">
        <v>1512</v>
      </c>
      <c r="S302" s="222"/>
      <c r="T302" s="216"/>
    </row>
    <row r="303" spans="1:20">
      <c r="A303" s="216">
        <f t="shared" si="4"/>
        <v>296</v>
      </c>
      <c r="B303" s="224">
        <v>43</v>
      </c>
      <c r="C303" s="225" t="s">
        <v>1507</v>
      </c>
      <c r="D303" s="226" t="s">
        <v>1508</v>
      </c>
      <c r="E303" s="234" t="s">
        <v>1514</v>
      </c>
      <c r="F303" s="226" t="s">
        <v>1210</v>
      </c>
      <c r="G303" s="227" t="s">
        <v>1210</v>
      </c>
      <c r="H303" s="226" t="s">
        <v>1210</v>
      </c>
      <c r="I303" s="227" t="s">
        <v>1210</v>
      </c>
      <c r="J303" s="226" t="s">
        <v>1210</v>
      </c>
      <c r="K303" s="228" t="s">
        <v>1210</v>
      </c>
      <c r="L303" s="226" t="s">
        <v>1210</v>
      </c>
      <c r="M303" s="228" t="s">
        <v>1210</v>
      </c>
      <c r="N303" s="226" t="s">
        <v>1210</v>
      </c>
      <c r="O303" s="228" t="s">
        <v>1210</v>
      </c>
      <c r="P303" s="229" t="s">
        <v>1216</v>
      </c>
      <c r="Q303" s="230" t="s">
        <v>1507</v>
      </c>
      <c r="R303" s="230" t="s">
        <v>1512</v>
      </c>
      <c r="S303" s="222"/>
      <c r="T303" s="216"/>
    </row>
    <row r="304" spans="1:20">
      <c r="A304" s="216">
        <f t="shared" si="4"/>
        <v>297</v>
      </c>
      <c r="B304" s="224">
        <v>43</v>
      </c>
      <c r="C304" s="225" t="s">
        <v>1507</v>
      </c>
      <c r="D304" s="226" t="s">
        <v>1508</v>
      </c>
      <c r="E304" s="227" t="s">
        <v>1515</v>
      </c>
      <c r="F304" s="226" t="s">
        <v>1210</v>
      </c>
      <c r="G304" s="227" t="s">
        <v>1210</v>
      </c>
      <c r="H304" s="226" t="s">
        <v>1210</v>
      </c>
      <c r="I304" s="227" t="s">
        <v>1210</v>
      </c>
      <c r="J304" s="226" t="s">
        <v>1210</v>
      </c>
      <c r="K304" s="228" t="s">
        <v>1210</v>
      </c>
      <c r="L304" s="226" t="s">
        <v>1210</v>
      </c>
      <c r="M304" s="228" t="s">
        <v>1210</v>
      </c>
      <c r="N304" s="226" t="s">
        <v>1210</v>
      </c>
      <c r="O304" s="228" t="s">
        <v>1210</v>
      </c>
      <c r="P304" s="229" t="s">
        <v>1216</v>
      </c>
      <c r="Q304" s="230" t="s">
        <v>1507</v>
      </c>
      <c r="R304" s="230" t="s">
        <v>1512</v>
      </c>
      <c r="S304" s="222"/>
      <c r="T304" s="216"/>
    </row>
    <row r="305" spans="1:20">
      <c r="A305" s="216">
        <f t="shared" si="4"/>
        <v>298</v>
      </c>
      <c r="B305" s="224">
        <v>43</v>
      </c>
      <c r="C305" s="225" t="s">
        <v>1507</v>
      </c>
      <c r="D305" s="226" t="s">
        <v>1508</v>
      </c>
      <c r="E305" s="227" t="s">
        <v>1516</v>
      </c>
      <c r="F305" s="226" t="s">
        <v>1210</v>
      </c>
      <c r="G305" s="227" t="s">
        <v>1210</v>
      </c>
      <c r="H305" s="226" t="s">
        <v>1210</v>
      </c>
      <c r="I305" s="227" t="s">
        <v>1210</v>
      </c>
      <c r="J305" s="226" t="s">
        <v>1210</v>
      </c>
      <c r="K305" s="228" t="s">
        <v>1210</v>
      </c>
      <c r="L305" s="226" t="s">
        <v>1210</v>
      </c>
      <c r="M305" s="228" t="s">
        <v>1210</v>
      </c>
      <c r="N305" s="226" t="s">
        <v>1210</v>
      </c>
      <c r="O305" s="228" t="s">
        <v>1210</v>
      </c>
      <c r="P305" s="229" t="s">
        <v>1216</v>
      </c>
      <c r="Q305" s="230" t="s">
        <v>1507</v>
      </c>
      <c r="R305" s="230" t="s">
        <v>1512</v>
      </c>
      <c r="S305" s="222"/>
      <c r="T305" s="216"/>
    </row>
    <row r="306" spans="1:20">
      <c r="A306" s="216">
        <f t="shared" si="4"/>
        <v>299</v>
      </c>
      <c r="B306" s="231">
        <v>43</v>
      </c>
      <c r="C306" s="232" t="s">
        <v>1507</v>
      </c>
      <c r="D306" s="226" t="s">
        <v>1508</v>
      </c>
      <c r="E306" s="227" t="s">
        <v>1369</v>
      </c>
      <c r="F306" s="226" t="s">
        <v>1210</v>
      </c>
      <c r="G306" s="227" t="s">
        <v>1210</v>
      </c>
      <c r="H306" s="226" t="s">
        <v>1210</v>
      </c>
      <c r="I306" s="227" t="s">
        <v>1210</v>
      </c>
      <c r="J306" s="226" t="s">
        <v>1210</v>
      </c>
      <c r="K306" s="228" t="s">
        <v>1210</v>
      </c>
      <c r="L306" s="226" t="s">
        <v>1210</v>
      </c>
      <c r="M306" s="228" t="s">
        <v>1210</v>
      </c>
      <c r="N306" s="226" t="s">
        <v>1210</v>
      </c>
      <c r="O306" s="228" t="s">
        <v>1210</v>
      </c>
      <c r="P306" s="229" t="s">
        <v>1216</v>
      </c>
      <c r="Q306" s="230" t="s">
        <v>1507</v>
      </c>
      <c r="R306" s="230" t="s">
        <v>1512</v>
      </c>
      <c r="S306" s="222"/>
      <c r="T306" s="216"/>
    </row>
    <row r="307" spans="1:20">
      <c r="A307" s="216">
        <f t="shared" si="4"/>
        <v>300</v>
      </c>
      <c r="B307" s="217">
        <v>47</v>
      </c>
      <c r="C307" s="218" t="s">
        <v>1517</v>
      </c>
      <c r="D307" s="219" t="s">
        <v>1518</v>
      </c>
      <c r="E307" s="220" t="s">
        <v>1509</v>
      </c>
      <c r="F307" s="219" t="s">
        <v>1210</v>
      </c>
      <c r="G307" s="220" t="s">
        <v>1210</v>
      </c>
      <c r="H307" s="219" t="s">
        <v>1210</v>
      </c>
      <c r="I307" s="220" t="s">
        <v>1210</v>
      </c>
      <c r="J307" s="219" t="s">
        <v>1210</v>
      </c>
      <c r="K307" s="221" t="s">
        <v>1210</v>
      </c>
      <c r="L307" s="219" t="s">
        <v>1210</v>
      </c>
      <c r="M307" s="221" t="s">
        <v>1210</v>
      </c>
      <c r="N307" s="219" t="s">
        <v>1210</v>
      </c>
      <c r="O307" s="221" t="s">
        <v>1210</v>
      </c>
      <c r="P307" s="222" t="s">
        <v>1211</v>
      </c>
      <c r="Q307" s="223" t="s">
        <v>1212</v>
      </c>
      <c r="R307" s="223" t="s">
        <v>1212</v>
      </c>
      <c r="S307" s="222"/>
      <c r="T307" s="216"/>
    </row>
    <row r="308" spans="1:20">
      <c r="A308" s="216">
        <f t="shared" si="4"/>
        <v>301</v>
      </c>
      <c r="B308" s="224">
        <v>47</v>
      </c>
      <c r="C308" s="225" t="s">
        <v>1517</v>
      </c>
      <c r="D308" s="219" t="s">
        <v>1518</v>
      </c>
      <c r="E308" s="220" t="s">
        <v>1510</v>
      </c>
      <c r="F308" s="219" t="s">
        <v>1210</v>
      </c>
      <c r="G308" s="220" t="s">
        <v>1210</v>
      </c>
      <c r="H308" s="219" t="s">
        <v>1210</v>
      </c>
      <c r="I308" s="220" t="s">
        <v>1210</v>
      </c>
      <c r="J308" s="219" t="s">
        <v>1210</v>
      </c>
      <c r="K308" s="221" t="s">
        <v>1210</v>
      </c>
      <c r="L308" s="219" t="s">
        <v>1210</v>
      </c>
      <c r="M308" s="221" t="s">
        <v>1210</v>
      </c>
      <c r="N308" s="219" t="s">
        <v>1210</v>
      </c>
      <c r="O308" s="221" t="s">
        <v>1210</v>
      </c>
      <c r="P308" s="222" t="s">
        <v>1211</v>
      </c>
      <c r="Q308" s="223" t="s">
        <v>1212</v>
      </c>
      <c r="R308" s="223" t="s">
        <v>1212</v>
      </c>
      <c r="S308" s="222"/>
      <c r="T308" s="216"/>
    </row>
    <row r="309" spans="1:20">
      <c r="A309" s="216">
        <f t="shared" si="4"/>
        <v>302</v>
      </c>
      <c r="B309" s="224">
        <v>47</v>
      </c>
      <c r="C309" s="225" t="s">
        <v>1517</v>
      </c>
      <c r="D309" s="226" t="s">
        <v>853</v>
      </c>
      <c r="E309" s="227" t="s">
        <v>1519</v>
      </c>
      <c r="F309" s="226" t="s">
        <v>1210</v>
      </c>
      <c r="G309" s="227" t="s">
        <v>1210</v>
      </c>
      <c r="H309" s="226" t="s">
        <v>1210</v>
      </c>
      <c r="I309" s="227" t="s">
        <v>1210</v>
      </c>
      <c r="J309" s="226" t="s">
        <v>1210</v>
      </c>
      <c r="K309" s="228" t="s">
        <v>1210</v>
      </c>
      <c r="L309" s="226" t="s">
        <v>1210</v>
      </c>
      <c r="M309" s="228" t="s">
        <v>1210</v>
      </c>
      <c r="N309" s="226" t="s">
        <v>1210</v>
      </c>
      <c r="O309" s="228" t="s">
        <v>1210</v>
      </c>
      <c r="P309" s="229" t="s">
        <v>1216</v>
      </c>
      <c r="Q309" s="230" t="s">
        <v>1517</v>
      </c>
      <c r="R309" s="230" t="s">
        <v>1520</v>
      </c>
      <c r="S309" s="222"/>
      <c r="T309" s="216"/>
    </row>
    <row r="310" spans="1:20">
      <c r="A310" s="216">
        <f t="shared" si="4"/>
        <v>303</v>
      </c>
      <c r="B310" s="224">
        <v>47</v>
      </c>
      <c r="C310" s="225" t="s">
        <v>1517</v>
      </c>
      <c r="D310" s="226" t="s">
        <v>853</v>
      </c>
      <c r="E310" s="227" t="s">
        <v>1521</v>
      </c>
      <c r="F310" s="226" t="s">
        <v>1210</v>
      </c>
      <c r="G310" s="227" t="s">
        <v>1210</v>
      </c>
      <c r="H310" s="226" t="s">
        <v>1210</v>
      </c>
      <c r="I310" s="227" t="s">
        <v>1210</v>
      </c>
      <c r="J310" s="226" t="s">
        <v>1210</v>
      </c>
      <c r="K310" s="228" t="s">
        <v>1210</v>
      </c>
      <c r="L310" s="226" t="s">
        <v>1210</v>
      </c>
      <c r="M310" s="228" t="s">
        <v>1210</v>
      </c>
      <c r="N310" s="226" t="s">
        <v>1210</v>
      </c>
      <c r="O310" s="228" t="s">
        <v>1210</v>
      </c>
      <c r="P310" s="229" t="s">
        <v>1216</v>
      </c>
      <c r="Q310" s="230" t="s">
        <v>1517</v>
      </c>
      <c r="R310" s="230" t="s">
        <v>1520</v>
      </c>
      <c r="S310" s="222"/>
      <c r="T310" s="216"/>
    </row>
    <row r="311" spans="1:20">
      <c r="A311" s="216">
        <f t="shared" si="4"/>
        <v>304</v>
      </c>
      <c r="B311" s="224">
        <v>47</v>
      </c>
      <c r="C311" s="225" t="s">
        <v>1517</v>
      </c>
      <c r="D311" s="226" t="s">
        <v>853</v>
      </c>
      <c r="E311" s="234" t="s">
        <v>1522</v>
      </c>
      <c r="F311" s="226" t="s">
        <v>1210</v>
      </c>
      <c r="G311" s="227" t="s">
        <v>1210</v>
      </c>
      <c r="H311" s="226" t="s">
        <v>1210</v>
      </c>
      <c r="I311" s="227" t="s">
        <v>1210</v>
      </c>
      <c r="J311" s="226" t="s">
        <v>1210</v>
      </c>
      <c r="K311" s="228" t="s">
        <v>1210</v>
      </c>
      <c r="L311" s="226" t="s">
        <v>1210</v>
      </c>
      <c r="M311" s="228" t="s">
        <v>1210</v>
      </c>
      <c r="N311" s="226" t="s">
        <v>1210</v>
      </c>
      <c r="O311" s="228" t="s">
        <v>1210</v>
      </c>
      <c r="P311" s="229" t="s">
        <v>1216</v>
      </c>
      <c r="Q311" s="230" t="s">
        <v>1517</v>
      </c>
      <c r="R311" s="230" t="s">
        <v>1520</v>
      </c>
      <c r="S311" s="222"/>
      <c r="T311" s="216"/>
    </row>
    <row r="312" spans="1:20">
      <c r="A312" s="216">
        <f t="shared" si="4"/>
        <v>305</v>
      </c>
      <c r="B312" s="224">
        <v>47</v>
      </c>
      <c r="C312" s="225" t="s">
        <v>1517</v>
      </c>
      <c r="D312" s="226" t="s">
        <v>853</v>
      </c>
      <c r="E312" s="227" t="s">
        <v>1515</v>
      </c>
      <c r="F312" s="226" t="s">
        <v>1210</v>
      </c>
      <c r="G312" s="227" t="s">
        <v>1210</v>
      </c>
      <c r="H312" s="226" t="s">
        <v>1210</v>
      </c>
      <c r="I312" s="227" t="s">
        <v>1210</v>
      </c>
      <c r="J312" s="226" t="s">
        <v>1210</v>
      </c>
      <c r="K312" s="228" t="s">
        <v>1210</v>
      </c>
      <c r="L312" s="226" t="s">
        <v>1210</v>
      </c>
      <c r="M312" s="228" t="s">
        <v>1210</v>
      </c>
      <c r="N312" s="226" t="s">
        <v>1210</v>
      </c>
      <c r="O312" s="228" t="s">
        <v>1210</v>
      </c>
      <c r="P312" s="229" t="s">
        <v>1216</v>
      </c>
      <c r="Q312" s="230" t="s">
        <v>1517</v>
      </c>
      <c r="R312" s="230" t="s">
        <v>1520</v>
      </c>
      <c r="S312" s="222"/>
      <c r="T312" s="216"/>
    </row>
    <row r="313" spans="1:20">
      <c r="A313" s="216">
        <f t="shared" si="4"/>
        <v>306</v>
      </c>
      <c r="B313" s="224">
        <v>47</v>
      </c>
      <c r="C313" s="225" t="s">
        <v>1517</v>
      </c>
      <c r="D313" s="226" t="s">
        <v>853</v>
      </c>
      <c r="E313" s="227" t="s">
        <v>1523</v>
      </c>
      <c r="F313" s="226" t="s">
        <v>1210</v>
      </c>
      <c r="G313" s="227" t="s">
        <v>1210</v>
      </c>
      <c r="H313" s="226" t="s">
        <v>1210</v>
      </c>
      <c r="I313" s="227" t="s">
        <v>1210</v>
      </c>
      <c r="J313" s="226" t="s">
        <v>1210</v>
      </c>
      <c r="K313" s="228" t="s">
        <v>1210</v>
      </c>
      <c r="L313" s="226" t="s">
        <v>1210</v>
      </c>
      <c r="M313" s="228" t="s">
        <v>1210</v>
      </c>
      <c r="N313" s="226" t="s">
        <v>1210</v>
      </c>
      <c r="O313" s="228" t="s">
        <v>1210</v>
      </c>
      <c r="P313" s="229" t="s">
        <v>1216</v>
      </c>
      <c r="Q313" s="230" t="s">
        <v>1517</v>
      </c>
      <c r="R313" s="230" t="s">
        <v>1520</v>
      </c>
      <c r="S313" s="222"/>
      <c r="T313" s="216"/>
    </row>
    <row r="314" spans="1:20">
      <c r="A314" s="216">
        <f t="shared" si="4"/>
        <v>307</v>
      </c>
      <c r="B314" s="231">
        <v>47</v>
      </c>
      <c r="C314" s="225" t="s">
        <v>1517</v>
      </c>
      <c r="D314" s="226" t="s">
        <v>1518</v>
      </c>
      <c r="E314" s="227" t="s">
        <v>1369</v>
      </c>
      <c r="F314" s="226" t="s">
        <v>1210</v>
      </c>
      <c r="G314" s="227" t="s">
        <v>1210</v>
      </c>
      <c r="H314" s="226" t="s">
        <v>1210</v>
      </c>
      <c r="I314" s="227" t="s">
        <v>1210</v>
      </c>
      <c r="J314" s="226" t="s">
        <v>1210</v>
      </c>
      <c r="K314" s="228" t="s">
        <v>1210</v>
      </c>
      <c r="L314" s="226" t="s">
        <v>1210</v>
      </c>
      <c r="M314" s="228" t="s">
        <v>1210</v>
      </c>
      <c r="N314" s="226" t="s">
        <v>1210</v>
      </c>
      <c r="O314" s="228" t="s">
        <v>1210</v>
      </c>
      <c r="P314" s="229" t="s">
        <v>1216</v>
      </c>
      <c r="Q314" s="230" t="s">
        <v>1517</v>
      </c>
      <c r="R314" s="230" t="s">
        <v>1520</v>
      </c>
      <c r="S314" s="222"/>
      <c r="T314" s="216"/>
    </row>
    <row r="315" spans="1:20">
      <c r="A315" s="216">
        <f t="shared" si="4"/>
        <v>308</v>
      </c>
      <c r="B315" s="217">
        <v>51</v>
      </c>
      <c r="C315" s="218" t="s">
        <v>1524</v>
      </c>
      <c r="D315" s="219" t="s">
        <v>1518</v>
      </c>
      <c r="E315" s="220" t="s">
        <v>1505</v>
      </c>
      <c r="F315" s="219" t="s">
        <v>1525</v>
      </c>
      <c r="G315" s="220" t="s">
        <v>1505</v>
      </c>
      <c r="H315" s="219" t="s">
        <v>1210</v>
      </c>
      <c r="I315" s="220" t="s">
        <v>1210</v>
      </c>
      <c r="J315" s="219" t="s">
        <v>1210</v>
      </c>
      <c r="K315" s="221" t="s">
        <v>1210</v>
      </c>
      <c r="L315" s="219" t="s">
        <v>1210</v>
      </c>
      <c r="M315" s="221" t="s">
        <v>1210</v>
      </c>
      <c r="N315" s="219" t="s">
        <v>1210</v>
      </c>
      <c r="O315" s="221" t="s">
        <v>1210</v>
      </c>
      <c r="P315" s="222" t="s">
        <v>1211</v>
      </c>
      <c r="Q315" s="223" t="s">
        <v>1212</v>
      </c>
      <c r="R315" s="223" t="s">
        <v>1212</v>
      </c>
      <c r="S315" s="222"/>
      <c r="T315" s="216"/>
    </row>
    <row r="316" spans="1:20">
      <c r="A316" s="216">
        <f t="shared" si="4"/>
        <v>309</v>
      </c>
      <c r="B316" s="224">
        <v>51</v>
      </c>
      <c r="C316" s="225" t="s">
        <v>1524</v>
      </c>
      <c r="D316" s="226" t="s">
        <v>1518</v>
      </c>
      <c r="E316" s="227" t="s">
        <v>1526</v>
      </c>
      <c r="F316" s="226" t="s">
        <v>1525</v>
      </c>
      <c r="G316" s="227" t="s">
        <v>1505</v>
      </c>
      <c r="H316" s="226" t="s">
        <v>1210</v>
      </c>
      <c r="I316" s="227" t="s">
        <v>1210</v>
      </c>
      <c r="J316" s="226" t="s">
        <v>1210</v>
      </c>
      <c r="K316" s="228" t="s">
        <v>1210</v>
      </c>
      <c r="L316" s="226" t="s">
        <v>1210</v>
      </c>
      <c r="M316" s="228" t="s">
        <v>1210</v>
      </c>
      <c r="N316" s="226" t="s">
        <v>1210</v>
      </c>
      <c r="O316" s="228" t="s">
        <v>1210</v>
      </c>
      <c r="P316" s="229" t="s">
        <v>1216</v>
      </c>
      <c r="Q316" s="230" t="s">
        <v>1524</v>
      </c>
      <c r="R316" s="230" t="s">
        <v>1527</v>
      </c>
      <c r="S316" s="222"/>
      <c r="T316" s="216"/>
    </row>
    <row r="317" spans="1:20">
      <c r="A317" s="216">
        <f t="shared" si="4"/>
        <v>310</v>
      </c>
      <c r="B317" s="224">
        <v>51</v>
      </c>
      <c r="C317" s="225" t="s">
        <v>1524</v>
      </c>
      <c r="D317" s="219" t="s">
        <v>1518</v>
      </c>
      <c r="E317" s="220" t="s">
        <v>1528</v>
      </c>
      <c r="F317" s="219" t="s">
        <v>1525</v>
      </c>
      <c r="G317" s="220" t="s">
        <v>1505</v>
      </c>
      <c r="H317" s="219" t="s">
        <v>1210</v>
      </c>
      <c r="I317" s="220" t="s">
        <v>1210</v>
      </c>
      <c r="J317" s="219" t="s">
        <v>1210</v>
      </c>
      <c r="K317" s="221" t="s">
        <v>1210</v>
      </c>
      <c r="L317" s="219" t="s">
        <v>1210</v>
      </c>
      <c r="M317" s="221" t="s">
        <v>1210</v>
      </c>
      <c r="N317" s="219" t="s">
        <v>1210</v>
      </c>
      <c r="O317" s="221" t="s">
        <v>1210</v>
      </c>
      <c r="P317" s="222" t="s">
        <v>1211</v>
      </c>
      <c r="Q317" s="223" t="s">
        <v>1212</v>
      </c>
      <c r="R317" s="223" t="s">
        <v>1212</v>
      </c>
      <c r="S317" s="222"/>
      <c r="T317" s="216"/>
    </row>
    <row r="318" spans="1:20">
      <c r="A318" s="216">
        <f t="shared" si="4"/>
        <v>311</v>
      </c>
      <c r="B318" s="224">
        <v>51</v>
      </c>
      <c r="C318" s="225" t="s">
        <v>1524</v>
      </c>
      <c r="D318" s="219" t="s">
        <v>1518</v>
      </c>
      <c r="E318" s="220" t="s">
        <v>1505</v>
      </c>
      <c r="F318" s="219" t="s">
        <v>1525</v>
      </c>
      <c r="G318" s="220">
        <v>0</v>
      </c>
      <c r="H318" s="219" t="s">
        <v>1210</v>
      </c>
      <c r="I318" s="220" t="s">
        <v>1210</v>
      </c>
      <c r="J318" s="219" t="s">
        <v>1210</v>
      </c>
      <c r="K318" s="221" t="s">
        <v>1210</v>
      </c>
      <c r="L318" s="219" t="s">
        <v>1210</v>
      </c>
      <c r="M318" s="221" t="s">
        <v>1210</v>
      </c>
      <c r="N318" s="219" t="s">
        <v>1210</v>
      </c>
      <c r="O318" s="221" t="s">
        <v>1210</v>
      </c>
      <c r="P318" s="222" t="s">
        <v>1211</v>
      </c>
      <c r="Q318" s="223" t="s">
        <v>1212</v>
      </c>
      <c r="R318" s="223" t="s">
        <v>1212</v>
      </c>
      <c r="S318" s="222"/>
      <c r="T318" s="216"/>
    </row>
    <row r="319" spans="1:20">
      <c r="A319" s="216">
        <f t="shared" si="4"/>
        <v>312</v>
      </c>
      <c r="B319" s="231">
        <v>51</v>
      </c>
      <c r="C319" s="232" t="s">
        <v>1524</v>
      </c>
      <c r="D319" s="219" t="s">
        <v>1518</v>
      </c>
      <c r="E319" s="220" t="s">
        <v>1528</v>
      </c>
      <c r="F319" s="219" t="s">
        <v>1525</v>
      </c>
      <c r="G319" s="220" t="s">
        <v>1528</v>
      </c>
      <c r="H319" s="219" t="s">
        <v>1210</v>
      </c>
      <c r="I319" s="220" t="s">
        <v>1210</v>
      </c>
      <c r="J319" s="219" t="s">
        <v>1210</v>
      </c>
      <c r="K319" s="221" t="s">
        <v>1210</v>
      </c>
      <c r="L319" s="219" t="s">
        <v>1210</v>
      </c>
      <c r="M319" s="221" t="s">
        <v>1210</v>
      </c>
      <c r="N319" s="219" t="s">
        <v>1210</v>
      </c>
      <c r="O319" s="221" t="s">
        <v>1210</v>
      </c>
      <c r="P319" s="222" t="s">
        <v>1211</v>
      </c>
      <c r="Q319" s="223" t="s">
        <v>1212</v>
      </c>
      <c r="R319" s="223" t="s">
        <v>1212</v>
      </c>
      <c r="S319" s="222"/>
      <c r="T319" s="216"/>
    </row>
    <row r="320" spans="1:20">
      <c r="A320" s="216">
        <f t="shared" si="4"/>
        <v>313</v>
      </c>
      <c r="B320" s="217">
        <v>53</v>
      </c>
      <c r="C320" s="218" t="s">
        <v>1529</v>
      </c>
      <c r="D320" s="219" t="s">
        <v>1530</v>
      </c>
      <c r="E320" s="220" t="s">
        <v>1531</v>
      </c>
      <c r="F320" s="219" t="s">
        <v>1210</v>
      </c>
      <c r="G320" s="220" t="s">
        <v>1210</v>
      </c>
      <c r="H320" s="219" t="s">
        <v>1210</v>
      </c>
      <c r="I320" s="220" t="s">
        <v>1210</v>
      </c>
      <c r="J320" s="219" t="s">
        <v>1210</v>
      </c>
      <c r="K320" s="221" t="s">
        <v>1210</v>
      </c>
      <c r="L320" s="219" t="s">
        <v>1210</v>
      </c>
      <c r="M320" s="221" t="s">
        <v>1210</v>
      </c>
      <c r="N320" s="219" t="s">
        <v>1210</v>
      </c>
      <c r="O320" s="221" t="s">
        <v>1210</v>
      </c>
      <c r="P320" s="222" t="s">
        <v>1211</v>
      </c>
      <c r="Q320" s="223" t="s">
        <v>1212</v>
      </c>
      <c r="R320" s="223" t="s">
        <v>1212</v>
      </c>
      <c r="S320" s="222"/>
      <c r="T320" s="216"/>
    </row>
    <row r="321" spans="1:20">
      <c r="A321" s="216">
        <f t="shared" si="4"/>
        <v>314</v>
      </c>
      <c r="B321" s="224">
        <v>53</v>
      </c>
      <c r="C321" s="225" t="s">
        <v>1529</v>
      </c>
      <c r="D321" s="219" t="s">
        <v>1530</v>
      </c>
      <c r="E321" s="220" t="s">
        <v>1532</v>
      </c>
      <c r="F321" s="219" t="s">
        <v>1210</v>
      </c>
      <c r="G321" s="220" t="s">
        <v>1210</v>
      </c>
      <c r="H321" s="219" t="s">
        <v>1210</v>
      </c>
      <c r="I321" s="220" t="s">
        <v>1210</v>
      </c>
      <c r="J321" s="219" t="s">
        <v>1210</v>
      </c>
      <c r="K321" s="221" t="s">
        <v>1210</v>
      </c>
      <c r="L321" s="219" t="s">
        <v>1210</v>
      </c>
      <c r="M321" s="221" t="s">
        <v>1210</v>
      </c>
      <c r="N321" s="219" t="s">
        <v>1210</v>
      </c>
      <c r="O321" s="221" t="s">
        <v>1210</v>
      </c>
      <c r="P321" s="222" t="s">
        <v>1211</v>
      </c>
      <c r="Q321" s="223" t="s">
        <v>1212</v>
      </c>
      <c r="R321" s="223" t="s">
        <v>1212</v>
      </c>
      <c r="S321" s="222"/>
      <c r="T321" s="216"/>
    </row>
    <row r="322" spans="1:20">
      <c r="A322" s="216">
        <f t="shared" si="4"/>
        <v>315</v>
      </c>
      <c r="B322" s="224">
        <v>53</v>
      </c>
      <c r="C322" s="225" t="s">
        <v>1529</v>
      </c>
      <c r="D322" s="219" t="s">
        <v>1530</v>
      </c>
      <c r="E322" s="220" t="s">
        <v>1533</v>
      </c>
      <c r="F322" s="219" t="s">
        <v>1210</v>
      </c>
      <c r="G322" s="220" t="s">
        <v>1210</v>
      </c>
      <c r="H322" s="219" t="s">
        <v>1210</v>
      </c>
      <c r="I322" s="220" t="s">
        <v>1210</v>
      </c>
      <c r="J322" s="219" t="s">
        <v>1210</v>
      </c>
      <c r="K322" s="221" t="s">
        <v>1210</v>
      </c>
      <c r="L322" s="219" t="s">
        <v>1210</v>
      </c>
      <c r="M322" s="221" t="s">
        <v>1210</v>
      </c>
      <c r="N322" s="219" t="s">
        <v>1210</v>
      </c>
      <c r="O322" s="221" t="s">
        <v>1210</v>
      </c>
      <c r="P322" s="222" t="s">
        <v>1211</v>
      </c>
      <c r="Q322" s="223" t="s">
        <v>1212</v>
      </c>
      <c r="R322" s="223" t="s">
        <v>1212</v>
      </c>
      <c r="S322" s="222"/>
      <c r="T322" s="216"/>
    </row>
    <row r="323" spans="1:20">
      <c r="A323" s="216">
        <f t="shared" si="4"/>
        <v>316</v>
      </c>
      <c r="B323" s="224">
        <v>53</v>
      </c>
      <c r="C323" s="225" t="s">
        <v>1529</v>
      </c>
      <c r="D323" s="219" t="s">
        <v>1530</v>
      </c>
      <c r="E323" s="220" t="s">
        <v>1534</v>
      </c>
      <c r="F323" s="219" t="s">
        <v>1210</v>
      </c>
      <c r="G323" s="220" t="s">
        <v>1210</v>
      </c>
      <c r="H323" s="219" t="s">
        <v>1210</v>
      </c>
      <c r="I323" s="220" t="s">
        <v>1210</v>
      </c>
      <c r="J323" s="219" t="s">
        <v>1210</v>
      </c>
      <c r="K323" s="221" t="s">
        <v>1210</v>
      </c>
      <c r="L323" s="219" t="s">
        <v>1210</v>
      </c>
      <c r="M323" s="221" t="s">
        <v>1210</v>
      </c>
      <c r="N323" s="219" t="s">
        <v>1210</v>
      </c>
      <c r="O323" s="221" t="s">
        <v>1210</v>
      </c>
      <c r="P323" s="222" t="s">
        <v>1211</v>
      </c>
      <c r="Q323" s="223" t="s">
        <v>1212</v>
      </c>
      <c r="R323" s="223" t="s">
        <v>1212</v>
      </c>
      <c r="S323" s="222"/>
      <c r="T323" s="216"/>
    </row>
    <row r="324" spans="1:20">
      <c r="A324" s="216">
        <f t="shared" si="4"/>
        <v>317</v>
      </c>
      <c r="B324" s="224">
        <v>53</v>
      </c>
      <c r="C324" s="225" t="s">
        <v>1529</v>
      </c>
      <c r="D324" s="219" t="s">
        <v>1530</v>
      </c>
      <c r="E324" s="220" t="s">
        <v>1535</v>
      </c>
      <c r="F324" s="219" t="s">
        <v>1210</v>
      </c>
      <c r="G324" s="220" t="s">
        <v>1210</v>
      </c>
      <c r="H324" s="219" t="s">
        <v>1210</v>
      </c>
      <c r="I324" s="220" t="s">
        <v>1210</v>
      </c>
      <c r="J324" s="219" t="s">
        <v>1210</v>
      </c>
      <c r="K324" s="221" t="s">
        <v>1210</v>
      </c>
      <c r="L324" s="219" t="s">
        <v>1210</v>
      </c>
      <c r="M324" s="221" t="s">
        <v>1210</v>
      </c>
      <c r="N324" s="219" t="s">
        <v>1210</v>
      </c>
      <c r="O324" s="221" t="s">
        <v>1210</v>
      </c>
      <c r="P324" s="222" t="s">
        <v>1211</v>
      </c>
      <c r="Q324" s="223" t="s">
        <v>1212</v>
      </c>
      <c r="R324" s="223" t="s">
        <v>1212</v>
      </c>
      <c r="S324" s="222"/>
      <c r="T324" s="216"/>
    </row>
    <row r="325" spans="1:20">
      <c r="A325" s="216">
        <f t="shared" si="4"/>
        <v>318</v>
      </c>
      <c r="B325" s="224">
        <v>53</v>
      </c>
      <c r="C325" s="225" t="s">
        <v>1529</v>
      </c>
      <c r="D325" s="226" t="s">
        <v>1530</v>
      </c>
      <c r="E325" s="227">
        <v>99</v>
      </c>
      <c r="F325" s="226" t="s">
        <v>1210</v>
      </c>
      <c r="G325" s="227" t="s">
        <v>1210</v>
      </c>
      <c r="H325" s="226" t="s">
        <v>1210</v>
      </c>
      <c r="I325" s="227" t="s">
        <v>1210</v>
      </c>
      <c r="J325" s="226" t="s">
        <v>1210</v>
      </c>
      <c r="K325" s="228" t="s">
        <v>1210</v>
      </c>
      <c r="L325" s="226" t="s">
        <v>1210</v>
      </c>
      <c r="M325" s="228" t="s">
        <v>1210</v>
      </c>
      <c r="N325" s="226" t="s">
        <v>1210</v>
      </c>
      <c r="O325" s="228" t="s">
        <v>1210</v>
      </c>
      <c r="P325" s="229" t="s">
        <v>1216</v>
      </c>
      <c r="Q325" s="230" t="s">
        <v>1529</v>
      </c>
      <c r="R325" s="230" t="s">
        <v>1536</v>
      </c>
      <c r="S325" s="222"/>
      <c r="T325" s="216"/>
    </row>
    <row r="326" spans="1:20">
      <c r="A326" s="216">
        <f t="shared" si="4"/>
        <v>319</v>
      </c>
      <c r="B326" s="231">
        <v>53</v>
      </c>
      <c r="C326" s="232" t="s">
        <v>1529</v>
      </c>
      <c r="D326" s="226" t="s">
        <v>1530</v>
      </c>
      <c r="E326" s="227" t="s">
        <v>1369</v>
      </c>
      <c r="F326" s="226" t="s">
        <v>1210</v>
      </c>
      <c r="G326" s="227" t="s">
        <v>1210</v>
      </c>
      <c r="H326" s="226" t="s">
        <v>1210</v>
      </c>
      <c r="I326" s="227" t="s">
        <v>1210</v>
      </c>
      <c r="J326" s="226" t="s">
        <v>1210</v>
      </c>
      <c r="K326" s="228" t="s">
        <v>1210</v>
      </c>
      <c r="L326" s="226" t="s">
        <v>1210</v>
      </c>
      <c r="M326" s="228" t="s">
        <v>1210</v>
      </c>
      <c r="N326" s="226" t="s">
        <v>1210</v>
      </c>
      <c r="O326" s="228" t="s">
        <v>1210</v>
      </c>
      <c r="P326" s="229" t="s">
        <v>1216</v>
      </c>
      <c r="Q326" s="230" t="s">
        <v>1529</v>
      </c>
      <c r="R326" s="230" t="s">
        <v>1536</v>
      </c>
      <c r="S326" s="222"/>
      <c r="T326" s="216"/>
    </row>
    <row r="327" spans="1:20">
      <c r="A327" s="216">
        <f t="shared" si="4"/>
        <v>320</v>
      </c>
      <c r="B327" s="217">
        <v>54</v>
      </c>
      <c r="C327" s="218" t="s">
        <v>1537</v>
      </c>
      <c r="D327" s="219" t="s">
        <v>1538</v>
      </c>
      <c r="E327" s="220">
        <v>70</v>
      </c>
      <c r="F327" s="219" t="s">
        <v>1210</v>
      </c>
      <c r="G327" s="220" t="s">
        <v>1210</v>
      </c>
      <c r="H327" s="219" t="s">
        <v>1210</v>
      </c>
      <c r="I327" s="220" t="s">
        <v>1210</v>
      </c>
      <c r="J327" s="219" t="s">
        <v>1210</v>
      </c>
      <c r="K327" s="221" t="s">
        <v>1210</v>
      </c>
      <c r="L327" s="219" t="s">
        <v>1210</v>
      </c>
      <c r="M327" s="221" t="s">
        <v>1210</v>
      </c>
      <c r="N327" s="219" t="s">
        <v>1210</v>
      </c>
      <c r="O327" s="221" t="s">
        <v>1210</v>
      </c>
      <c r="P327" s="222" t="s">
        <v>1211</v>
      </c>
      <c r="Q327" s="223" t="s">
        <v>1212</v>
      </c>
      <c r="R327" s="223" t="s">
        <v>1212</v>
      </c>
      <c r="S327" s="222"/>
      <c r="T327" s="216"/>
    </row>
    <row r="328" spans="1:20">
      <c r="A328" s="216">
        <f t="shared" si="4"/>
        <v>321</v>
      </c>
      <c r="B328" s="224">
        <v>54</v>
      </c>
      <c r="C328" s="225" t="s">
        <v>1537</v>
      </c>
      <c r="D328" s="219" t="s">
        <v>1538</v>
      </c>
      <c r="E328" s="220">
        <v>71</v>
      </c>
      <c r="F328" s="219" t="s">
        <v>1210</v>
      </c>
      <c r="G328" s="220" t="s">
        <v>1210</v>
      </c>
      <c r="H328" s="219" t="s">
        <v>1210</v>
      </c>
      <c r="I328" s="220" t="s">
        <v>1210</v>
      </c>
      <c r="J328" s="219" t="s">
        <v>1210</v>
      </c>
      <c r="K328" s="221" t="s">
        <v>1210</v>
      </c>
      <c r="L328" s="219" t="s">
        <v>1210</v>
      </c>
      <c r="M328" s="221" t="s">
        <v>1210</v>
      </c>
      <c r="N328" s="219" t="s">
        <v>1210</v>
      </c>
      <c r="O328" s="221" t="s">
        <v>1210</v>
      </c>
      <c r="P328" s="222" t="s">
        <v>1211</v>
      </c>
      <c r="Q328" s="223" t="s">
        <v>1212</v>
      </c>
      <c r="R328" s="223" t="s">
        <v>1212</v>
      </c>
      <c r="S328" s="222"/>
      <c r="T328" s="216"/>
    </row>
    <row r="329" spans="1:20">
      <c r="A329" s="216">
        <f t="shared" si="4"/>
        <v>322</v>
      </c>
      <c r="B329" s="224">
        <v>54</v>
      </c>
      <c r="C329" s="225" t="s">
        <v>1537</v>
      </c>
      <c r="D329" s="219" t="s">
        <v>1538</v>
      </c>
      <c r="E329" s="220">
        <v>73</v>
      </c>
      <c r="F329" s="219" t="s">
        <v>1210</v>
      </c>
      <c r="G329" s="220" t="s">
        <v>1210</v>
      </c>
      <c r="H329" s="219" t="s">
        <v>1210</v>
      </c>
      <c r="I329" s="220" t="s">
        <v>1210</v>
      </c>
      <c r="J329" s="219" t="s">
        <v>1210</v>
      </c>
      <c r="K329" s="221" t="s">
        <v>1210</v>
      </c>
      <c r="L329" s="219" t="s">
        <v>1210</v>
      </c>
      <c r="M329" s="221" t="s">
        <v>1210</v>
      </c>
      <c r="N329" s="219" t="s">
        <v>1210</v>
      </c>
      <c r="O329" s="221" t="s">
        <v>1210</v>
      </c>
      <c r="P329" s="222" t="s">
        <v>1211</v>
      </c>
      <c r="Q329" s="223" t="s">
        <v>1212</v>
      </c>
      <c r="R329" s="223" t="s">
        <v>1212</v>
      </c>
      <c r="S329" s="222"/>
      <c r="T329" s="216"/>
    </row>
    <row r="330" spans="1:20">
      <c r="A330" s="216">
        <f t="shared" si="4"/>
        <v>323</v>
      </c>
      <c r="B330" s="224">
        <v>54</v>
      </c>
      <c r="C330" s="225" t="s">
        <v>1537</v>
      </c>
      <c r="D330" s="219" t="s">
        <v>1538</v>
      </c>
      <c r="E330" s="220">
        <v>74</v>
      </c>
      <c r="F330" s="219" t="s">
        <v>1210</v>
      </c>
      <c r="G330" s="220" t="s">
        <v>1210</v>
      </c>
      <c r="H330" s="219" t="s">
        <v>1210</v>
      </c>
      <c r="I330" s="220" t="s">
        <v>1210</v>
      </c>
      <c r="J330" s="219" t="s">
        <v>1210</v>
      </c>
      <c r="K330" s="221" t="s">
        <v>1210</v>
      </c>
      <c r="L330" s="219" t="s">
        <v>1210</v>
      </c>
      <c r="M330" s="221" t="s">
        <v>1210</v>
      </c>
      <c r="N330" s="219" t="s">
        <v>1210</v>
      </c>
      <c r="O330" s="221" t="s">
        <v>1210</v>
      </c>
      <c r="P330" s="222" t="s">
        <v>1211</v>
      </c>
      <c r="Q330" s="223" t="s">
        <v>1212</v>
      </c>
      <c r="R330" s="223" t="s">
        <v>1212</v>
      </c>
      <c r="S330" s="222"/>
      <c r="T330" s="216"/>
    </row>
    <row r="331" spans="1:20">
      <c r="A331" s="216">
        <f t="shared" si="4"/>
        <v>324</v>
      </c>
      <c r="B331" s="224">
        <v>54</v>
      </c>
      <c r="C331" s="225" t="s">
        <v>1537</v>
      </c>
      <c r="D331" s="219" t="s">
        <v>1538</v>
      </c>
      <c r="E331" s="220" t="s">
        <v>1224</v>
      </c>
      <c r="F331" s="219" t="s">
        <v>1210</v>
      </c>
      <c r="G331" s="220" t="s">
        <v>1210</v>
      </c>
      <c r="H331" s="219" t="s">
        <v>1210</v>
      </c>
      <c r="I331" s="220" t="s">
        <v>1210</v>
      </c>
      <c r="J331" s="219" t="s">
        <v>1210</v>
      </c>
      <c r="K331" s="221" t="s">
        <v>1210</v>
      </c>
      <c r="L331" s="219" t="s">
        <v>1210</v>
      </c>
      <c r="M331" s="221" t="s">
        <v>1210</v>
      </c>
      <c r="N331" s="219" t="s">
        <v>1210</v>
      </c>
      <c r="O331" s="221" t="s">
        <v>1210</v>
      </c>
      <c r="P331" s="222" t="s">
        <v>1211</v>
      </c>
      <c r="Q331" s="223" t="s">
        <v>1212</v>
      </c>
      <c r="R331" s="223" t="s">
        <v>1212</v>
      </c>
      <c r="S331" s="222"/>
      <c r="T331" s="216"/>
    </row>
    <row r="332" spans="1:20">
      <c r="A332" s="216">
        <f t="shared" si="4"/>
        <v>325</v>
      </c>
      <c r="B332" s="231">
        <v>54</v>
      </c>
      <c r="C332" s="232" t="s">
        <v>1537</v>
      </c>
      <c r="D332" s="226" t="s">
        <v>1538</v>
      </c>
      <c r="E332" s="227">
        <v>99</v>
      </c>
      <c r="F332" s="226" t="s">
        <v>1210</v>
      </c>
      <c r="G332" s="227" t="s">
        <v>1210</v>
      </c>
      <c r="H332" s="226" t="s">
        <v>1210</v>
      </c>
      <c r="I332" s="227" t="s">
        <v>1210</v>
      </c>
      <c r="J332" s="226" t="s">
        <v>1210</v>
      </c>
      <c r="K332" s="228" t="s">
        <v>1210</v>
      </c>
      <c r="L332" s="226" t="s">
        <v>1210</v>
      </c>
      <c r="M332" s="228" t="s">
        <v>1210</v>
      </c>
      <c r="N332" s="226" t="s">
        <v>1210</v>
      </c>
      <c r="O332" s="228" t="s">
        <v>1210</v>
      </c>
      <c r="P332" s="229" t="s">
        <v>1216</v>
      </c>
      <c r="Q332" s="230" t="s">
        <v>1537</v>
      </c>
      <c r="R332" s="230" t="s">
        <v>1539</v>
      </c>
      <c r="S332" s="222"/>
      <c r="T332" s="216"/>
    </row>
    <row r="333" spans="1:20">
      <c r="A333" s="216">
        <f t="shared" si="4"/>
        <v>326</v>
      </c>
      <c r="B333" s="217">
        <v>57</v>
      </c>
      <c r="C333" s="218" t="s">
        <v>1540</v>
      </c>
      <c r="D333" s="219" t="s">
        <v>1538</v>
      </c>
      <c r="E333" s="220" t="s">
        <v>1224</v>
      </c>
      <c r="F333" s="219" t="s">
        <v>1541</v>
      </c>
      <c r="G333" s="220">
        <v>0</v>
      </c>
      <c r="H333" s="219" t="s">
        <v>918</v>
      </c>
      <c r="I333" s="220">
        <v>0</v>
      </c>
      <c r="J333" s="219" t="s">
        <v>1210</v>
      </c>
      <c r="K333" s="221" t="s">
        <v>1210</v>
      </c>
      <c r="L333" s="219" t="s">
        <v>1210</v>
      </c>
      <c r="M333" s="221" t="s">
        <v>1210</v>
      </c>
      <c r="N333" s="219" t="s">
        <v>1210</v>
      </c>
      <c r="O333" s="221" t="s">
        <v>1210</v>
      </c>
      <c r="P333" s="222" t="s">
        <v>1211</v>
      </c>
      <c r="Q333" s="223" t="s">
        <v>1212</v>
      </c>
      <c r="R333" s="223" t="s">
        <v>1212</v>
      </c>
      <c r="S333" s="222"/>
      <c r="T333" s="216"/>
    </row>
    <row r="334" spans="1:20">
      <c r="A334" s="216">
        <f t="shared" si="4"/>
        <v>327</v>
      </c>
      <c r="B334" s="224">
        <v>57</v>
      </c>
      <c r="C334" s="225" t="s">
        <v>1540</v>
      </c>
      <c r="D334" s="219" t="s">
        <v>1538</v>
      </c>
      <c r="E334" s="220" t="s">
        <v>1224</v>
      </c>
      <c r="F334" s="219" t="s">
        <v>1541</v>
      </c>
      <c r="G334" s="220">
        <v>0</v>
      </c>
      <c r="H334" s="219" t="s">
        <v>918</v>
      </c>
      <c r="I334" s="220" t="s">
        <v>1505</v>
      </c>
      <c r="J334" s="219" t="s">
        <v>1210</v>
      </c>
      <c r="K334" s="221" t="s">
        <v>1210</v>
      </c>
      <c r="L334" s="219" t="s">
        <v>1210</v>
      </c>
      <c r="M334" s="221" t="s">
        <v>1210</v>
      </c>
      <c r="N334" s="219" t="s">
        <v>1210</v>
      </c>
      <c r="O334" s="221" t="s">
        <v>1210</v>
      </c>
      <c r="P334" s="222" t="s">
        <v>1211</v>
      </c>
      <c r="Q334" s="223" t="s">
        <v>1212</v>
      </c>
      <c r="R334" s="223" t="s">
        <v>1212</v>
      </c>
      <c r="S334" s="222"/>
      <c r="T334" s="216"/>
    </row>
    <row r="335" spans="1:20">
      <c r="A335" s="216">
        <f t="shared" si="4"/>
        <v>328</v>
      </c>
      <c r="B335" s="224">
        <v>57</v>
      </c>
      <c r="C335" s="225" t="s">
        <v>1540</v>
      </c>
      <c r="D335" s="219" t="s">
        <v>1538</v>
      </c>
      <c r="E335" s="220" t="s">
        <v>1224</v>
      </c>
      <c r="F335" s="219" t="s">
        <v>1541</v>
      </c>
      <c r="G335" s="220" t="s">
        <v>1505</v>
      </c>
      <c r="H335" s="219" t="s">
        <v>918</v>
      </c>
      <c r="I335" s="220">
        <v>0</v>
      </c>
      <c r="J335" s="219" t="s">
        <v>1210</v>
      </c>
      <c r="K335" s="221" t="s">
        <v>1210</v>
      </c>
      <c r="L335" s="219" t="s">
        <v>1210</v>
      </c>
      <c r="M335" s="221" t="s">
        <v>1210</v>
      </c>
      <c r="N335" s="219" t="s">
        <v>1210</v>
      </c>
      <c r="O335" s="221" t="s">
        <v>1210</v>
      </c>
      <c r="P335" s="222" t="s">
        <v>1211</v>
      </c>
      <c r="Q335" s="223" t="s">
        <v>1212</v>
      </c>
      <c r="R335" s="223" t="s">
        <v>1212</v>
      </c>
      <c r="S335" s="222"/>
      <c r="T335" s="216"/>
    </row>
    <row r="336" spans="1:20">
      <c r="A336" s="216">
        <f t="shared" si="4"/>
        <v>329</v>
      </c>
      <c r="B336" s="224">
        <v>57</v>
      </c>
      <c r="C336" s="225" t="s">
        <v>1540</v>
      </c>
      <c r="D336" s="219" t="s">
        <v>1538</v>
      </c>
      <c r="E336" s="220" t="s">
        <v>1224</v>
      </c>
      <c r="F336" s="219" t="s">
        <v>1541</v>
      </c>
      <c r="G336" s="220" t="s">
        <v>1505</v>
      </c>
      <c r="H336" s="219" t="s">
        <v>918</v>
      </c>
      <c r="I336" s="220" t="s">
        <v>1505</v>
      </c>
      <c r="J336" s="219" t="s">
        <v>1210</v>
      </c>
      <c r="K336" s="221" t="s">
        <v>1210</v>
      </c>
      <c r="L336" s="219" t="s">
        <v>1210</v>
      </c>
      <c r="M336" s="221" t="s">
        <v>1210</v>
      </c>
      <c r="N336" s="219" t="s">
        <v>1210</v>
      </c>
      <c r="O336" s="221" t="s">
        <v>1210</v>
      </c>
      <c r="P336" s="222" t="s">
        <v>1211</v>
      </c>
      <c r="Q336" s="223" t="s">
        <v>1212</v>
      </c>
      <c r="R336" s="223" t="s">
        <v>1212</v>
      </c>
      <c r="S336" s="222"/>
      <c r="T336" s="216"/>
    </row>
    <row r="337" spans="1:20">
      <c r="A337" s="216">
        <f t="shared" si="4"/>
        <v>330</v>
      </c>
      <c r="B337" s="224">
        <v>57</v>
      </c>
      <c r="C337" s="225" t="s">
        <v>1540</v>
      </c>
      <c r="D337" s="219" t="s">
        <v>1538</v>
      </c>
      <c r="E337" s="220">
        <v>71</v>
      </c>
      <c r="F337" s="219" t="s">
        <v>1541</v>
      </c>
      <c r="G337" s="220">
        <v>0</v>
      </c>
      <c r="H337" s="219" t="s">
        <v>918</v>
      </c>
      <c r="I337" s="220">
        <v>0</v>
      </c>
      <c r="J337" s="219" t="s">
        <v>1210</v>
      </c>
      <c r="K337" s="221" t="s">
        <v>1210</v>
      </c>
      <c r="L337" s="219" t="s">
        <v>1210</v>
      </c>
      <c r="M337" s="221" t="s">
        <v>1210</v>
      </c>
      <c r="N337" s="219" t="s">
        <v>1210</v>
      </c>
      <c r="O337" s="221" t="s">
        <v>1210</v>
      </c>
      <c r="P337" s="222" t="s">
        <v>1211</v>
      </c>
      <c r="Q337" s="223" t="s">
        <v>1212</v>
      </c>
      <c r="R337" s="223" t="s">
        <v>1212</v>
      </c>
      <c r="S337" s="222"/>
      <c r="T337" s="216"/>
    </row>
    <row r="338" spans="1:20">
      <c r="A338" s="216">
        <f t="shared" si="4"/>
        <v>331</v>
      </c>
      <c r="B338" s="224">
        <v>57</v>
      </c>
      <c r="C338" s="225" t="s">
        <v>1540</v>
      </c>
      <c r="D338" s="226" t="s">
        <v>1538</v>
      </c>
      <c r="E338" s="227">
        <v>71</v>
      </c>
      <c r="F338" s="226" t="s">
        <v>1541</v>
      </c>
      <c r="G338" s="227">
        <v>0</v>
      </c>
      <c r="H338" s="226" t="s">
        <v>918</v>
      </c>
      <c r="I338" s="227" t="s">
        <v>1505</v>
      </c>
      <c r="J338" s="226" t="s">
        <v>1210</v>
      </c>
      <c r="K338" s="228" t="s">
        <v>1210</v>
      </c>
      <c r="L338" s="226" t="s">
        <v>1210</v>
      </c>
      <c r="M338" s="228" t="s">
        <v>1210</v>
      </c>
      <c r="N338" s="226" t="s">
        <v>1210</v>
      </c>
      <c r="O338" s="228" t="s">
        <v>1210</v>
      </c>
      <c r="P338" s="229" t="s">
        <v>1216</v>
      </c>
      <c r="Q338" s="230" t="s">
        <v>1540</v>
      </c>
      <c r="R338" s="230" t="s">
        <v>1542</v>
      </c>
      <c r="S338" s="222"/>
      <c r="T338" s="216"/>
    </row>
    <row r="339" spans="1:20">
      <c r="A339" s="216">
        <f t="shared" si="4"/>
        <v>332</v>
      </c>
      <c r="B339" s="224">
        <v>57</v>
      </c>
      <c r="C339" s="225" t="s">
        <v>1540</v>
      </c>
      <c r="D339" s="226" t="s">
        <v>1538</v>
      </c>
      <c r="E339" s="227">
        <v>71</v>
      </c>
      <c r="F339" s="226" t="s">
        <v>1541</v>
      </c>
      <c r="G339" s="227" t="s">
        <v>1505</v>
      </c>
      <c r="H339" s="226" t="s">
        <v>918</v>
      </c>
      <c r="I339" s="227">
        <v>0</v>
      </c>
      <c r="J339" s="226" t="s">
        <v>1210</v>
      </c>
      <c r="K339" s="228" t="s">
        <v>1210</v>
      </c>
      <c r="L339" s="226" t="s">
        <v>1210</v>
      </c>
      <c r="M339" s="228" t="s">
        <v>1210</v>
      </c>
      <c r="N339" s="226" t="s">
        <v>1210</v>
      </c>
      <c r="O339" s="228" t="s">
        <v>1210</v>
      </c>
      <c r="P339" s="229" t="s">
        <v>1216</v>
      </c>
      <c r="Q339" s="230" t="s">
        <v>1540</v>
      </c>
      <c r="R339" s="230" t="s">
        <v>1542</v>
      </c>
      <c r="S339" s="222"/>
      <c r="T339" s="216"/>
    </row>
    <row r="340" spans="1:20">
      <c r="A340" s="216">
        <f t="shared" si="4"/>
        <v>333</v>
      </c>
      <c r="B340" s="224">
        <v>57</v>
      </c>
      <c r="C340" s="225" t="s">
        <v>1540</v>
      </c>
      <c r="D340" s="226" t="s">
        <v>1538</v>
      </c>
      <c r="E340" s="227">
        <v>71</v>
      </c>
      <c r="F340" s="226" t="s">
        <v>1541</v>
      </c>
      <c r="G340" s="227" t="s">
        <v>1505</v>
      </c>
      <c r="H340" s="226" t="s">
        <v>918</v>
      </c>
      <c r="I340" s="227" t="s">
        <v>1505</v>
      </c>
      <c r="J340" s="226" t="s">
        <v>1210</v>
      </c>
      <c r="K340" s="228" t="s">
        <v>1210</v>
      </c>
      <c r="L340" s="226" t="s">
        <v>1210</v>
      </c>
      <c r="M340" s="228" t="s">
        <v>1210</v>
      </c>
      <c r="N340" s="226" t="s">
        <v>1210</v>
      </c>
      <c r="O340" s="228" t="s">
        <v>1210</v>
      </c>
      <c r="P340" s="229" t="s">
        <v>1216</v>
      </c>
      <c r="Q340" s="230" t="s">
        <v>1540</v>
      </c>
      <c r="R340" s="230" t="s">
        <v>1542</v>
      </c>
      <c r="S340" s="222"/>
      <c r="T340" s="216"/>
    </row>
    <row r="341" spans="1:20">
      <c r="A341" s="216">
        <f t="shared" si="4"/>
        <v>334</v>
      </c>
      <c r="B341" s="217">
        <v>59</v>
      </c>
      <c r="C341" s="218" t="s">
        <v>1543</v>
      </c>
      <c r="D341" s="219" t="s">
        <v>1482</v>
      </c>
      <c r="E341" s="220">
        <v>20200401</v>
      </c>
      <c r="F341" s="219" t="s">
        <v>1210</v>
      </c>
      <c r="G341" s="220" t="s">
        <v>1210</v>
      </c>
      <c r="H341" s="219" t="s">
        <v>1210</v>
      </c>
      <c r="I341" s="220" t="s">
        <v>1210</v>
      </c>
      <c r="J341" s="219" t="s">
        <v>1210</v>
      </c>
      <c r="K341" s="221" t="s">
        <v>1210</v>
      </c>
      <c r="L341" s="219" t="s">
        <v>1210</v>
      </c>
      <c r="M341" s="221" t="s">
        <v>1210</v>
      </c>
      <c r="N341" s="219" t="s">
        <v>1210</v>
      </c>
      <c r="O341" s="221" t="s">
        <v>1210</v>
      </c>
      <c r="P341" s="222" t="s">
        <v>1211</v>
      </c>
      <c r="Q341" s="223" t="s">
        <v>1212</v>
      </c>
      <c r="R341" s="223" t="s">
        <v>1212</v>
      </c>
      <c r="S341" s="222"/>
      <c r="T341" s="216"/>
    </row>
    <row r="342" spans="1:20">
      <c r="A342" s="216">
        <f t="shared" si="4"/>
        <v>335</v>
      </c>
      <c r="B342" s="231">
        <v>59</v>
      </c>
      <c r="C342" s="232" t="s">
        <v>1543</v>
      </c>
      <c r="D342" s="226" t="s">
        <v>1482</v>
      </c>
      <c r="E342" s="227" t="s">
        <v>1369</v>
      </c>
      <c r="F342" s="226" t="s">
        <v>1210</v>
      </c>
      <c r="G342" s="227" t="s">
        <v>1210</v>
      </c>
      <c r="H342" s="226" t="s">
        <v>1210</v>
      </c>
      <c r="I342" s="227" t="s">
        <v>1210</v>
      </c>
      <c r="J342" s="226" t="s">
        <v>1210</v>
      </c>
      <c r="K342" s="228" t="s">
        <v>1210</v>
      </c>
      <c r="L342" s="226" t="s">
        <v>1210</v>
      </c>
      <c r="M342" s="228" t="s">
        <v>1210</v>
      </c>
      <c r="N342" s="226" t="s">
        <v>1210</v>
      </c>
      <c r="O342" s="228" t="s">
        <v>1210</v>
      </c>
      <c r="P342" s="229" t="s">
        <v>1216</v>
      </c>
      <c r="Q342" s="230" t="s">
        <v>1543</v>
      </c>
      <c r="R342" s="230" t="s">
        <v>1544</v>
      </c>
      <c r="S342" s="222"/>
      <c r="T342" s="216"/>
    </row>
    <row r="343" spans="1:20">
      <c r="A343" s="216">
        <f t="shared" si="4"/>
        <v>336</v>
      </c>
      <c r="B343" s="217">
        <v>60</v>
      </c>
      <c r="C343" s="218" t="s">
        <v>1545</v>
      </c>
      <c r="D343" s="219" t="s">
        <v>1482</v>
      </c>
      <c r="E343" s="220" t="s">
        <v>1546</v>
      </c>
      <c r="F343" s="219" t="s">
        <v>1210</v>
      </c>
      <c r="G343" s="220" t="s">
        <v>1210</v>
      </c>
      <c r="H343" s="219" t="s">
        <v>1210</v>
      </c>
      <c r="I343" s="220" t="s">
        <v>1210</v>
      </c>
      <c r="J343" s="219" t="s">
        <v>1210</v>
      </c>
      <c r="K343" s="221" t="s">
        <v>1210</v>
      </c>
      <c r="L343" s="219" t="s">
        <v>1210</v>
      </c>
      <c r="M343" s="221" t="s">
        <v>1210</v>
      </c>
      <c r="N343" s="219" t="s">
        <v>1210</v>
      </c>
      <c r="O343" s="221" t="s">
        <v>1210</v>
      </c>
      <c r="P343" s="222" t="s">
        <v>1211</v>
      </c>
      <c r="Q343" s="223" t="s">
        <v>1212</v>
      </c>
      <c r="R343" s="223" t="s">
        <v>1212</v>
      </c>
      <c r="S343" s="222"/>
      <c r="T343" s="216"/>
    </row>
    <row r="344" spans="1:20">
      <c r="A344" s="216">
        <f t="shared" si="4"/>
        <v>337</v>
      </c>
      <c r="B344" s="231">
        <v>60</v>
      </c>
      <c r="C344" s="232" t="s">
        <v>1545</v>
      </c>
      <c r="D344" s="226" t="s">
        <v>1482</v>
      </c>
      <c r="E344" s="227" t="s">
        <v>1547</v>
      </c>
      <c r="F344" s="226" t="s">
        <v>1210</v>
      </c>
      <c r="G344" s="227" t="s">
        <v>1210</v>
      </c>
      <c r="H344" s="226" t="s">
        <v>1210</v>
      </c>
      <c r="I344" s="227" t="s">
        <v>1210</v>
      </c>
      <c r="J344" s="226" t="s">
        <v>1210</v>
      </c>
      <c r="K344" s="228" t="s">
        <v>1210</v>
      </c>
      <c r="L344" s="226" t="s">
        <v>1210</v>
      </c>
      <c r="M344" s="228" t="s">
        <v>1210</v>
      </c>
      <c r="N344" s="226" t="s">
        <v>1210</v>
      </c>
      <c r="O344" s="228" t="s">
        <v>1210</v>
      </c>
      <c r="P344" s="229" t="s">
        <v>1216</v>
      </c>
      <c r="Q344" s="230" t="s">
        <v>1545</v>
      </c>
      <c r="R344" s="230" t="s">
        <v>1548</v>
      </c>
      <c r="S344" s="222"/>
      <c r="T344" s="216"/>
    </row>
    <row r="345" spans="1:20">
      <c r="A345" s="216">
        <f t="shared" si="4"/>
        <v>338</v>
      </c>
      <c r="B345" s="217">
        <v>61</v>
      </c>
      <c r="C345" s="218" t="s">
        <v>1549</v>
      </c>
      <c r="D345" s="219" t="s">
        <v>1550</v>
      </c>
      <c r="E345" s="220">
        <v>20200401</v>
      </c>
      <c r="F345" s="219" t="s">
        <v>1482</v>
      </c>
      <c r="G345" s="220">
        <v>20200401</v>
      </c>
      <c r="H345" s="219" t="s">
        <v>1210</v>
      </c>
      <c r="I345" s="220" t="s">
        <v>1210</v>
      </c>
      <c r="J345" s="219" t="s">
        <v>1210</v>
      </c>
      <c r="K345" s="221" t="s">
        <v>1210</v>
      </c>
      <c r="L345" s="219" t="s">
        <v>1210</v>
      </c>
      <c r="M345" s="221" t="s">
        <v>1210</v>
      </c>
      <c r="N345" s="219" t="s">
        <v>1210</v>
      </c>
      <c r="O345" s="221" t="s">
        <v>1210</v>
      </c>
      <c r="P345" s="222" t="s">
        <v>1211</v>
      </c>
      <c r="Q345" s="223" t="s">
        <v>1212</v>
      </c>
      <c r="R345" s="223" t="s">
        <v>1212</v>
      </c>
      <c r="S345" s="222"/>
      <c r="T345" s="216"/>
    </row>
    <row r="346" spans="1:20">
      <c r="A346" s="216">
        <f t="shared" si="4"/>
        <v>339</v>
      </c>
      <c r="B346" s="224">
        <v>61</v>
      </c>
      <c r="C346" s="225" t="s">
        <v>1549</v>
      </c>
      <c r="D346" s="226" t="s">
        <v>1550</v>
      </c>
      <c r="E346" s="227" t="s">
        <v>1483</v>
      </c>
      <c r="F346" s="226" t="s">
        <v>1482</v>
      </c>
      <c r="G346" s="227">
        <v>20200401</v>
      </c>
      <c r="H346" s="226" t="s">
        <v>1210</v>
      </c>
      <c r="I346" s="227" t="s">
        <v>1210</v>
      </c>
      <c r="J346" s="226" t="s">
        <v>1210</v>
      </c>
      <c r="K346" s="228" t="s">
        <v>1210</v>
      </c>
      <c r="L346" s="226" t="s">
        <v>1210</v>
      </c>
      <c r="M346" s="228" t="s">
        <v>1210</v>
      </c>
      <c r="N346" s="226" t="s">
        <v>1210</v>
      </c>
      <c r="O346" s="228" t="s">
        <v>1210</v>
      </c>
      <c r="P346" s="229" t="s">
        <v>1216</v>
      </c>
      <c r="Q346" s="230" t="s">
        <v>1549</v>
      </c>
      <c r="R346" s="230" t="s">
        <v>1551</v>
      </c>
      <c r="S346" s="222"/>
      <c r="T346" s="216"/>
    </row>
    <row r="347" spans="1:20">
      <c r="A347" s="216">
        <f t="shared" si="4"/>
        <v>340</v>
      </c>
      <c r="B347" s="231">
        <v>61</v>
      </c>
      <c r="C347" s="232" t="s">
        <v>1549</v>
      </c>
      <c r="D347" s="219" t="s">
        <v>1550</v>
      </c>
      <c r="E347" s="220" t="s">
        <v>1369</v>
      </c>
      <c r="F347" s="219" t="s">
        <v>1482</v>
      </c>
      <c r="G347" s="220">
        <v>20200401</v>
      </c>
      <c r="H347" s="219" t="s">
        <v>1210</v>
      </c>
      <c r="I347" s="220" t="s">
        <v>1210</v>
      </c>
      <c r="J347" s="219" t="s">
        <v>1210</v>
      </c>
      <c r="K347" s="221" t="s">
        <v>1210</v>
      </c>
      <c r="L347" s="219" t="s">
        <v>1210</v>
      </c>
      <c r="M347" s="221" t="s">
        <v>1210</v>
      </c>
      <c r="N347" s="219" t="s">
        <v>1210</v>
      </c>
      <c r="O347" s="221" t="s">
        <v>1210</v>
      </c>
      <c r="P347" s="222" t="s">
        <v>1211</v>
      </c>
      <c r="Q347" s="223" t="s">
        <v>1212</v>
      </c>
      <c r="R347" s="223" t="s">
        <v>1212</v>
      </c>
      <c r="S347" s="222"/>
      <c r="T347" s="216"/>
    </row>
    <row r="348" spans="1:20">
      <c r="A348" s="216">
        <f t="shared" si="4"/>
        <v>341</v>
      </c>
      <c r="B348" s="217">
        <v>63</v>
      </c>
      <c r="C348" s="218" t="s">
        <v>1552</v>
      </c>
      <c r="D348" s="219" t="s">
        <v>1553</v>
      </c>
      <c r="E348" s="220" t="s">
        <v>1505</v>
      </c>
      <c r="F348" s="219" t="s">
        <v>1210</v>
      </c>
      <c r="G348" s="220" t="s">
        <v>1210</v>
      </c>
      <c r="H348" s="219" t="s">
        <v>1210</v>
      </c>
      <c r="I348" s="220" t="s">
        <v>1210</v>
      </c>
      <c r="J348" s="219" t="s">
        <v>1210</v>
      </c>
      <c r="K348" s="221" t="s">
        <v>1210</v>
      </c>
      <c r="L348" s="219" t="s">
        <v>1210</v>
      </c>
      <c r="M348" s="221" t="s">
        <v>1210</v>
      </c>
      <c r="N348" s="219" t="s">
        <v>1210</v>
      </c>
      <c r="O348" s="221" t="s">
        <v>1210</v>
      </c>
      <c r="P348" s="222" t="s">
        <v>1211</v>
      </c>
      <c r="Q348" s="223" t="s">
        <v>1212</v>
      </c>
      <c r="R348" s="223" t="s">
        <v>1212</v>
      </c>
      <c r="S348" s="222"/>
      <c r="T348" s="216"/>
    </row>
    <row r="349" spans="1:20">
      <c r="A349" s="216">
        <f t="shared" si="4"/>
        <v>342</v>
      </c>
      <c r="B349" s="231">
        <v>63</v>
      </c>
      <c r="C349" s="232" t="s">
        <v>1552</v>
      </c>
      <c r="D349" s="226" t="s">
        <v>1553</v>
      </c>
      <c r="E349" s="227" t="s">
        <v>1369</v>
      </c>
      <c r="F349" s="226" t="s">
        <v>1210</v>
      </c>
      <c r="G349" s="227" t="s">
        <v>1210</v>
      </c>
      <c r="H349" s="226" t="s">
        <v>1210</v>
      </c>
      <c r="I349" s="227" t="s">
        <v>1210</v>
      </c>
      <c r="J349" s="226" t="s">
        <v>1210</v>
      </c>
      <c r="K349" s="228" t="s">
        <v>1210</v>
      </c>
      <c r="L349" s="226" t="s">
        <v>1210</v>
      </c>
      <c r="M349" s="228" t="s">
        <v>1210</v>
      </c>
      <c r="N349" s="226" t="s">
        <v>1210</v>
      </c>
      <c r="O349" s="228" t="s">
        <v>1210</v>
      </c>
      <c r="P349" s="229" t="s">
        <v>1216</v>
      </c>
      <c r="Q349" s="230" t="s">
        <v>1552</v>
      </c>
      <c r="R349" s="230" t="s">
        <v>1554</v>
      </c>
      <c r="S349" s="222"/>
      <c r="T349" s="216"/>
    </row>
    <row r="350" spans="1:20">
      <c r="A350" s="216">
        <f t="shared" si="4"/>
        <v>343</v>
      </c>
      <c r="B350" s="217">
        <v>64</v>
      </c>
      <c r="C350" s="218" t="s">
        <v>1555</v>
      </c>
      <c r="D350" s="219" t="s">
        <v>1553</v>
      </c>
      <c r="E350" s="220" t="s">
        <v>1509</v>
      </c>
      <c r="F350" s="219" t="s">
        <v>1210</v>
      </c>
      <c r="G350" s="220" t="s">
        <v>1210</v>
      </c>
      <c r="H350" s="219" t="s">
        <v>1210</v>
      </c>
      <c r="I350" s="220" t="s">
        <v>1210</v>
      </c>
      <c r="J350" s="219" t="s">
        <v>1210</v>
      </c>
      <c r="K350" s="221" t="s">
        <v>1210</v>
      </c>
      <c r="L350" s="219" t="s">
        <v>1210</v>
      </c>
      <c r="M350" s="221" t="s">
        <v>1210</v>
      </c>
      <c r="N350" s="219" t="s">
        <v>1210</v>
      </c>
      <c r="O350" s="221" t="s">
        <v>1210</v>
      </c>
      <c r="P350" s="222" t="s">
        <v>1211</v>
      </c>
      <c r="Q350" s="223" t="s">
        <v>1212</v>
      </c>
      <c r="R350" s="223" t="s">
        <v>1212</v>
      </c>
      <c r="S350" s="222"/>
      <c r="T350" s="216"/>
    </row>
    <row r="351" spans="1:20">
      <c r="A351" s="216">
        <f t="shared" ref="A351:A430" si="5">ROW()-7</f>
        <v>344</v>
      </c>
      <c r="B351" s="224">
        <v>64</v>
      </c>
      <c r="C351" s="225" t="s">
        <v>1555</v>
      </c>
      <c r="D351" s="226" t="s">
        <v>607</v>
      </c>
      <c r="E351" s="227" t="s">
        <v>1556</v>
      </c>
      <c r="F351" s="226" t="s">
        <v>1210</v>
      </c>
      <c r="G351" s="227" t="s">
        <v>1210</v>
      </c>
      <c r="H351" s="226" t="s">
        <v>1210</v>
      </c>
      <c r="I351" s="227" t="s">
        <v>1210</v>
      </c>
      <c r="J351" s="226" t="s">
        <v>1210</v>
      </c>
      <c r="K351" s="228" t="s">
        <v>1210</v>
      </c>
      <c r="L351" s="226" t="s">
        <v>1210</v>
      </c>
      <c r="M351" s="228" t="s">
        <v>1210</v>
      </c>
      <c r="N351" s="226" t="s">
        <v>1210</v>
      </c>
      <c r="O351" s="228" t="s">
        <v>1210</v>
      </c>
      <c r="P351" s="229" t="s">
        <v>1216</v>
      </c>
      <c r="Q351" s="230" t="s">
        <v>1555</v>
      </c>
      <c r="R351" s="230" t="s">
        <v>1557</v>
      </c>
      <c r="S351" s="222"/>
      <c r="T351" s="216"/>
    </row>
    <row r="352" spans="1:20">
      <c r="A352" s="216">
        <f t="shared" si="5"/>
        <v>345</v>
      </c>
      <c r="B352" s="224">
        <v>64</v>
      </c>
      <c r="C352" s="225" t="s">
        <v>1555</v>
      </c>
      <c r="D352" s="226" t="s">
        <v>607</v>
      </c>
      <c r="E352" s="227" t="s">
        <v>1558</v>
      </c>
      <c r="F352" s="226" t="s">
        <v>1210</v>
      </c>
      <c r="G352" s="227" t="s">
        <v>1210</v>
      </c>
      <c r="H352" s="226" t="s">
        <v>1210</v>
      </c>
      <c r="I352" s="227" t="s">
        <v>1210</v>
      </c>
      <c r="J352" s="226" t="s">
        <v>1210</v>
      </c>
      <c r="K352" s="228" t="s">
        <v>1210</v>
      </c>
      <c r="L352" s="226" t="s">
        <v>1210</v>
      </c>
      <c r="M352" s="228" t="s">
        <v>1210</v>
      </c>
      <c r="N352" s="226" t="s">
        <v>1210</v>
      </c>
      <c r="O352" s="228" t="s">
        <v>1210</v>
      </c>
      <c r="P352" s="229" t="s">
        <v>1216</v>
      </c>
      <c r="Q352" s="230" t="s">
        <v>1555</v>
      </c>
      <c r="R352" s="230" t="s">
        <v>1557</v>
      </c>
      <c r="S352" s="222"/>
      <c r="T352" s="216"/>
    </row>
    <row r="353" spans="1:20">
      <c r="A353" s="216">
        <f t="shared" si="5"/>
        <v>346</v>
      </c>
      <c r="B353" s="224">
        <v>64</v>
      </c>
      <c r="C353" s="225" t="s">
        <v>1555</v>
      </c>
      <c r="D353" s="226" t="s">
        <v>607</v>
      </c>
      <c r="E353" s="234" t="s">
        <v>1559</v>
      </c>
      <c r="F353" s="226" t="s">
        <v>1210</v>
      </c>
      <c r="G353" s="227" t="s">
        <v>1210</v>
      </c>
      <c r="H353" s="226" t="s">
        <v>1210</v>
      </c>
      <c r="I353" s="227" t="s">
        <v>1210</v>
      </c>
      <c r="J353" s="226" t="s">
        <v>1210</v>
      </c>
      <c r="K353" s="228" t="s">
        <v>1210</v>
      </c>
      <c r="L353" s="226" t="s">
        <v>1210</v>
      </c>
      <c r="M353" s="228" t="s">
        <v>1210</v>
      </c>
      <c r="N353" s="226" t="s">
        <v>1210</v>
      </c>
      <c r="O353" s="228" t="s">
        <v>1210</v>
      </c>
      <c r="P353" s="229" t="s">
        <v>1216</v>
      </c>
      <c r="Q353" s="230" t="s">
        <v>1555</v>
      </c>
      <c r="R353" s="230" t="s">
        <v>1557</v>
      </c>
      <c r="S353" s="222"/>
      <c r="T353" s="216"/>
    </row>
    <row r="354" spans="1:20">
      <c r="A354" s="216">
        <f t="shared" si="5"/>
        <v>347</v>
      </c>
      <c r="B354" s="224">
        <v>64</v>
      </c>
      <c r="C354" s="225" t="s">
        <v>1555</v>
      </c>
      <c r="D354" s="226" t="s">
        <v>607</v>
      </c>
      <c r="E354" s="227" t="s">
        <v>1515</v>
      </c>
      <c r="F354" s="226" t="s">
        <v>1210</v>
      </c>
      <c r="G354" s="227" t="s">
        <v>1210</v>
      </c>
      <c r="H354" s="226" t="s">
        <v>1210</v>
      </c>
      <c r="I354" s="227" t="s">
        <v>1210</v>
      </c>
      <c r="J354" s="226" t="s">
        <v>1210</v>
      </c>
      <c r="K354" s="228" t="s">
        <v>1210</v>
      </c>
      <c r="L354" s="226" t="s">
        <v>1210</v>
      </c>
      <c r="M354" s="228" t="s">
        <v>1210</v>
      </c>
      <c r="N354" s="226" t="s">
        <v>1210</v>
      </c>
      <c r="O354" s="228" t="s">
        <v>1210</v>
      </c>
      <c r="P354" s="229" t="s">
        <v>1216</v>
      </c>
      <c r="Q354" s="230" t="s">
        <v>1555</v>
      </c>
      <c r="R354" s="230" t="s">
        <v>1557</v>
      </c>
      <c r="S354" s="222"/>
      <c r="T354" s="216"/>
    </row>
    <row r="355" spans="1:20">
      <c r="A355" s="216">
        <f t="shared" si="5"/>
        <v>348</v>
      </c>
      <c r="B355" s="224">
        <v>64</v>
      </c>
      <c r="C355" s="225" t="s">
        <v>1555</v>
      </c>
      <c r="D355" s="226" t="s">
        <v>607</v>
      </c>
      <c r="E355" s="227" t="s">
        <v>1560</v>
      </c>
      <c r="F355" s="226" t="s">
        <v>1210</v>
      </c>
      <c r="G355" s="227" t="s">
        <v>1210</v>
      </c>
      <c r="H355" s="226" t="s">
        <v>1210</v>
      </c>
      <c r="I355" s="227" t="s">
        <v>1210</v>
      </c>
      <c r="J355" s="226" t="s">
        <v>1210</v>
      </c>
      <c r="K355" s="228" t="s">
        <v>1210</v>
      </c>
      <c r="L355" s="226" t="s">
        <v>1210</v>
      </c>
      <c r="M355" s="228" t="s">
        <v>1210</v>
      </c>
      <c r="N355" s="226" t="s">
        <v>1210</v>
      </c>
      <c r="O355" s="228" t="s">
        <v>1210</v>
      </c>
      <c r="P355" s="229" t="s">
        <v>1216</v>
      </c>
      <c r="Q355" s="230" t="s">
        <v>1555</v>
      </c>
      <c r="R355" s="230" t="s">
        <v>1557</v>
      </c>
      <c r="S355" s="222"/>
      <c r="T355" s="216"/>
    </row>
    <row r="356" spans="1:20">
      <c r="A356" s="216">
        <f t="shared" si="5"/>
        <v>349</v>
      </c>
      <c r="B356" s="217">
        <v>66</v>
      </c>
      <c r="C356" s="218" t="s">
        <v>1561</v>
      </c>
      <c r="D356" s="219" t="s">
        <v>1553</v>
      </c>
      <c r="E356" s="220">
        <v>0</v>
      </c>
      <c r="F356" s="219" t="s">
        <v>1550</v>
      </c>
      <c r="G356" s="220">
        <v>20200401</v>
      </c>
      <c r="H356" s="219" t="s">
        <v>1210</v>
      </c>
      <c r="I356" s="220" t="s">
        <v>1210</v>
      </c>
      <c r="J356" s="219" t="s">
        <v>1210</v>
      </c>
      <c r="K356" s="221" t="s">
        <v>1210</v>
      </c>
      <c r="L356" s="219" t="s">
        <v>1210</v>
      </c>
      <c r="M356" s="221" t="s">
        <v>1210</v>
      </c>
      <c r="N356" s="219" t="s">
        <v>1210</v>
      </c>
      <c r="O356" s="221" t="s">
        <v>1210</v>
      </c>
      <c r="P356" s="222" t="s">
        <v>1211</v>
      </c>
      <c r="Q356" s="223" t="s">
        <v>1212</v>
      </c>
      <c r="R356" s="223" t="s">
        <v>1212</v>
      </c>
      <c r="S356" s="222"/>
      <c r="T356" s="216"/>
    </row>
    <row r="357" spans="1:20">
      <c r="A357" s="216">
        <f t="shared" si="5"/>
        <v>350</v>
      </c>
      <c r="B357" s="224">
        <v>66</v>
      </c>
      <c r="C357" s="225" t="s">
        <v>1561</v>
      </c>
      <c r="D357" s="219" t="s">
        <v>1553</v>
      </c>
      <c r="E357" s="220" t="s">
        <v>1505</v>
      </c>
      <c r="F357" s="219" t="s">
        <v>1550</v>
      </c>
      <c r="G357" s="220">
        <v>20200401</v>
      </c>
      <c r="H357" s="219" t="s">
        <v>1210</v>
      </c>
      <c r="I357" s="220" t="s">
        <v>1210</v>
      </c>
      <c r="J357" s="219" t="s">
        <v>1210</v>
      </c>
      <c r="K357" s="221" t="s">
        <v>1210</v>
      </c>
      <c r="L357" s="219" t="s">
        <v>1210</v>
      </c>
      <c r="M357" s="221" t="s">
        <v>1210</v>
      </c>
      <c r="N357" s="219" t="s">
        <v>1210</v>
      </c>
      <c r="O357" s="221" t="s">
        <v>1210</v>
      </c>
      <c r="P357" s="222" t="s">
        <v>1211</v>
      </c>
      <c r="Q357" s="223" t="s">
        <v>1212</v>
      </c>
      <c r="R357" s="223" t="s">
        <v>1212</v>
      </c>
      <c r="S357" s="222"/>
      <c r="T357" s="216"/>
    </row>
    <row r="358" spans="1:20">
      <c r="A358" s="216">
        <f t="shared" si="5"/>
        <v>351</v>
      </c>
      <c r="B358" s="224">
        <v>66</v>
      </c>
      <c r="C358" s="225" t="s">
        <v>1561</v>
      </c>
      <c r="D358" s="219" t="s">
        <v>1553</v>
      </c>
      <c r="E358" s="220">
        <v>0</v>
      </c>
      <c r="F358" s="219" t="s">
        <v>1550</v>
      </c>
      <c r="G358" s="220" t="s">
        <v>1369</v>
      </c>
      <c r="H358" s="219" t="s">
        <v>1210</v>
      </c>
      <c r="I358" s="220" t="s">
        <v>1210</v>
      </c>
      <c r="J358" s="219" t="s">
        <v>1210</v>
      </c>
      <c r="K358" s="221" t="s">
        <v>1210</v>
      </c>
      <c r="L358" s="219" t="s">
        <v>1210</v>
      </c>
      <c r="M358" s="221" t="s">
        <v>1210</v>
      </c>
      <c r="N358" s="219" t="s">
        <v>1210</v>
      </c>
      <c r="O358" s="221" t="s">
        <v>1210</v>
      </c>
      <c r="P358" s="222" t="s">
        <v>1211</v>
      </c>
      <c r="Q358" s="223" t="s">
        <v>1212</v>
      </c>
      <c r="R358" s="223" t="s">
        <v>1212</v>
      </c>
      <c r="S358" s="222"/>
      <c r="T358" s="216"/>
    </row>
    <row r="359" spans="1:20">
      <c r="A359" s="216">
        <f t="shared" si="5"/>
        <v>352</v>
      </c>
      <c r="B359" s="231">
        <v>66</v>
      </c>
      <c r="C359" s="232" t="s">
        <v>1561</v>
      </c>
      <c r="D359" s="226" t="s">
        <v>1553</v>
      </c>
      <c r="E359" s="227" t="s">
        <v>1505</v>
      </c>
      <c r="F359" s="226" t="s">
        <v>1550</v>
      </c>
      <c r="G359" s="227" t="s">
        <v>1369</v>
      </c>
      <c r="H359" s="226" t="s">
        <v>1210</v>
      </c>
      <c r="I359" s="227" t="s">
        <v>1210</v>
      </c>
      <c r="J359" s="226" t="s">
        <v>1210</v>
      </c>
      <c r="K359" s="228" t="s">
        <v>1210</v>
      </c>
      <c r="L359" s="226" t="s">
        <v>1210</v>
      </c>
      <c r="M359" s="228" t="s">
        <v>1210</v>
      </c>
      <c r="N359" s="226" t="s">
        <v>1210</v>
      </c>
      <c r="O359" s="228" t="s">
        <v>1210</v>
      </c>
      <c r="P359" s="229" t="s">
        <v>1216</v>
      </c>
      <c r="Q359" s="230" t="s">
        <v>1561</v>
      </c>
      <c r="R359" s="230" t="s">
        <v>1562</v>
      </c>
      <c r="S359" s="222"/>
      <c r="T359" s="216"/>
    </row>
    <row r="360" spans="1:20">
      <c r="A360" s="216">
        <f t="shared" si="5"/>
        <v>353</v>
      </c>
      <c r="B360" s="217">
        <v>67</v>
      </c>
      <c r="C360" s="218" t="s">
        <v>1563</v>
      </c>
      <c r="D360" s="219" t="s">
        <v>1553</v>
      </c>
      <c r="E360" s="220" t="s">
        <v>1505</v>
      </c>
      <c r="F360" s="219" t="s">
        <v>1550</v>
      </c>
      <c r="G360" s="220" t="s">
        <v>1369</v>
      </c>
      <c r="H360" s="219" t="s">
        <v>614</v>
      </c>
      <c r="I360" s="220" t="s">
        <v>1505</v>
      </c>
      <c r="J360" s="219" t="s">
        <v>1210</v>
      </c>
      <c r="K360" s="221" t="s">
        <v>1210</v>
      </c>
      <c r="L360" s="219" t="s">
        <v>1210</v>
      </c>
      <c r="M360" s="221" t="s">
        <v>1210</v>
      </c>
      <c r="N360" s="219" t="s">
        <v>1210</v>
      </c>
      <c r="O360" s="221" t="s">
        <v>1210</v>
      </c>
      <c r="P360" s="222" t="s">
        <v>1281</v>
      </c>
      <c r="Q360" s="223" t="s">
        <v>1212</v>
      </c>
      <c r="R360" s="223" t="s">
        <v>1212</v>
      </c>
      <c r="S360" s="222"/>
      <c r="T360" s="216" t="s">
        <v>1564</v>
      </c>
    </row>
    <row r="361" spans="1:20">
      <c r="A361" s="216">
        <f t="shared" si="5"/>
        <v>354</v>
      </c>
      <c r="B361" s="224">
        <v>67</v>
      </c>
      <c r="C361" s="225" t="s">
        <v>1563</v>
      </c>
      <c r="D361" s="219" t="s">
        <v>1553</v>
      </c>
      <c r="E361" s="220" t="s">
        <v>1505</v>
      </c>
      <c r="F361" s="219" t="s">
        <v>1550</v>
      </c>
      <c r="G361" s="220" t="s">
        <v>1369</v>
      </c>
      <c r="H361" s="219" t="s">
        <v>614</v>
      </c>
      <c r="I361" s="220">
        <v>0</v>
      </c>
      <c r="J361" s="219" t="s">
        <v>1210</v>
      </c>
      <c r="K361" s="221" t="s">
        <v>1210</v>
      </c>
      <c r="L361" s="219" t="s">
        <v>1210</v>
      </c>
      <c r="M361" s="221" t="s">
        <v>1210</v>
      </c>
      <c r="N361" s="219" t="s">
        <v>1210</v>
      </c>
      <c r="O361" s="221" t="s">
        <v>1210</v>
      </c>
      <c r="P361" s="222" t="s">
        <v>1281</v>
      </c>
      <c r="Q361" s="223" t="s">
        <v>1212</v>
      </c>
      <c r="R361" s="223" t="s">
        <v>1212</v>
      </c>
      <c r="S361" s="222"/>
      <c r="T361" s="216" t="s">
        <v>1565</v>
      </c>
    </row>
    <row r="362" spans="1:20">
      <c r="A362" s="216">
        <f t="shared" si="5"/>
        <v>355</v>
      </c>
      <c r="B362" s="224">
        <v>67</v>
      </c>
      <c r="C362" s="225" t="s">
        <v>1563</v>
      </c>
      <c r="D362" s="219" t="s">
        <v>1553</v>
      </c>
      <c r="E362" s="220" t="s">
        <v>1505</v>
      </c>
      <c r="F362" s="219" t="s">
        <v>1550</v>
      </c>
      <c r="G362" s="220">
        <v>20200401</v>
      </c>
      <c r="H362" s="219" t="s">
        <v>614</v>
      </c>
      <c r="I362" s="220" t="s">
        <v>1505</v>
      </c>
      <c r="J362" s="219" t="s">
        <v>1210</v>
      </c>
      <c r="K362" s="221" t="s">
        <v>1210</v>
      </c>
      <c r="L362" s="219" t="s">
        <v>1210</v>
      </c>
      <c r="M362" s="221" t="s">
        <v>1210</v>
      </c>
      <c r="N362" s="219" t="s">
        <v>1210</v>
      </c>
      <c r="O362" s="221" t="s">
        <v>1210</v>
      </c>
      <c r="P362" s="222" t="s">
        <v>1211</v>
      </c>
      <c r="Q362" s="223" t="s">
        <v>1212</v>
      </c>
      <c r="R362" s="223" t="s">
        <v>1212</v>
      </c>
      <c r="S362" s="222"/>
      <c r="T362" s="216"/>
    </row>
    <row r="363" spans="1:20">
      <c r="A363" s="216">
        <f t="shared" si="5"/>
        <v>356</v>
      </c>
      <c r="B363" s="224">
        <v>67</v>
      </c>
      <c r="C363" s="225" t="s">
        <v>1563</v>
      </c>
      <c r="D363" s="219" t="s">
        <v>1553</v>
      </c>
      <c r="E363" s="220" t="s">
        <v>1505</v>
      </c>
      <c r="F363" s="219" t="s">
        <v>1550</v>
      </c>
      <c r="G363" s="220">
        <v>20200401</v>
      </c>
      <c r="H363" s="219" t="s">
        <v>614</v>
      </c>
      <c r="I363" s="220">
        <v>0</v>
      </c>
      <c r="J363" s="219" t="s">
        <v>1210</v>
      </c>
      <c r="K363" s="221" t="s">
        <v>1210</v>
      </c>
      <c r="L363" s="219" t="s">
        <v>1210</v>
      </c>
      <c r="M363" s="221" t="s">
        <v>1210</v>
      </c>
      <c r="N363" s="219" t="s">
        <v>1210</v>
      </c>
      <c r="O363" s="221" t="s">
        <v>1210</v>
      </c>
      <c r="P363" s="222" t="s">
        <v>1211</v>
      </c>
      <c r="Q363" s="223" t="s">
        <v>1212</v>
      </c>
      <c r="R363" s="223" t="s">
        <v>1212</v>
      </c>
      <c r="S363" s="222"/>
      <c r="T363" s="216"/>
    </row>
    <row r="364" spans="1:20">
      <c r="A364" s="216">
        <f t="shared" si="5"/>
        <v>357</v>
      </c>
      <c r="B364" s="224">
        <v>67</v>
      </c>
      <c r="C364" s="225" t="s">
        <v>1563</v>
      </c>
      <c r="D364" s="219" t="s">
        <v>1553</v>
      </c>
      <c r="E364" s="220">
        <v>0</v>
      </c>
      <c r="F364" s="219" t="s">
        <v>1550</v>
      </c>
      <c r="G364" s="220" t="s">
        <v>1369</v>
      </c>
      <c r="H364" s="219" t="s">
        <v>614</v>
      </c>
      <c r="I364" s="220" t="s">
        <v>1505</v>
      </c>
      <c r="J364" s="219" t="s">
        <v>1210</v>
      </c>
      <c r="K364" s="221" t="s">
        <v>1210</v>
      </c>
      <c r="L364" s="219" t="s">
        <v>1210</v>
      </c>
      <c r="M364" s="221" t="s">
        <v>1210</v>
      </c>
      <c r="N364" s="219" t="s">
        <v>1210</v>
      </c>
      <c r="O364" s="221" t="s">
        <v>1210</v>
      </c>
      <c r="P364" s="222" t="s">
        <v>1211</v>
      </c>
      <c r="Q364" s="223" t="s">
        <v>1212</v>
      </c>
      <c r="R364" s="223" t="s">
        <v>1212</v>
      </c>
      <c r="S364" s="222"/>
      <c r="T364" s="216" t="s">
        <v>1566</v>
      </c>
    </row>
    <row r="365" spans="1:20">
      <c r="A365" s="216">
        <f t="shared" si="5"/>
        <v>358</v>
      </c>
      <c r="B365" s="224">
        <v>67</v>
      </c>
      <c r="C365" s="225" t="s">
        <v>1563</v>
      </c>
      <c r="D365" s="219" t="s">
        <v>1553</v>
      </c>
      <c r="E365" s="220">
        <v>0</v>
      </c>
      <c r="F365" s="219" t="s">
        <v>1550</v>
      </c>
      <c r="G365" s="220" t="s">
        <v>1369</v>
      </c>
      <c r="H365" s="219" t="s">
        <v>614</v>
      </c>
      <c r="I365" s="220">
        <v>0</v>
      </c>
      <c r="J365" s="219" t="s">
        <v>1210</v>
      </c>
      <c r="K365" s="221" t="s">
        <v>1210</v>
      </c>
      <c r="L365" s="219" t="s">
        <v>1210</v>
      </c>
      <c r="M365" s="221" t="s">
        <v>1210</v>
      </c>
      <c r="N365" s="219" t="s">
        <v>1210</v>
      </c>
      <c r="O365" s="221" t="s">
        <v>1210</v>
      </c>
      <c r="P365" s="222" t="s">
        <v>1211</v>
      </c>
      <c r="Q365" s="223" t="s">
        <v>1212</v>
      </c>
      <c r="R365" s="223" t="s">
        <v>1212</v>
      </c>
      <c r="S365" s="222"/>
      <c r="T365" s="216"/>
    </row>
    <row r="366" spans="1:20">
      <c r="A366" s="216">
        <f t="shared" si="5"/>
        <v>359</v>
      </c>
      <c r="B366" s="224">
        <v>67</v>
      </c>
      <c r="C366" s="225" t="s">
        <v>1563</v>
      </c>
      <c r="D366" s="219" t="s">
        <v>1553</v>
      </c>
      <c r="E366" s="220">
        <v>0</v>
      </c>
      <c r="F366" s="219" t="s">
        <v>1550</v>
      </c>
      <c r="G366" s="220">
        <v>20200401</v>
      </c>
      <c r="H366" s="219" t="s">
        <v>614</v>
      </c>
      <c r="I366" s="220" t="s">
        <v>1505</v>
      </c>
      <c r="J366" s="219" t="s">
        <v>1210</v>
      </c>
      <c r="K366" s="221" t="s">
        <v>1210</v>
      </c>
      <c r="L366" s="219" t="s">
        <v>1210</v>
      </c>
      <c r="M366" s="221" t="s">
        <v>1210</v>
      </c>
      <c r="N366" s="219" t="s">
        <v>1210</v>
      </c>
      <c r="O366" s="221" t="s">
        <v>1210</v>
      </c>
      <c r="P366" s="222" t="s">
        <v>1211</v>
      </c>
      <c r="Q366" s="223" t="s">
        <v>1212</v>
      </c>
      <c r="R366" s="223" t="s">
        <v>1212</v>
      </c>
      <c r="S366" s="222"/>
      <c r="T366" s="216"/>
    </row>
    <row r="367" spans="1:20">
      <c r="A367" s="216">
        <f t="shared" si="5"/>
        <v>360</v>
      </c>
      <c r="B367" s="231">
        <v>67</v>
      </c>
      <c r="C367" s="232" t="s">
        <v>1563</v>
      </c>
      <c r="D367" s="226" t="s">
        <v>1553</v>
      </c>
      <c r="E367" s="227">
        <v>0</v>
      </c>
      <c r="F367" s="226" t="s">
        <v>1550</v>
      </c>
      <c r="G367" s="227">
        <v>20200401</v>
      </c>
      <c r="H367" s="226" t="s">
        <v>614</v>
      </c>
      <c r="I367" s="227">
        <v>0</v>
      </c>
      <c r="J367" s="226" t="s">
        <v>1210</v>
      </c>
      <c r="K367" s="228" t="s">
        <v>1210</v>
      </c>
      <c r="L367" s="226" t="s">
        <v>1210</v>
      </c>
      <c r="M367" s="228" t="s">
        <v>1210</v>
      </c>
      <c r="N367" s="226" t="s">
        <v>1210</v>
      </c>
      <c r="O367" s="228" t="s">
        <v>1210</v>
      </c>
      <c r="P367" s="229" t="s">
        <v>1216</v>
      </c>
      <c r="Q367" s="230" t="s">
        <v>1563</v>
      </c>
      <c r="R367" s="230" t="s">
        <v>1567</v>
      </c>
      <c r="S367" s="222"/>
      <c r="T367" s="216"/>
    </row>
    <row r="368" spans="1:20">
      <c r="A368" s="216">
        <f t="shared" si="5"/>
        <v>361</v>
      </c>
      <c r="B368" s="217">
        <v>68</v>
      </c>
      <c r="C368" s="218" t="s">
        <v>1568</v>
      </c>
      <c r="D368" s="219" t="s">
        <v>1569</v>
      </c>
      <c r="E368" s="220" t="s">
        <v>1505</v>
      </c>
      <c r="F368" s="219" t="s">
        <v>1210</v>
      </c>
      <c r="G368" s="220" t="s">
        <v>1210</v>
      </c>
      <c r="H368" s="219" t="s">
        <v>1210</v>
      </c>
      <c r="I368" s="220" t="s">
        <v>1210</v>
      </c>
      <c r="J368" s="219" t="s">
        <v>1210</v>
      </c>
      <c r="K368" s="221" t="s">
        <v>1210</v>
      </c>
      <c r="L368" s="219" t="s">
        <v>1210</v>
      </c>
      <c r="M368" s="221" t="s">
        <v>1210</v>
      </c>
      <c r="N368" s="219" t="s">
        <v>1210</v>
      </c>
      <c r="O368" s="221" t="s">
        <v>1210</v>
      </c>
      <c r="P368" s="222" t="s">
        <v>1211</v>
      </c>
      <c r="Q368" s="223" t="s">
        <v>1212</v>
      </c>
      <c r="R368" s="223" t="s">
        <v>1212</v>
      </c>
      <c r="S368" s="222"/>
      <c r="T368" s="216"/>
    </row>
    <row r="369" spans="1:20">
      <c r="A369" s="216">
        <f t="shared" si="5"/>
        <v>362</v>
      </c>
      <c r="B369" s="231">
        <v>68</v>
      </c>
      <c r="C369" s="232" t="s">
        <v>1568</v>
      </c>
      <c r="D369" s="226" t="s">
        <v>1569</v>
      </c>
      <c r="E369" s="227" t="s">
        <v>1369</v>
      </c>
      <c r="F369" s="226" t="s">
        <v>1210</v>
      </c>
      <c r="G369" s="227" t="s">
        <v>1210</v>
      </c>
      <c r="H369" s="226" t="s">
        <v>1210</v>
      </c>
      <c r="I369" s="227" t="s">
        <v>1210</v>
      </c>
      <c r="J369" s="226" t="s">
        <v>1210</v>
      </c>
      <c r="K369" s="228" t="s">
        <v>1210</v>
      </c>
      <c r="L369" s="226" t="s">
        <v>1210</v>
      </c>
      <c r="M369" s="228" t="s">
        <v>1210</v>
      </c>
      <c r="N369" s="226" t="s">
        <v>1210</v>
      </c>
      <c r="O369" s="228" t="s">
        <v>1210</v>
      </c>
      <c r="P369" s="229" t="s">
        <v>1216</v>
      </c>
      <c r="Q369" s="230" t="s">
        <v>1568</v>
      </c>
      <c r="R369" s="230" t="s">
        <v>1570</v>
      </c>
      <c r="S369" s="222"/>
      <c r="T369" s="216"/>
    </row>
    <row r="370" spans="1:20">
      <c r="A370" s="216">
        <f t="shared" si="5"/>
        <v>363</v>
      </c>
      <c r="B370" s="217">
        <v>69</v>
      </c>
      <c r="C370" s="218" t="s">
        <v>1571</v>
      </c>
      <c r="D370" s="219" t="s">
        <v>1569</v>
      </c>
      <c r="E370" s="220" t="s">
        <v>1509</v>
      </c>
      <c r="F370" s="219" t="s">
        <v>1210</v>
      </c>
      <c r="G370" s="220" t="s">
        <v>1210</v>
      </c>
      <c r="H370" s="219" t="s">
        <v>1210</v>
      </c>
      <c r="I370" s="220" t="s">
        <v>1210</v>
      </c>
      <c r="J370" s="219" t="s">
        <v>1210</v>
      </c>
      <c r="K370" s="221" t="s">
        <v>1210</v>
      </c>
      <c r="L370" s="219" t="s">
        <v>1210</v>
      </c>
      <c r="M370" s="221" t="s">
        <v>1210</v>
      </c>
      <c r="N370" s="219" t="s">
        <v>1210</v>
      </c>
      <c r="O370" s="221" t="s">
        <v>1210</v>
      </c>
      <c r="P370" s="222" t="s">
        <v>1211</v>
      </c>
      <c r="Q370" s="223" t="s">
        <v>1212</v>
      </c>
      <c r="R370" s="223" t="s">
        <v>1212</v>
      </c>
      <c r="S370" s="222"/>
      <c r="T370" s="216"/>
    </row>
    <row r="371" spans="1:20">
      <c r="A371" s="216">
        <f t="shared" si="5"/>
        <v>364</v>
      </c>
      <c r="B371" s="224">
        <v>69</v>
      </c>
      <c r="C371" s="225" t="s">
        <v>1571</v>
      </c>
      <c r="D371" s="226" t="s">
        <v>614</v>
      </c>
      <c r="E371" s="227" t="s">
        <v>1572</v>
      </c>
      <c r="F371" s="226" t="s">
        <v>1210</v>
      </c>
      <c r="G371" s="227" t="s">
        <v>1210</v>
      </c>
      <c r="H371" s="226" t="s">
        <v>1210</v>
      </c>
      <c r="I371" s="227" t="s">
        <v>1210</v>
      </c>
      <c r="J371" s="226" t="s">
        <v>1210</v>
      </c>
      <c r="K371" s="228" t="s">
        <v>1210</v>
      </c>
      <c r="L371" s="226" t="s">
        <v>1210</v>
      </c>
      <c r="M371" s="228" t="s">
        <v>1210</v>
      </c>
      <c r="N371" s="226" t="s">
        <v>1210</v>
      </c>
      <c r="O371" s="228" t="s">
        <v>1210</v>
      </c>
      <c r="P371" s="229" t="s">
        <v>1216</v>
      </c>
      <c r="Q371" s="230" t="s">
        <v>1571</v>
      </c>
      <c r="R371" s="230" t="s">
        <v>1573</v>
      </c>
      <c r="S371" s="222"/>
      <c r="T371" s="216"/>
    </row>
    <row r="372" spans="1:20">
      <c r="A372" s="216">
        <f t="shared" si="5"/>
        <v>365</v>
      </c>
      <c r="B372" s="224">
        <v>69</v>
      </c>
      <c r="C372" s="225" t="s">
        <v>1571</v>
      </c>
      <c r="D372" s="226" t="s">
        <v>614</v>
      </c>
      <c r="E372" s="227" t="s">
        <v>1574</v>
      </c>
      <c r="F372" s="226" t="s">
        <v>1210</v>
      </c>
      <c r="G372" s="227" t="s">
        <v>1210</v>
      </c>
      <c r="H372" s="226" t="s">
        <v>1210</v>
      </c>
      <c r="I372" s="227" t="s">
        <v>1210</v>
      </c>
      <c r="J372" s="226" t="s">
        <v>1210</v>
      </c>
      <c r="K372" s="228" t="s">
        <v>1210</v>
      </c>
      <c r="L372" s="226" t="s">
        <v>1210</v>
      </c>
      <c r="M372" s="228" t="s">
        <v>1210</v>
      </c>
      <c r="N372" s="226" t="s">
        <v>1210</v>
      </c>
      <c r="O372" s="228" t="s">
        <v>1210</v>
      </c>
      <c r="P372" s="229" t="s">
        <v>1216</v>
      </c>
      <c r="Q372" s="230" t="s">
        <v>1571</v>
      </c>
      <c r="R372" s="230" t="s">
        <v>1573</v>
      </c>
      <c r="S372" s="222"/>
      <c r="T372" s="216"/>
    </row>
    <row r="373" spans="1:20">
      <c r="A373" s="216">
        <f t="shared" si="5"/>
        <v>366</v>
      </c>
      <c r="B373" s="224">
        <v>69</v>
      </c>
      <c r="C373" s="225" t="s">
        <v>1571</v>
      </c>
      <c r="D373" s="226" t="s">
        <v>614</v>
      </c>
      <c r="E373" s="234" t="s">
        <v>1575</v>
      </c>
      <c r="F373" s="226" t="s">
        <v>1210</v>
      </c>
      <c r="G373" s="227" t="s">
        <v>1210</v>
      </c>
      <c r="H373" s="226" t="s">
        <v>1210</v>
      </c>
      <c r="I373" s="227" t="s">
        <v>1210</v>
      </c>
      <c r="J373" s="226" t="s">
        <v>1210</v>
      </c>
      <c r="K373" s="228" t="s">
        <v>1210</v>
      </c>
      <c r="L373" s="226" t="s">
        <v>1210</v>
      </c>
      <c r="M373" s="228" t="s">
        <v>1210</v>
      </c>
      <c r="N373" s="226" t="s">
        <v>1210</v>
      </c>
      <c r="O373" s="228" t="s">
        <v>1210</v>
      </c>
      <c r="P373" s="229" t="s">
        <v>1216</v>
      </c>
      <c r="Q373" s="230" t="s">
        <v>1571</v>
      </c>
      <c r="R373" s="230" t="s">
        <v>1573</v>
      </c>
      <c r="S373" s="222"/>
      <c r="T373" s="216"/>
    </row>
    <row r="374" spans="1:20">
      <c r="A374" s="216">
        <f t="shared" si="5"/>
        <v>367</v>
      </c>
      <c r="B374" s="224">
        <v>69</v>
      </c>
      <c r="C374" s="225" t="s">
        <v>1571</v>
      </c>
      <c r="D374" s="226" t="s">
        <v>614</v>
      </c>
      <c r="E374" s="227" t="s">
        <v>1515</v>
      </c>
      <c r="F374" s="226" t="s">
        <v>1210</v>
      </c>
      <c r="G374" s="227" t="s">
        <v>1210</v>
      </c>
      <c r="H374" s="226" t="s">
        <v>1210</v>
      </c>
      <c r="I374" s="227" t="s">
        <v>1210</v>
      </c>
      <c r="J374" s="226" t="s">
        <v>1210</v>
      </c>
      <c r="K374" s="228" t="s">
        <v>1210</v>
      </c>
      <c r="L374" s="226" t="s">
        <v>1210</v>
      </c>
      <c r="M374" s="228" t="s">
        <v>1210</v>
      </c>
      <c r="N374" s="226" t="s">
        <v>1210</v>
      </c>
      <c r="O374" s="228" t="s">
        <v>1210</v>
      </c>
      <c r="P374" s="229" t="s">
        <v>1216</v>
      </c>
      <c r="Q374" s="230" t="s">
        <v>1571</v>
      </c>
      <c r="R374" s="230" t="s">
        <v>1573</v>
      </c>
      <c r="S374" s="222"/>
      <c r="T374" s="216"/>
    </row>
    <row r="375" spans="1:20">
      <c r="A375" s="216">
        <f t="shared" si="5"/>
        <v>368</v>
      </c>
      <c r="B375" s="224">
        <v>69</v>
      </c>
      <c r="C375" s="225" t="s">
        <v>1571</v>
      </c>
      <c r="D375" s="226" t="s">
        <v>614</v>
      </c>
      <c r="E375" s="227" t="s">
        <v>1576</v>
      </c>
      <c r="F375" s="226" t="s">
        <v>1210</v>
      </c>
      <c r="G375" s="227" t="s">
        <v>1210</v>
      </c>
      <c r="H375" s="226" t="s">
        <v>1210</v>
      </c>
      <c r="I375" s="227" t="s">
        <v>1210</v>
      </c>
      <c r="J375" s="226" t="s">
        <v>1210</v>
      </c>
      <c r="K375" s="228" t="s">
        <v>1210</v>
      </c>
      <c r="L375" s="226" t="s">
        <v>1210</v>
      </c>
      <c r="M375" s="228" t="s">
        <v>1210</v>
      </c>
      <c r="N375" s="226" t="s">
        <v>1210</v>
      </c>
      <c r="O375" s="228" t="s">
        <v>1210</v>
      </c>
      <c r="P375" s="229" t="s">
        <v>1216</v>
      </c>
      <c r="Q375" s="230" t="s">
        <v>1571</v>
      </c>
      <c r="R375" s="230" t="s">
        <v>1573</v>
      </c>
      <c r="S375" s="222"/>
      <c r="T375" s="216"/>
    </row>
    <row r="376" spans="1:20">
      <c r="A376" s="216">
        <f t="shared" si="5"/>
        <v>369</v>
      </c>
      <c r="B376" s="217">
        <v>70</v>
      </c>
      <c r="C376" s="218" t="s">
        <v>1577</v>
      </c>
      <c r="D376" s="219" t="s">
        <v>1569</v>
      </c>
      <c r="E376" s="220">
        <v>0</v>
      </c>
      <c r="F376" s="219" t="s">
        <v>1550</v>
      </c>
      <c r="G376" s="220">
        <v>20200401</v>
      </c>
      <c r="H376" s="219" t="s">
        <v>1210</v>
      </c>
      <c r="I376" s="220" t="s">
        <v>1210</v>
      </c>
      <c r="J376" s="219" t="s">
        <v>1210</v>
      </c>
      <c r="K376" s="221" t="s">
        <v>1210</v>
      </c>
      <c r="L376" s="219" t="s">
        <v>1210</v>
      </c>
      <c r="M376" s="221" t="s">
        <v>1210</v>
      </c>
      <c r="N376" s="219" t="s">
        <v>1210</v>
      </c>
      <c r="O376" s="221" t="s">
        <v>1210</v>
      </c>
      <c r="P376" s="222" t="s">
        <v>1211</v>
      </c>
      <c r="Q376" s="223" t="s">
        <v>1212</v>
      </c>
      <c r="R376" s="223" t="s">
        <v>1212</v>
      </c>
      <c r="S376" s="222"/>
      <c r="T376" s="216"/>
    </row>
    <row r="377" spans="1:20">
      <c r="A377" s="216">
        <f t="shared" si="5"/>
        <v>370</v>
      </c>
      <c r="B377" s="224">
        <v>70</v>
      </c>
      <c r="C377" s="225" t="s">
        <v>1577</v>
      </c>
      <c r="D377" s="219" t="s">
        <v>1569</v>
      </c>
      <c r="E377" s="220">
        <v>0</v>
      </c>
      <c r="F377" s="219" t="s">
        <v>1550</v>
      </c>
      <c r="G377" s="220" t="s">
        <v>1369</v>
      </c>
      <c r="H377" s="219" t="s">
        <v>1210</v>
      </c>
      <c r="I377" s="220" t="s">
        <v>1210</v>
      </c>
      <c r="J377" s="219" t="s">
        <v>1210</v>
      </c>
      <c r="K377" s="221" t="s">
        <v>1210</v>
      </c>
      <c r="L377" s="219" t="s">
        <v>1210</v>
      </c>
      <c r="M377" s="221" t="s">
        <v>1210</v>
      </c>
      <c r="N377" s="219" t="s">
        <v>1210</v>
      </c>
      <c r="O377" s="221" t="s">
        <v>1210</v>
      </c>
      <c r="P377" s="222" t="s">
        <v>1211</v>
      </c>
      <c r="Q377" s="223" t="s">
        <v>1212</v>
      </c>
      <c r="R377" s="223" t="s">
        <v>1212</v>
      </c>
      <c r="S377" s="222"/>
      <c r="T377" s="216"/>
    </row>
    <row r="378" spans="1:20">
      <c r="A378" s="216">
        <f t="shared" si="5"/>
        <v>371</v>
      </c>
      <c r="B378" s="224">
        <v>70</v>
      </c>
      <c r="C378" s="225" t="s">
        <v>1577</v>
      </c>
      <c r="D378" s="219" t="s">
        <v>1569</v>
      </c>
      <c r="E378" s="220" t="s">
        <v>1505</v>
      </c>
      <c r="F378" s="219" t="s">
        <v>1550</v>
      </c>
      <c r="G378" s="220">
        <v>20200401</v>
      </c>
      <c r="H378" s="219" t="s">
        <v>1210</v>
      </c>
      <c r="I378" s="220" t="s">
        <v>1210</v>
      </c>
      <c r="J378" s="219" t="s">
        <v>1210</v>
      </c>
      <c r="K378" s="221" t="s">
        <v>1210</v>
      </c>
      <c r="L378" s="219" t="s">
        <v>1210</v>
      </c>
      <c r="M378" s="221" t="s">
        <v>1210</v>
      </c>
      <c r="N378" s="219" t="s">
        <v>1210</v>
      </c>
      <c r="O378" s="221" t="s">
        <v>1210</v>
      </c>
      <c r="P378" s="222" t="s">
        <v>1211</v>
      </c>
      <c r="Q378" s="223" t="s">
        <v>1212</v>
      </c>
      <c r="R378" s="223" t="s">
        <v>1212</v>
      </c>
      <c r="S378" s="222"/>
      <c r="T378" s="216"/>
    </row>
    <row r="379" spans="1:20">
      <c r="A379" s="216">
        <f t="shared" si="5"/>
        <v>372</v>
      </c>
      <c r="B379" s="231">
        <v>70</v>
      </c>
      <c r="C379" s="232" t="s">
        <v>1577</v>
      </c>
      <c r="D379" s="226" t="s">
        <v>1569</v>
      </c>
      <c r="E379" s="227" t="s">
        <v>1505</v>
      </c>
      <c r="F379" s="226" t="s">
        <v>1550</v>
      </c>
      <c r="G379" s="227" t="s">
        <v>1369</v>
      </c>
      <c r="H379" s="226" t="s">
        <v>1210</v>
      </c>
      <c r="I379" s="227" t="s">
        <v>1210</v>
      </c>
      <c r="J379" s="226" t="s">
        <v>1210</v>
      </c>
      <c r="K379" s="228" t="s">
        <v>1210</v>
      </c>
      <c r="L379" s="226" t="s">
        <v>1210</v>
      </c>
      <c r="M379" s="228" t="s">
        <v>1210</v>
      </c>
      <c r="N379" s="226" t="s">
        <v>1210</v>
      </c>
      <c r="O379" s="228" t="s">
        <v>1210</v>
      </c>
      <c r="P379" s="229" t="s">
        <v>1216</v>
      </c>
      <c r="Q379" s="230" t="s">
        <v>1577</v>
      </c>
      <c r="R379" s="230" t="s">
        <v>1578</v>
      </c>
      <c r="S379" s="222"/>
      <c r="T379" s="216"/>
    </row>
    <row r="380" spans="1:20">
      <c r="A380" s="216">
        <f t="shared" si="5"/>
        <v>373</v>
      </c>
      <c r="B380" s="217">
        <v>71</v>
      </c>
      <c r="C380" s="218" t="s">
        <v>1579</v>
      </c>
      <c r="D380" s="219" t="s">
        <v>1580</v>
      </c>
      <c r="E380" s="220" t="s">
        <v>1505</v>
      </c>
      <c r="F380" s="219" t="s">
        <v>1210</v>
      </c>
      <c r="G380" s="220" t="s">
        <v>1210</v>
      </c>
      <c r="H380" s="219" t="s">
        <v>1210</v>
      </c>
      <c r="I380" s="220" t="s">
        <v>1210</v>
      </c>
      <c r="J380" s="219" t="s">
        <v>1210</v>
      </c>
      <c r="K380" s="221" t="s">
        <v>1210</v>
      </c>
      <c r="L380" s="219" t="s">
        <v>1210</v>
      </c>
      <c r="M380" s="221" t="s">
        <v>1210</v>
      </c>
      <c r="N380" s="219" t="s">
        <v>1210</v>
      </c>
      <c r="O380" s="221" t="s">
        <v>1210</v>
      </c>
      <c r="P380" s="222" t="s">
        <v>1211</v>
      </c>
      <c r="Q380" s="223" t="s">
        <v>1212</v>
      </c>
      <c r="R380" s="223" t="s">
        <v>1212</v>
      </c>
      <c r="S380" s="222"/>
      <c r="T380" s="216"/>
    </row>
    <row r="381" spans="1:20">
      <c r="A381" s="216">
        <f t="shared" si="5"/>
        <v>374</v>
      </c>
      <c r="B381" s="231">
        <v>71</v>
      </c>
      <c r="C381" s="232" t="s">
        <v>1579</v>
      </c>
      <c r="D381" s="226" t="s">
        <v>1580</v>
      </c>
      <c r="E381" s="227" t="s">
        <v>1369</v>
      </c>
      <c r="F381" s="226" t="s">
        <v>1210</v>
      </c>
      <c r="G381" s="227" t="s">
        <v>1210</v>
      </c>
      <c r="H381" s="226" t="s">
        <v>1210</v>
      </c>
      <c r="I381" s="227" t="s">
        <v>1210</v>
      </c>
      <c r="J381" s="226" t="s">
        <v>1210</v>
      </c>
      <c r="K381" s="228" t="s">
        <v>1210</v>
      </c>
      <c r="L381" s="226" t="s">
        <v>1210</v>
      </c>
      <c r="M381" s="228" t="s">
        <v>1210</v>
      </c>
      <c r="N381" s="226" t="s">
        <v>1210</v>
      </c>
      <c r="O381" s="228" t="s">
        <v>1210</v>
      </c>
      <c r="P381" s="229" t="s">
        <v>1216</v>
      </c>
      <c r="Q381" s="230" t="s">
        <v>1579</v>
      </c>
      <c r="R381" s="230" t="s">
        <v>1581</v>
      </c>
      <c r="S381" s="222"/>
      <c r="T381" s="216"/>
    </row>
    <row r="382" spans="1:20">
      <c r="A382" s="216">
        <f t="shared" si="5"/>
        <v>375</v>
      </c>
      <c r="B382" s="217">
        <v>72</v>
      </c>
      <c r="C382" s="218" t="s">
        <v>1582</v>
      </c>
      <c r="D382" s="219" t="s">
        <v>1580</v>
      </c>
      <c r="E382" s="220" t="s">
        <v>1509</v>
      </c>
      <c r="F382" s="219" t="s">
        <v>1210</v>
      </c>
      <c r="G382" s="220" t="s">
        <v>1210</v>
      </c>
      <c r="H382" s="219" t="s">
        <v>1210</v>
      </c>
      <c r="I382" s="220" t="s">
        <v>1210</v>
      </c>
      <c r="J382" s="219" t="s">
        <v>1210</v>
      </c>
      <c r="K382" s="221" t="s">
        <v>1210</v>
      </c>
      <c r="L382" s="219" t="s">
        <v>1210</v>
      </c>
      <c r="M382" s="221" t="s">
        <v>1210</v>
      </c>
      <c r="N382" s="219" t="s">
        <v>1210</v>
      </c>
      <c r="O382" s="221" t="s">
        <v>1210</v>
      </c>
      <c r="P382" s="222" t="s">
        <v>1211</v>
      </c>
      <c r="Q382" s="223" t="s">
        <v>1212</v>
      </c>
      <c r="R382" s="223" t="s">
        <v>1212</v>
      </c>
      <c r="S382" s="222"/>
      <c r="T382" s="216"/>
    </row>
    <row r="383" spans="1:20">
      <c r="A383" s="216">
        <f t="shared" si="5"/>
        <v>376</v>
      </c>
      <c r="B383" s="224">
        <v>72</v>
      </c>
      <c r="C383" s="225" t="s">
        <v>1582</v>
      </c>
      <c r="D383" s="226" t="s">
        <v>1541</v>
      </c>
      <c r="E383" s="227" t="s">
        <v>1583</v>
      </c>
      <c r="F383" s="226" t="s">
        <v>1210</v>
      </c>
      <c r="G383" s="227" t="s">
        <v>1210</v>
      </c>
      <c r="H383" s="226" t="s">
        <v>1210</v>
      </c>
      <c r="I383" s="227" t="s">
        <v>1210</v>
      </c>
      <c r="J383" s="226" t="s">
        <v>1210</v>
      </c>
      <c r="K383" s="228" t="s">
        <v>1210</v>
      </c>
      <c r="L383" s="226" t="s">
        <v>1210</v>
      </c>
      <c r="M383" s="228" t="s">
        <v>1210</v>
      </c>
      <c r="N383" s="226" t="s">
        <v>1210</v>
      </c>
      <c r="O383" s="228" t="s">
        <v>1210</v>
      </c>
      <c r="P383" s="229" t="s">
        <v>1216</v>
      </c>
      <c r="Q383" s="230" t="s">
        <v>1582</v>
      </c>
      <c r="R383" s="230" t="s">
        <v>1584</v>
      </c>
      <c r="S383" s="222"/>
      <c r="T383" s="216"/>
    </row>
    <row r="384" spans="1:20">
      <c r="A384" s="216">
        <f t="shared" si="5"/>
        <v>377</v>
      </c>
      <c r="B384" s="224">
        <v>72</v>
      </c>
      <c r="C384" s="225" t="s">
        <v>1582</v>
      </c>
      <c r="D384" s="226" t="s">
        <v>1541</v>
      </c>
      <c r="E384" s="227" t="s">
        <v>1585</v>
      </c>
      <c r="F384" s="226" t="s">
        <v>1210</v>
      </c>
      <c r="G384" s="227" t="s">
        <v>1210</v>
      </c>
      <c r="H384" s="226" t="s">
        <v>1210</v>
      </c>
      <c r="I384" s="227" t="s">
        <v>1210</v>
      </c>
      <c r="J384" s="226" t="s">
        <v>1210</v>
      </c>
      <c r="K384" s="228" t="s">
        <v>1210</v>
      </c>
      <c r="L384" s="226" t="s">
        <v>1210</v>
      </c>
      <c r="M384" s="228" t="s">
        <v>1210</v>
      </c>
      <c r="N384" s="226" t="s">
        <v>1210</v>
      </c>
      <c r="O384" s="228" t="s">
        <v>1210</v>
      </c>
      <c r="P384" s="229" t="s">
        <v>1216</v>
      </c>
      <c r="Q384" s="230" t="s">
        <v>1582</v>
      </c>
      <c r="R384" s="230" t="s">
        <v>1584</v>
      </c>
      <c r="S384" s="222"/>
      <c r="T384" s="216"/>
    </row>
    <row r="385" spans="1:20">
      <c r="A385" s="216">
        <f t="shared" si="5"/>
        <v>378</v>
      </c>
      <c r="B385" s="224">
        <v>72</v>
      </c>
      <c r="C385" s="225" t="s">
        <v>1582</v>
      </c>
      <c r="D385" s="226" t="s">
        <v>1541</v>
      </c>
      <c r="E385" s="234" t="s">
        <v>1586</v>
      </c>
      <c r="F385" s="226" t="s">
        <v>1210</v>
      </c>
      <c r="G385" s="227" t="s">
        <v>1210</v>
      </c>
      <c r="H385" s="226" t="s">
        <v>1210</v>
      </c>
      <c r="I385" s="227" t="s">
        <v>1210</v>
      </c>
      <c r="J385" s="226" t="s">
        <v>1210</v>
      </c>
      <c r="K385" s="228" t="s">
        <v>1210</v>
      </c>
      <c r="L385" s="226" t="s">
        <v>1210</v>
      </c>
      <c r="M385" s="228" t="s">
        <v>1210</v>
      </c>
      <c r="N385" s="226" t="s">
        <v>1210</v>
      </c>
      <c r="O385" s="228" t="s">
        <v>1210</v>
      </c>
      <c r="P385" s="229" t="s">
        <v>1216</v>
      </c>
      <c r="Q385" s="230" t="s">
        <v>1582</v>
      </c>
      <c r="R385" s="230" t="s">
        <v>1584</v>
      </c>
      <c r="S385" s="222"/>
      <c r="T385" s="216"/>
    </row>
    <row r="386" spans="1:20">
      <c r="A386" s="216">
        <f t="shared" si="5"/>
        <v>379</v>
      </c>
      <c r="B386" s="224">
        <v>72</v>
      </c>
      <c r="C386" s="225" t="s">
        <v>1582</v>
      </c>
      <c r="D386" s="226" t="s">
        <v>1541</v>
      </c>
      <c r="E386" s="227" t="s">
        <v>1515</v>
      </c>
      <c r="F386" s="226" t="s">
        <v>1210</v>
      </c>
      <c r="G386" s="227" t="s">
        <v>1210</v>
      </c>
      <c r="H386" s="226" t="s">
        <v>1210</v>
      </c>
      <c r="I386" s="227" t="s">
        <v>1210</v>
      </c>
      <c r="J386" s="226" t="s">
        <v>1210</v>
      </c>
      <c r="K386" s="228" t="s">
        <v>1210</v>
      </c>
      <c r="L386" s="226" t="s">
        <v>1210</v>
      </c>
      <c r="M386" s="228" t="s">
        <v>1210</v>
      </c>
      <c r="N386" s="226" t="s">
        <v>1210</v>
      </c>
      <c r="O386" s="228" t="s">
        <v>1210</v>
      </c>
      <c r="P386" s="229" t="s">
        <v>1216</v>
      </c>
      <c r="Q386" s="230" t="s">
        <v>1582</v>
      </c>
      <c r="R386" s="230" t="s">
        <v>1584</v>
      </c>
      <c r="S386" s="222"/>
      <c r="T386" s="216"/>
    </row>
    <row r="387" spans="1:20">
      <c r="A387" s="216">
        <f t="shared" si="5"/>
        <v>380</v>
      </c>
      <c r="B387" s="224">
        <v>72</v>
      </c>
      <c r="C387" s="225" t="s">
        <v>1582</v>
      </c>
      <c r="D387" s="226" t="s">
        <v>1541</v>
      </c>
      <c r="E387" s="227" t="s">
        <v>1587</v>
      </c>
      <c r="F387" s="226" t="s">
        <v>1210</v>
      </c>
      <c r="G387" s="227" t="s">
        <v>1210</v>
      </c>
      <c r="H387" s="226" t="s">
        <v>1210</v>
      </c>
      <c r="I387" s="227" t="s">
        <v>1210</v>
      </c>
      <c r="J387" s="226" t="s">
        <v>1210</v>
      </c>
      <c r="K387" s="228" t="s">
        <v>1210</v>
      </c>
      <c r="L387" s="226" t="s">
        <v>1210</v>
      </c>
      <c r="M387" s="228" t="s">
        <v>1210</v>
      </c>
      <c r="N387" s="226" t="s">
        <v>1210</v>
      </c>
      <c r="O387" s="228" t="s">
        <v>1210</v>
      </c>
      <c r="P387" s="229" t="s">
        <v>1216</v>
      </c>
      <c r="Q387" s="230" t="s">
        <v>1582</v>
      </c>
      <c r="R387" s="230" t="s">
        <v>1584</v>
      </c>
      <c r="S387" s="222"/>
      <c r="T387" s="216"/>
    </row>
    <row r="388" spans="1:20">
      <c r="A388" s="216">
        <f t="shared" si="5"/>
        <v>381</v>
      </c>
      <c r="B388" s="217">
        <v>74</v>
      </c>
      <c r="C388" s="218" t="s">
        <v>1588</v>
      </c>
      <c r="D388" s="219" t="s">
        <v>1589</v>
      </c>
      <c r="E388" s="220" t="s">
        <v>1505</v>
      </c>
      <c r="F388" s="219" t="s">
        <v>1210</v>
      </c>
      <c r="G388" s="220" t="s">
        <v>1210</v>
      </c>
      <c r="H388" s="219" t="s">
        <v>1210</v>
      </c>
      <c r="I388" s="220" t="s">
        <v>1210</v>
      </c>
      <c r="J388" s="219" t="s">
        <v>1210</v>
      </c>
      <c r="K388" s="221" t="s">
        <v>1210</v>
      </c>
      <c r="L388" s="219" t="s">
        <v>1210</v>
      </c>
      <c r="M388" s="221" t="s">
        <v>1210</v>
      </c>
      <c r="N388" s="219" t="s">
        <v>1210</v>
      </c>
      <c r="O388" s="221" t="s">
        <v>1210</v>
      </c>
      <c r="P388" s="222" t="s">
        <v>1211</v>
      </c>
      <c r="Q388" s="223" t="s">
        <v>1212</v>
      </c>
      <c r="R388" s="223" t="s">
        <v>1212</v>
      </c>
      <c r="S388" s="222"/>
      <c r="T388" s="216"/>
    </row>
    <row r="389" spans="1:20">
      <c r="A389" s="216">
        <f t="shared" si="5"/>
        <v>382</v>
      </c>
      <c r="B389" s="231">
        <v>74</v>
      </c>
      <c r="C389" s="232" t="s">
        <v>1588</v>
      </c>
      <c r="D389" s="226" t="s">
        <v>1589</v>
      </c>
      <c r="E389" s="227" t="s">
        <v>1369</v>
      </c>
      <c r="F389" s="226" t="s">
        <v>1210</v>
      </c>
      <c r="G389" s="227" t="s">
        <v>1210</v>
      </c>
      <c r="H389" s="226" t="s">
        <v>1210</v>
      </c>
      <c r="I389" s="227" t="s">
        <v>1210</v>
      </c>
      <c r="J389" s="226" t="s">
        <v>1210</v>
      </c>
      <c r="K389" s="228" t="s">
        <v>1210</v>
      </c>
      <c r="L389" s="226" t="s">
        <v>1210</v>
      </c>
      <c r="M389" s="228" t="s">
        <v>1210</v>
      </c>
      <c r="N389" s="226" t="s">
        <v>1210</v>
      </c>
      <c r="O389" s="228" t="s">
        <v>1210</v>
      </c>
      <c r="P389" s="229" t="s">
        <v>1216</v>
      </c>
      <c r="Q389" s="230" t="s">
        <v>1588</v>
      </c>
      <c r="R389" s="230" t="s">
        <v>1590</v>
      </c>
      <c r="S389" s="222"/>
      <c r="T389" s="216"/>
    </row>
    <row r="390" spans="1:20">
      <c r="A390" s="216">
        <f t="shared" si="5"/>
        <v>383</v>
      </c>
      <c r="B390" s="217">
        <v>75</v>
      </c>
      <c r="C390" s="218" t="s">
        <v>1591</v>
      </c>
      <c r="D390" s="219" t="s">
        <v>1589</v>
      </c>
      <c r="E390" s="220" t="s">
        <v>1509</v>
      </c>
      <c r="F390" s="219" t="s">
        <v>1210</v>
      </c>
      <c r="G390" s="220" t="s">
        <v>1210</v>
      </c>
      <c r="H390" s="219" t="s">
        <v>1210</v>
      </c>
      <c r="I390" s="220" t="s">
        <v>1210</v>
      </c>
      <c r="J390" s="219" t="s">
        <v>1210</v>
      </c>
      <c r="K390" s="221" t="s">
        <v>1210</v>
      </c>
      <c r="L390" s="219" t="s">
        <v>1210</v>
      </c>
      <c r="M390" s="221" t="s">
        <v>1210</v>
      </c>
      <c r="N390" s="219" t="s">
        <v>1210</v>
      </c>
      <c r="O390" s="221" t="s">
        <v>1210</v>
      </c>
      <c r="P390" s="222" t="s">
        <v>1211</v>
      </c>
      <c r="Q390" s="223" t="s">
        <v>1212</v>
      </c>
      <c r="R390" s="223" t="s">
        <v>1212</v>
      </c>
      <c r="S390" s="222"/>
      <c r="T390" s="216"/>
    </row>
    <row r="391" spans="1:20">
      <c r="A391" s="216">
        <f t="shared" si="5"/>
        <v>384</v>
      </c>
      <c r="B391" s="224">
        <v>75</v>
      </c>
      <c r="C391" s="225" t="s">
        <v>1591</v>
      </c>
      <c r="D391" s="226" t="s">
        <v>918</v>
      </c>
      <c r="E391" s="227" t="s">
        <v>1592</v>
      </c>
      <c r="F391" s="226" t="s">
        <v>1210</v>
      </c>
      <c r="G391" s="227" t="s">
        <v>1210</v>
      </c>
      <c r="H391" s="226" t="s">
        <v>1210</v>
      </c>
      <c r="I391" s="227" t="s">
        <v>1210</v>
      </c>
      <c r="J391" s="226" t="s">
        <v>1210</v>
      </c>
      <c r="K391" s="228" t="s">
        <v>1210</v>
      </c>
      <c r="L391" s="226" t="s">
        <v>1210</v>
      </c>
      <c r="M391" s="228" t="s">
        <v>1210</v>
      </c>
      <c r="N391" s="226" t="s">
        <v>1210</v>
      </c>
      <c r="O391" s="228" t="s">
        <v>1210</v>
      </c>
      <c r="P391" s="229" t="s">
        <v>1216</v>
      </c>
      <c r="Q391" s="230" t="s">
        <v>1593</v>
      </c>
      <c r="R391" s="230" t="s">
        <v>1594</v>
      </c>
      <c r="S391" s="222"/>
      <c r="T391" s="216"/>
    </row>
    <row r="392" spans="1:20">
      <c r="A392" s="216">
        <f t="shared" si="5"/>
        <v>385</v>
      </c>
      <c r="B392" s="224">
        <v>75</v>
      </c>
      <c r="C392" s="225" t="s">
        <v>1591</v>
      </c>
      <c r="D392" s="226" t="s">
        <v>918</v>
      </c>
      <c r="E392" s="227" t="s">
        <v>1595</v>
      </c>
      <c r="F392" s="226" t="s">
        <v>1210</v>
      </c>
      <c r="G392" s="227" t="s">
        <v>1210</v>
      </c>
      <c r="H392" s="226" t="s">
        <v>1210</v>
      </c>
      <c r="I392" s="227" t="s">
        <v>1210</v>
      </c>
      <c r="J392" s="226" t="s">
        <v>1210</v>
      </c>
      <c r="K392" s="228" t="s">
        <v>1210</v>
      </c>
      <c r="L392" s="226" t="s">
        <v>1210</v>
      </c>
      <c r="M392" s="228" t="s">
        <v>1210</v>
      </c>
      <c r="N392" s="226" t="s">
        <v>1210</v>
      </c>
      <c r="O392" s="228" t="s">
        <v>1210</v>
      </c>
      <c r="P392" s="229" t="s">
        <v>1216</v>
      </c>
      <c r="Q392" s="230" t="s">
        <v>1593</v>
      </c>
      <c r="R392" s="230" t="s">
        <v>1594</v>
      </c>
      <c r="S392" s="222"/>
      <c r="T392" s="216"/>
    </row>
    <row r="393" spans="1:20">
      <c r="A393" s="216">
        <f t="shared" si="5"/>
        <v>386</v>
      </c>
      <c r="B393" s="224">
        <v>75</v>
      </c>
      <c r="C393" s="225" t="s">
        <v>1591</v>
      </c>
      <c r="D393" s="226" t="s">
        <v>918</v>
      </c>
      <c r="E393" s="234" t="s">
        <v>1596</v>
      </c>
      <c r="F393" s="226" t="s">
        <v>1210</v>
      </c>
      <c r="G393" s="227" t="s">
        <v>1210</v>
      </c>
      <c r="H393" s="226" t="s">
        <v>1210</v>
      </c>
      <c r="I393" s="227" t="s">
        <v>1210</v>
      </c>
      <c r="J393" s="226" t="s">
        <v>1210</v>
      </c>
      <c r="K393" s="228" t="s">
        <v>1210</v>
      </c>
      <c r="L393" s="226" t="s">
        <v>1210</v>
      </c>
      <c r="M393" s="228" t="s">
        <v>1210</v>
      </c>
      <c r="N393" s="226" t="s">
        <v>1210</v>
      </c>
      <c r="O393" s="228" t="s">
        <v>1210</v>
      </c>
      <c r="P393" s="229" t="s">
        <v>1216</v>
      </c>
      <c r="Q393" s="230" t="s">
        <v>1593</v>
      </c>
      <c r="R393" s="230" t="s">
        <v>1594</v>
      </c>
      <c r="S393" s="222"/>
      <c r="T393" s="216"/>
    </row>
    <row r="394" spans="1:20">
      <c r="A394" s="216">
        <f t="shared" si="5"/>
        <v>387</v>
      </c>
      <c r="B394" s="224">
        <v>75</v>
      </c>
      <c r="C394" s="225" t="s">
        <v>1591</v>
      </c>
      <c r="D394" s="226" t="s">
        <v>918</v>
      </c>
      <c r="E394" s="227" t="s">
        <v>1515</v>
      </c>
      <c r="F394" s="226" t="s">
        <v>1210</v>
      </c>
      <c r="G394" s="227" t="s">
        <v>1210</v>
      </c>
      <c r="H394" s="226" t="s">
        <v>1210</v>
      </c>
      <c r="I394" s="227" t="s">
        <v>1210</v>
      </c>
      <c r="J394" s="226" t="s">
        <v>1210</v>
      </c>
      <c r="K394" s="228" t="s">
        <v>1210</v>
      </c>
      <c r="L394" s="226" t="s">
        <v>1210</v>
      </c>
      <c r="M394" s="228" t="s">
        <v>1210</v>
      </c>
      <c r="N394" s="226" t="s">
        <v>1210</v>
      </c>
      <c r="O394" s="228" t="s">
        <v>1210</v>
      </c>
      <c r="P394" s="229" t="s">
        <v>1216</v>
      </c>
      <c r="Q394" s="230" t="s">
        <v>1593</v>
      </c>
      <c r="R394" s="230" t="s">
        <v>1594</v>
      </c>
      <c r="S394" s="222"/>
      <c r="T394" s="216"/>
    </row>
    <row r="395" spans="1:20">
      <c r="A395" s="216">
        <f t="shared" si="5"/>
        <v>388</v>
      </c>
      <c r="B395" s="224">
        <v>75</v>
      </c>
      <c r="C395" s="225" t="s">
        <v>1591</v>
      </c>
      <c r="D395" s="226" t="s">
        <v>918</v>
      </c>
      <c r="E395" s="227" t="s">
        <v>1597</v>
      </c>
      <c r="F395" s="226" t="s">
        <v>1210</v>
      </c>
      <c r="G395" s="227" t="s">
        <v>1210</v>
      </c>
      <c r="H395" s="226" t="s">
        <v>1210</v>
      </c>
      <c r="I395" s="227" t="s">
        <v>1210</v>
      </c>
      <c r="J395" s="226" t="s">
        <v>1210</v>
      </c>
      <c r="K395" s="228" t="s">
        <v>1210</v>
      </c>
      <c r="L395" s="226" t="s">
        <v>1210</v>
      </c>
      <c r="M395" s="228" t="s">
        <v>1210</v>
      </c>
      <c r="N395" s="226" t="s">
        <v>1210</v>
      </c>
      <c r="O395" s="228" t="s">
        <v>1210</v>
      </c>
      <c r="P395" s="229" t="s">
        <v>1216</v>
      </c>
      <c r="Q395" s="230" t="s">
        <v>1593</v>
      </c>
      <c r="R395" s="230" t="s">
        <v>1594</v>
      </c>
      <c r="S395" s="222"/>
      <c r="T395" s="216"/>
    </row>
    <row r="396" spans="1:20">
      <c r="A396" s="216">
        <f t="shared" si="5"/>
        <v>389</v>
      </c>
      <c r="B396" s="217">
        <v>78</v>
      </c>
      <c r="C396" s="218" t="s">
        <v>1598</v>
      </c>
      <c r="D396" s="219" t="s">
        <v>1589</v>
      </c>
      <c r="E396" s="220" t="s">
        <v>1505</v>
      </c>
      <c r="F396" s="219" t="s">
        <v>1541</v>
      </c>
      <c r="G396" s="220" t="s">
        <v>1505</v>
      </c>
      <c r="H396" s="219" t="s">
        <v>1210</v>
      </c>
      <c r="I396" s="220" t="s">
        <v>1210</v>
      </c>
      <c r="J396" s="219" t="s">
        <v>1210</v>
      </c>
      <c r="K396" s="221" t="s">
        <v>1210</v>
      </c>
      <c r="L396" s="219" t="s">
        <v>1210</v>
      </c>
      <c r="M396" s="221" t="s">
        <v>1210</v>
      </c>
      <c r="N396" s="219" t="s">
        <v>1210</v>
      </c>
      <c r="O396" s="221" t="s">
        <v>1210</v>
      </c>
      <c r="P396" s="222" t="s">
        <v>1211</v>
      </c>
      <c r="Q396" s="223" t="s">
        <v>1212</v>
      </c>
      <c r="R396" s="223" t="s">
        <v>1212</v>
      </c>
      <c r="S396" s="222"/>
      <c r="T396" s="216"/>
    </row>
    <row r="397" spans="1:20">
      <c r="A397" s="216">
        <f t="shared" si="5"/>
        <v>390</v>
      </c>
      <c r="B397" s="231">
        <v>78</v>
      </c>
      <c r="C397" s="232" t="s">
        <v>1598</v>
      </c>
      <c r="D397" s="226" t="s">
        <v>1589</v>
      </c>
      <c r="E397" s="227" t="s">
        <v>1526</v>
      </c>
      <c r="F397" s="226" t="s">
        <v>1541</v>
      </c>
      <c r="G397" s="227" t="s">
        <v>1505</v>
      </c>
      <c r="H397" s="226" t="s">
        <v>1210</v>
      </c>
      <c r="I397" s="227" t="s">
        <v>1210</v>
      </c>
      <c r="J397" s="226" t="s">
        <v>1210</v>
      </c>
      <c r="K397" s="228" t="s">
        <v>1210</v>
      </c>
      <c r="L397" s="226" t="s">
        <v>1210</v>
      </c>
      <c r="M397" s="228" t="s">
        <v>1210</v>
      </c>
      <c r="N397" s="226" t="s">
        <v>1210</v>
      </c>
      <c r="O397" s="228" t="s">
        <v>1210</v>
      </c>
      <c r="P397" s="229" t="s">
        <v>1216</v>
      </c>
      <c r="Q397" s="230" t="s">
        <v>1598</v>
      </c>
      <c r="R397" s="230" t="s">
        <v>1599</v>
      </c>
      <c r="S397" s="222"/>
      <c r="T397" s="216"/>
    </row>
    <row r="398" spans="1:20">
      <c r="A398" s="216">
        <f t="shared" si="5"/>
        <v>391</v>
      </c>
      <c r="B398" s="217">
        <v>80</v>
      </c>
      <c r="C398" s="218" t="s">
        <v>1600</v>
      </c>
      <c r="D398" s="219" t="s">
        <v>1601</v>
      </c>
      <c r="E398" s="220">
        <v>20200401</v>
      </c>
      <c r="F398" s="219" t="s">
        <v>1482</v>
      </c>
      <c r="G398" s="220">
        <v>20200401</v>
      </c>
      <c r="H398" s="219" t="s">
        <v>1210</v>
      </c>
      <c r="I398" s="220" t="s">
        <v>1210</v>
      </c>
      <c r="J398" s="219" t="s">
        <v>1210</v>
      </c>
      <c r="K398" s="221" t="s">
        <v>1210</v>
      </c>
      <c r="L398" s="219" t="s">
        <v>1210</v>
      </c>
      <c r="M398" s="221" t="s">
        <v>1210</v>
      </c>
      <c r="N398" s="219" t="s">
        <v>1210</v>
      </c>
      <c r="O398" s="221" t="s">
        <v>1210</v>
      </c>
      <c r="P398" s="222" t="s">
        <v>1211</v>
      </c>
      <c r="Q398" s="223" t="s">
        <v>1212</v>
      </c>
      <c r="R398" s="223" t="s">
        <v>1212</v>
      </c>
      <c r="S398" s="222"/>
      <c r="T398" s="216"/>
    </row>
    <row r="399" spans="1:20">
      <c r="A399" s="216">
        <f t="shared" si="5"/>
        <v>392</v>
      </c>
      <c r="B399" s="224">
        <v>80</v>
      </c>
      <c r="C399" s="225" t="s">
        <v>1600</v>
      </c>
      <c r="D399" s="226" t="s">
        <v>1601</v>
      </c>
      <c r="E399" s="227" t="s">
        <v>1483</v>
      </c>
      <c r="F399" s="226" t="s">
        <v>1482</v>
      </c>
      <c r="G399" s="227">
        <v>20200401</v>
      </c>
      <c r="H399" s="226" t="s">
        <v>1210</v>
      </c>
      <c r="I399" s="227" t="s">
        <v>1210</v>
      </c>
      <c r="J399" s="226" t="s">
        <v>1210</v>
      </c>
      <c r="K399" s="228" t="s">
        <v>1210</v>
      </c>
      <c r="L399" s="226" t="s">
        <v>1210</v>
      </c>
      <c r="M399" s="228" t="s">
        <v>1210</v>
      </c>
      <c r="N399" s="226" t="s">
        <v>1210</v>
      </c>
      <c r="O399" s="228" t="s">
        <v>1210</v>
      </c>
      <c r="P399" s="229" t="s">
        <v>1216</v>
      </c>
      <c r="Q399" s="230" t="s">
        <v>1600</v>
      </c>
      <c r="R399" s="230" t="s">
        <v>1602</v>
      </c>
      <c r="S399" s="222"/>
      <c r="T399" s="216"/>
    </row>
    <row r="400" spans="1:20">
      <c r="A400" s="216">
        <f t="shared" si="5"/>
        <v>393</v>
      </c>
      <c r="B400" s="231">
        <v>80</v>
      </c>
      <c r="C400" s="232" t="s">
        <v>1600</v>
      </c>
      <c r="D400" s="219" t="s">
        <v>1601</v>
      </c>
      <c r="E400" s="220" t="s">
        <v>1369</v>
      </c>
      <c r="F400" s="219" t="s">
        <v>1482</v>
      </c>
      <c r="G400" s="220">
        <v>20200401</v>
      </c>
      <c r="H400" s="219" t="s">
        <v>1210</v>
      </c>
      <c r="I400" s="220" t="s">
        <v>1210</v>
      </c>
      <c r="J400" s="219" t="s">
        <v>1210</v>
      </c>
      <c r="K400" s="221" t="s">
        <v>1210</v>
      </c>
      <c r="L400" s="219" t="s">
        <v>1210</v>
      </c>
      <c r="M400" s="221" t="s">
        <v>1210</v>
      </c>
      <c r="N400" s="219" t="s">
        <v>1210</v>
      </c>
      <c r="O400" s="221" t="s">
        <v>1210</v>
      </c>
      <c r="P400" s="222" t="s">
        <v>1211</v>
      </c>
      <c r="Q400" s="223" t="s">
        <v>1212</v>
      </c>
      <c r="R400" s="223" t="s">
        <v>1212</v>
      </c>
      <c r="S400" s="222"/>
      <c r="T400" s="216"/>
    </row>
    <row r="401" spans="1:20">
      <c r="A401" s="216">
        <f t="shared" si="5"/>
        <v>394</v>
      </c>
      <c r="B401" s="217">
        <v>82</v>
      </c>
      <c r="C401" s="218" t="s">
        <v>1603</v>
      </c>
      <c r="D401" s="219" t="s">
        <v>1604</v>
      </c>
      <c r="E401" s="220" t="s">
        <v>1605</v>
      </c>
      <c r="F401" s="219" t="s">
        <v>1541</v>
      </c>
      <c r="G401" s="220" t="s">
        <v>1606</v>
      </c>
      <c r="H401" s="219" t="s">
        <v>64</v>
      </c>
      <c r="I401" s="220" t="s">
        <v>1605</v>
      </c>
      <c r="J401" s="219" t="s">
        <v>1210</v>
      </c>
      <c r="K401" s="221" t="s">
        <v>1210</v>
      </c>
      <c r="L401" s="219" t="s">
        <v>1210</v>
      </c>
      <c r="M401" s="221" t="s">
        <v>1210</v>
      </c>
      <c r="N401" s="219" t="s">
        <v>1210</v>
      </c>
      <c r="O401" s="221" t="s">
        <v>1210</v>
      </c>
      <c r="P401" s="222" t="s">
        <v>1211</v>
      </c>
      <c r="Q401" s="223" t="s">
        <v>1212</v>
      </c>
      <c r="R401" s="223" t="s">
        <v>1212</v>
      </c>
      <c r="S401" s="222"/>
      <c r="T401" s="216"/>
    </row>
    <row r="402" spans="1:20">
      <c r="A402" s="216">
        <f t="shared" si="5"/>
        <v>395</v>
      </c>
      <c r="B402" s="224">
        <v>82</v>
      </c>
      <c r="C402" s="225" t="s">
        <v>1603</v>
      </c>
      <c r="D402" s="219" t="s">
        <v>1604</v>
      </c>
      <c r="E402" s="220" t="s">
        <v>1605</v>
      </c>
      <c r="F402" s="219" t="s">
        <v>1541</v>
      </c>
      <c r="G402" s="220" t="s">
        <v>1606</v>
      </c>
      <c r="H402" s="219" t="s">
        <v>64</v>
      </c>
      <c r="I402" s="220" t="s">
        <v>1607</v>
      </c>
      <c r="J402" s="219" t="s">
        <v>1210</v>
      </c>
      <c r="K402" s="221" t="s">
        <v>1210</v>
      </c>
      <c r="L402" s="219" t="s">
        <v>1210</v>
      </c>
      <c r="M402" s="221" t="s">
        <v>1210</v>
      </c>
      <c r="N402" s="219" t="s">
        <v>1210</v>
      </c>
      <c r="O402" s="221" t="s">
        <v>1210</v>
      </c>
      <c r="P402" s="222" t="s">
        <v>1211</v>
      </c>
      <c r="Q402" s="223" t="s">
        <v>1212</v>
      </c>
      <c r="R402" s="223" t="s">
        <v>1212</v>
      </c>
      <c r="S402" s="222"/>
      <c r="T402" s="216"/>
    </row>
    <row r="403" spans="1:20">
      <c r="A403" s="216">
        <f t="shared" si="5"/>
        <v>396</v>
      </c>
      <c r="B403" s="224">
        <v>82</v>
      </c>
      <c r="C403" s="225" t="s">
        <v>1603</v>
      </c>
      <c r="D403" s="219" t="s">
        <v>1604</v>
      </c>
      <c r="E403" s="220" t="s">
        <v>1605</v>
      </c>
      <c r="F403" s="219" t="s">
        <v>1541</v>
      </c>
      <c r="G403" s="220" t="s">
        <v>1606</v>
      </c>
      <c r="H403" s="219" t="s">
        <v>64</v>
      </c>
      <c r="I403" s="220" t="s">
        <v>1608</v>
      </c>
      <c r="J403" s="219" t="s">
        <v>1210</v>
      </c>
      <c r="K403" s="221" t="s">
        <v>1210</v>
      </c>
      <c r="L403" s="219" t="s">
        <v>1210</v>
      </c>
      <c r="M403" s="221" t="s">
        <v>1210</v>
      </c>
      <c r="N403" s="219" t="s">
        <v>1210</v>
      </c>
      <c r="O403" s="221" t="s">
        <v>1210</v>
      </c>
      <c r="P403" s="222" t="s">
        <v>1211</v>
      </c>
      <c r="Q403" s="223" t="s">
        <v>1212</v>
      </c>
      <c r="R403" s="223" t="s">
        <v>1212</v>
      </c>
      <c r="S403" s="222"/>
      <c r="T403" s="216"/>
    </row>
    <row r="404" spans="1:20">
      <c r="A404" s="216">
        <f t="shared" si="5"/>
        <v>397</v>
      </c>
      <c r="B404" s="224">
        <v>82</v>
      </c>
      <c r="C404" s="225" t="s">
        <v>1603</v>
      </c>
      <c r="D404" s="219" t="s">
        <v>1604</v>
      </c>
      <c r="E404" s="220" t="s">
        <v>1605</v>
      </c>
      <c r="F404" s="219" t="s">
        <v>1541</v>
      </c>
      <c r="G404" s="220" t="s">
        <v>1609</v>
      </c>
      <c r="H404" s="219" t="s">
        <v>64</v>
      </c>
      <c r="I404" s="220" t="s">
        <v>1605</v>
      </c>
      <c r="J404" s="219" t="s">
        <v>1210</v>
      </c>
      <c r="K404" s="221" t="s">
        <v>1210</v>
      </c>
      <c r="L404" s="219" t="s">
        <v>1210</v>
      </c>
      <c r="M404" s="221" t="s">
        <v>1210</v>
      </c>
      <c r="N404" s="219" t="s">
        <v>1210</v>
      </c>
      <c r="O404" s="221" t="s">
        <v>1210</v>
      </c>
      <c r="P404" s="222" t="s">
        <v>1211</v>
      </c>
      <c r="Q404" s="223" t="s">
        <v>1212</v>
      </c>
      <c r="R404" s="223" t="s">
        <v>1212</v>
      </c>
      <c r="S404" s="222"/>
      <c r="T404" s="216"/>
    </row>
    <row r="405" spans="1:20">
      <c r="A405" s="216">
        <f t="shared" si="5"/>
        <v>398</v>
      </c>
      <c r="B405" s="224">
        <v>82</v>
      </c>
      <c r="C405" s="225" t="s">
        <v>1603</v>
      </c>
      <c r="D405" s="219" t="s">
        <v>1604</v>
      </c>
      <c r="E405" s="220" t="s">
        <v>1605</v>
      </c>
      <c r="F405" s="219" t="s">
        <v>1541</v>
      </c>
      <c r="G405" s="220" t="s">
        <v>1609</v>
      </c>
      <c r="H405" s="219" t="s">
        <v>64</v>
      </c>
      <c r="I405" s="220" t="s">
        <v>1610</v>
      </c>
      <c r="J405" s="219" t="s">
        <v>1210</v>
      </c>
      <c r="K405" s="221" t="s">
        <v>1210</v>
      </c>
      <c r="L405" s="219" t="s">
        <v>1210</v>
      </c>
      <c r="M405" s="221" t="s">
        <v>1210</v>
      </c>
      <c r="N405" s="219" t="s">
        <v>1210</v>
      </c>
      <c r="O405" s="221" t="s">
        <v>1210</v>
      </c>
      <c r="P405" s="222" t="s">
        <v>1211</v>
      </c>
      <c r="Q405" s="223" t="s">
        <v>1212</v>
      </c>
      <c r="R405" s="223" t="s">
        <v>1212</v>
      </c>
      <c r="S405" s="222"/>
      <c r="T405" s="216"/>
    </row>
    <row r="406" spans="1:20">
      <c r="A406" s="216">
        <f t="shared" si="5"/>
        <v>399</v>
      </c>
      <c r="B406" s="224">
        <v>82</v>
      </c>
      <c r="C406" s="225" t="s">
        <v>1603</v>
      </c>
      <c r="D406" s="219" t="s">
        <v>1604</v>
      </c>
      <c r="E406" s="220" t="s">
        <v>1605</v>
      </c>
      <c r="F406" s="219" t="s">
        <v>1541</v>
      </c>
      <c r="G406" s="220" t="s">
        <v>1609</v>
      </c>
      <c r="H406" s="219" t="s">
        <v>64</v>
      </c>
      <c r="I406" s="220" t="s">
        <v>1611</v>
      </c>
      <c r="J406" s="219" t="s">
        <v>1210</v>
      </c>
      <c r="K406" s="221" t="s">
        <v>1210</v>
      </c>
      <c r="L406" s="219" t="s">
        <v>1210</v>
      </c>
      <c r="M406" s="221" t="s">
        <v>1210</v>
      </c>
      <c r="N406" s="219" t="s">
        <v>1210</v>
      </c>
      <c r="O406" s="221" t="s">
        <v>1210</v>
      </c>
      <c r="P406" s="222" t="s">
        <v>1211</v>
      </c>
      <c r="Q406" s="223" t="s">
        <v>1212</v>
      </c>
      <c r="R406" s="223" t="s">
        <v>1212</v>
      </c>
      <c r="S406" s="222"/>
      <c r="T406" s="216"/>
    </row>
    <row r="407" spans="1:20">
      <c r="A407" s="216">
        <f t="shared" si="5"/>
        <v>400</v>
      </c>
      <c r="B407" s="224">
        <v>82</v>
      </c>
      <c r="C407" s="225" t="s">
        <v>1603</v>
      </c>
      <c r="D407" s="219" t="s">
        <v>1604</v>
      </c>
      <c r="E407" s="220">
        <v>20200401</v>
      </c>
      <c r="F407" s="219" t="s">
        <v>1541</v>
      </c>
      <c r="G407" s="220" t="s">
        <v>1606</v>
      </c>
      <c r="H407" s="219" t="s">
        <v>64</v>
      </c>
      <c r="I407" s="220" t="s">
        <v>1605</v>
      </c>
      <c r="J407" s="219" t="s">
        <v>1210</v>
      </c>
      <c r="K407" s="221" t="s">
        <v>1210</v>
      </c>
      <c r="L407" s="219" t="s">
        <v>1210</v>
      </c>
      <c r="M407" s="221" t="s">
        <v>1210</v>
      </c>
      <c r="N407" s="219" t="s">
        <v>1210</v>
      </c>
      <c r="O407" s="221" t="s">
        <v>1210</v>
      </c>
      <c r="P407" s="222" t="s">
        <v>1211</v>
      </c>
      <c r="Q407" s="223" t="s">
        <v>1212</v>
      </c>
      <c r="R407" s="223" t="s">
        <v>1212</v>
      </c>
      <c r="S407" s="222"/>
      <c r="T407" s="216"/>
    </row>
    <row r="408" spans="1:20">
      <c r="A408" s="216">
        <f t="shared" si="5"/>
        <v>401</v>
      </c>
      <c r="B408" s="224">
        <v>82</v>
      </c>
      <c r="C408" s="225" t="s">
        <v>1603</v>
      </c>
      <c r="D408" s="219" t="s">
        <v>1604</v>
      </c>
      <c r="E408" s="220">
        <v>20200401</v>
      </c>
      <c r="F408" s="219" t="s">
        <v>1541</v>
      </c>
      <c r="G408" s="220" t="s">
        <v>1606</v>
      </c>
      <c r="H408" s="219" t="s">
        <v>64</v>
      </c>
      <c r="I408" s="220" t="s">
        <v>1610</v>
      </c>
      <c r="J408" s="219" t="s">
        <v>1210</v>
      </c>
      <c r="K408" s="221" t="s">
        <v>1210</v>
      </c>
      <c r="L408" s="219" t="s">
        <v>1210</v>
      </c>
      <c r="M408" s="221" t="s">
        <v>1210</v>
      </c>
      <c r="N408" s="219" t="s">
        <v>1210</v>
      </c>
      <c r="O408" s="221" t="s">
        <v>1210</v>
      </c>
      <c r="P408" s="222" t="s">
        <v>1211</v>
      </c>
      <c r="Q408" s="223" t="s">
        <v>1212</v>
      </c>
      <c r="R408" s="223" t="s">
        <v>1212</v>
      </c>
      <c r="S408" s="222"/>
      <c r="T408" s="216"/>
    </row>
    <row r="409" spans="1:20">
      <c r="A409" s="216">
        <f t="shared" si="5"/>
        <v>402</v>
      </c>
      <c r="B409" s="224">
        <v>82</v>
      </c>
      <c r="C409" s="225" t="s">
        <v>1603</v>
      </c>
      <c r="D409" s="219" t="s">
        <v>1604</v>
      </c>
      <c r="E409" s="220">
        <v>20200401</v>
      </c>
      <c r="F409" s="219" t="s">
        <v>1541</v>
      </c>
      <c r="G409" s="220" t="s">
        <v>1606</v>
      </c>
      <c r="H409" s="219" t="s">
        <v>64</v>
      </c>
      <c r="I409" s="220" t="s">
        <v>1611</v>
      </c>
      <c r="J409" s="219" t="s">
        <v>1210</v>
      </c>
      <c r="K409" s="221" t="s">
        <v>1210</v>
      </c>
      <c r="L409" s="219" t="s">
        <v>1210</v>
      </c>
      <c r="M409" s="221" t="s">
        <v>1210</v>
      </c>
      <c r="N409" s="219" t="s">
        <v>1210</v>
      </c>
      <c r="O409" s="221" t="s">
        <v>1210</v>
      </c>
      <c r="P409" s="222" t="s">
        <v>1211</v>
      </c>
      <c r="Q409" s="223" t="s">
        <v>1212</v>
      </c>
      <c r="R409" s="223" t="s">
        <v>1212</v>
      </c>
      <c r="S409" s="222"/>
      <c r="T409" s="216"/>
    </row>
    <row r="410" spans="1:20">
      <c r="A410" s="216">
        <f t="shared" si="5"/>
        <v>403</v>
      </c>
      <c r="B410" s="224">
        <v>82</v>
      </c>
      <c r="C410" s="225" t="s">
        <v>1603</v>
      </c>
      <c r="D410" s="219" t="s">
        <v>1604</v>
      </c>
      <c r="E410" s="220">
        <v>20200401</v>
      </c>
      <c r="F410" s="219" t="s">
        <v>1541</v>
      </c>
      <c r="G410" s="220" t="s">
        <v>1609</v>
      </c>
      <c r="H410" s="219" t="s">
        <v>64</v>
      </c>
      <c r="I410" s="220" t="s">
        <v>1605</v>
      </c>
      <c r="J410" s="219" t="s">
        <v>1210</v>
      </c>
      <c r="K410" s="221" t="s">
        <v>1210</v>
      </c>
      <c r="L410" s="219" t="s">
        <v>1210</v>
      </c>
      <c r="M410" s="221" t="s">
        <v>1210</v>
      </c>
      <c r="N410" s="219" t="s">
        <v>1210</v>
      </c>
      <c r="O410" s="221" t="s">
        <v>1210</v>
      </c>
      <c r="P410" s="222" t="s">
        <v>1211</v>
      </c>
      <c r="Q410" s="223" t="s">
        <v>1212</v>
      </c>
      <c r="R410" s="223" t="s">
        <v>1212</v>
      </c>
      <c r="S410" s="222"/>
      <c r="T410" s="216"/>
    </row>
    <row r="411" spans="1:20">
      <c r="A411" s="216">
        <f t="shared" si="5"/>
        <v>404</v>
      </c>
      <c r="B411" s="224">
        <v>82</v>
      </c>
      <c r="C411" s="225" t="s">
        <v>1603</v>
      </c>
      <c r="D411" s="219" t="s">
        <v>1604</v>
      </c>
      <c r="E411" s="220">
        <v>20200401</v>
      </c>
      <c r="F411" s="219" t="s">
        <v>1541</v>
      </c>
      <c r="G411" s="220" t="s">
        <v>1609</v>
      </c>
      <c r="H411" s="219" t="s">
        <v>64</v>
      </c>
      <c r="I411" s="220" t="s">
        <v>1610</v>
      </c>
      <c r="J411" s="219" t="s">
        <v>1210</v>
      </c>
      <c r="K411" s="221" t="s">
        <v>1210</v>
      </c>
      <c r="L411" s="219" t="s">
        <v>1210</v>
      </c>
      <c r="M411" s="221" t="s">
        <v>1210</v>
      </c>
      <c r="N411" s="219" t="s">
        <v>1210</v>
      </c>
      <c r="O411" s="221" t="s">
        <v>1210</v>
      </c>
      <c r="P411" s="222" t="s">
        <v>1211</v>
      </c>
      <c r="Q411" s="223" t="s">
        <v>1212</v>
      </c>
      <c r="R411" s="223" t="s">
        <v>1212</v>
      </c>
      <c r="S411" s="222"/>
      <c r="T411" s="216"/>
    </row>
    <row r="412" spans="1:20">
      <c r="A412" s="216">
        <f t="shared" si="5"/>
        <v>405</v>
      </c>
      <c r="B412" s="231">
        <v>82</v>
      </c>
      <c r="C412" s="232" t="s">
        <v>1603</v>
      </c>
      <c r="D412" s="226" t="s">
        <v>1604</v>
      </c>
      <c r="E412" s="227">
        <v>20200401</v>
      </c>
      <c r="F412" s="226" t="s">
        <v>1541</v>
      </c>
      <c r="G412" s="227" t="s">
        <v>1609</v>
      </c>
      <c r="H412" s="226" t="s">
        <v>64</v>
      </c>
      <c r="I412" s="227" t="s">
        <v>1611</v>
      </c>
      <c r="J412" s="226" t="s">
        <v>1210</v>
      </c>
      <c r="K412" s="228" t="s">
        <v>1210</v>
      </c>
      <c r="L412" s="226" t="s">
        <v>1210</v>
      </c>
      <c r="M412" s="228" t="s">
        <v>1210</v>
      </c>
      <c r="N412" s="226" t="s">
        <v>1210</v>
      </c>
      <c r="O412" s="228" t="s">
        <v>1210</v>
      </c>
      <c r="P412" s="229" t="s">
        <v>1216</v>
      </c>
      <c r="Q412" s="230" t="s">
        <v>1603</v>
      </c>
      <c r="R412" s="230" t="s">
        <v>1612</v>
      </c>
      <c r="S412" s="222"/>
      <c r="T412" s="216"/>
    </row>
    <row r="413" spans="1:20">
      <c r="A413" s="216">
        <f t="shared" si="5"/>
        <v>406</v>
      </c>
      <c r="B413" s="217">
        <v>83</v>
      </c>
      <c r="C413" s="218" t="s">
        <v>1613</v>
      </c>
      <c r="D413" s="219" t="s">
        <v>1604</v>
      </c>
      <c r="E413" s="220" t="s">
        <v>1605</v>
      </c>
      <c r="F413" s="219" t="s">
        <v>1541</v>
      </c>
      <c r="G413" s="220" t="s">
        <v>1606</v>
      </c>
      <c r="H413" s="219" t="s">
        <v>1614</v>
      </c>
      <c r="I413" s="220" t="s">
        <v>1605</v>
      </c>
      <c r="J413" s="219" t="s">
        <v>1210</v>
      </c>
      <c r="K413" s="221" t="s">
        <v>1210</v>
      </c>
      <c r="L413" s="219" t="s">
        <v>1210</v>
      </c>
      <c r="M413" s="221" t="s">
        <v>1210</v>
      </c>
      <c r="N413" s="219" t="s">
        <v>1210</v>
      </c>
      <c r="O413" s="221" t="s">
        <v>1210</v>
      </c>
      <c r="P413" s="222" t="s">
        <v>1211</v>
      </c>
      <c r="Q413" s="223" t="s">
        <v>1212</v>
      </c>
      <c r="R413" s="223" t="s">
        <v>1212</v>
      </c>
      <c r="S413" s="222"/>
      <c r="T413" s="216"/>
    </row>
    <row r="414" spans="1:20">
      <c r="A414" s="216">
        <f t="shared" si="5"/>
        <v>407</v>
      </c>
      <c r="B414" s="224">
        <v>83</v>
      </c>
      <c r="C414" s="225" t="s">
        <v>1613</v>
      </c>
      <c r="D414" s="219" t="s">
        <v>1604</v>
      </c>
      <c r="E414" s="220" t="s">
        <v>1605</v>
      </c>
      <c r="F414" s="219" t="s">
        <v>1541</v>
      </c>
      <c r="G414" s="220" t="s">
        <v>1606</v>
      </c>
      <c r="H414" s="219" t="s">
        <v>1614</v>
      </c>
      <c r="I414" s="220" t="s">
        <v>1611</v>
      </c>
      <c r="J414" s="219" t="s">
        <v>1210</v>
      </c>
      <c r="K414" s="221" t="s">
        <v>1210</v>
      </c>
      <c r="L414" s="219" t="s">
        <v>1210</v>
      </c>
      <c r="M414" s="221" t="s">
        <v>1210</v>
      </c>
      <c r="N414" s="219" t="s">
        <v>1210</v>
      </c>
      <c r="O414" s="221" t="s">
        <v>1210</v>
      </c>
      <c r="P414" s="222" t="s">
        <v>1211</v>
      </c>
      <c r="Q414" s="223" t="s">
        <v>1212</v>
      </c>
      <c r="R414" s="223" t="s">
        <v>1212</v>
      </c>
      <c r="S414" s="222"/>
      <c r="T414" s="216"/>
    </row>
    <row r="415" spans="1:20">
      <c r="A415" s="216">
        <f t="shared" si="5"/>
        <v>408</v>
      </c>
      <c r="B415" s="224">
        <v>83</v>
      </c>
      <c r="C415" s="225" t="s">
        <v>1613</v>
      </c>
      <c r="D415" s="219" t="s">
        <v>1604</v>
      </c>
      <c r="E415" s="220" t="s">
        <v>1605</v>
      </c>
      <c r="F415" s="219" t="s">
        <v>1541</v>
      </c>
      <c r="G415" s="220" t="s">
        <v>1606</v>
      </c>
      <c r="H415" s="219" t="s">
        <v>1614</v>
      </c>
      <c r="I415" s="220" t="s">
        <v>1615</v>
      </c>
      <c r="J415" s="219" t="s">
        <v>1210</v>
      </c>
      <c r="K415" s="221" t="s">
        <v>1210</v>
      </c>
      <c r="L415" s="219" t="s">
        <v>1210</v>
      </c>
      <c r="M415" s="221" t="s">
        <v>1210</v>
      </c>
      <c r="N415" s="219" t="s">
        <v>1210</v>
      </c>
      <c r="O415" s="221" t="s">
        <v>1210</v>
      </c>
      <c r="P415" s="222" t="s">
        <v>1211</v>
      </c>
      <c r="Q415" s="223" t="s">
        <v>1212</v>
      </c>
      <c r="R415" s="223" t="s">
        <v>1212</v>
      </c>
      <c r="S415" s="222"/>
      <c r="T415" s="216"/>
    </row>
    <row r="416" spans="1:20">
      <c r="A416" s="216">
        <f t="shared" si="5"/>
        <v>409</v>
      </c>
      <c r="B416" s="224">
        <v>83</v>
      </c>
      <c r="C416" s="225" t="s">
        <v>1613</v>
      </c>
      <c r="D416" s="219" t="s">
        <v>1604</v>
      </c>
      <c r="E416" s="220" t="s">
        <v>1605</v>
      </c>
      <c r="F416" s="219" t="s">
        <v>1541</v>
      </c>
      <c r="G416" s="220" t="s">
        <v>1609</v>
      </c>
      <c r="H416" s="219" t="s">
        <v>1614</v>
      </c>
      <c r="I416" s="220" t="s">
        <v>1605</v>
      </c>
      <c r="J416" s="219" t="s">
        <v>1210</v>
      </c>
      <c r="K416" s="221" t="s">
        <v>1210</v>
      </c>
      <c r="L416" s="219" t="s">
        <v>1210</v>
      </c>
      <c r="M416" s="221" t="s">
        <v>1210</v>
      </c>
      <c r="N416" s="219" t="s">
        <v>1210</v>
      </c>
      <c r="O416" s="221" t="s">
        <v>1210</v>
      </c>
      <c r="P416" s="222" t="s">
        <v>1211</v>
      </c>
      <c r="Q416" s="223" t="s">
        <v>1212</v>
      </c>
      <c r="R416" s="223" t="s">
        <v>1212</v>
      </c>
      <c r="S416" s="222"/>
      <c r="T416" s="216"/>
    </row>
    <row r="417" spans="1:20">
      <c r="A417" s="216">
        <f t="shared" si="5"/>
        <v>410</v>
      </c>
      <c r="B417" s="224">
        <v>83</v>
      </c>
      <c r="C417" s="225" t="s">
        <v>1613</v>
      </c>
      <c r="D417" s="219" t="s">
        <v>1604</v>
      </c>
      <c r="E417" s="220" t="s">
        <v>1605</v>
      </c>
      <c r="F417" s="219" t="s">
        <v>1541</v>
      </c>
      <c r="G417" s="220" t="s">
        <v>1609</v>
      </c>
      <c r="H417" s="219" t="s">
        <v>1614</v>
      </c>
      <c r="I417" s="220">
        <v>20200301</v>
      </c>
      <c r="J417" s="219" t="s">
        <v>1210</v>
      </c>
      <c r="K417" s="221" t="s">
        <v>1210</v>
      </c>
      <c r="L417" s="219" t="s">
        <v>1210</v>
      </c>
      <c r="M417" s="221" t="s">
        <v>1210</v>
      </c>
      <c r="N417" s="219" t="s">
        <v>1210</v>
      </c>
      <c r="O417" s="221" t="s">
        <v>1210</v>
      </c>
      <c r="P417" s="222" t="s">
        <v>1211</v>
      </c>
      <c r="Q417" s="223" t="s">
        <v>1212</v>
      </c>
      <c r="R417" s="223" t="s">
        <v>1212</v>
      </c>
      <c r="S417" s="222"/>
      <c r="T417" s="216"/>
    </row>
    <row r="418" spans="1:20">
      <c r="A418" s="216">
        <f t="shared" si="5"/>
        <v>411</v>
      </c>
      <c r="B418" s="224">
        <v>83</v>
      </c>
      <c r="C418" s="225" t="s">
        <v>1613</v>
      </c>
      <c r="D418" s="219" t="s">
        <v>1604</v>
      </c>
      <c r="E418" s="220" t="s">
        <v>1605</v>
      </c>
      <c r="F418" s="219" t="s">
        <v>1541</v>
      </c>
      <c r="G418" s="220" t="s">
        <v>1609</v>
      </c>
      <c r="H418" s="219" t="s">
        <v>1614</v>
      </c>
      <c r="I418" s="220">
        <v>20200501</v>
      </c>
      <c r="J418" s="219" t="s">
        <v>1210</v>
      </c>
      <c r="K418" s="221" t="s">
        <v>1210</v>
      </c>
      <c r="L418" s="219" t="s">
        <v>1210</v>
      </c>
      <c r="M418" s="221" t="s">
        <v>1210</v>
      </c>
      <c r="N418" s="219" t="s">
        <v>1210</v>
      </c>
      <c r="O418" s="221" t="s">
        <v>1210</v>
      </c>
      <c r="P418" s="222" t="s">
        <v>1211</v>
      </c>
      <c r="Q418" s="223" t="s">
        <v>1212</v>
      </c>
      <c r="R418" s="223" t="s">
        <v>1212</v>
      </c>
      <c r="S418" s="222"/>
      <c r="T418" s="216"/>
    </row>
    <row r="419" spans="1:20">
      <c r="A419" s="216">
        <f t="shared" si="5"/>
        <v>412</v>
      </c>
      <c r="B419" s="224">
        <v>83</v>
      </c>
      <c r="C419" s="225" t="s">
        <v>1613</v>
      </c>
      <c r="D419" s="219" t="s">
        <v>1604</v>
      </c>
      <c r="E419" s="220">
        <v>20200401</v>
      </c>
      <c r="F419" s="219" t="s">
        <v>1541</v>
      </c>
      <c r="G419" s="220" t="s">
        <v>1606</v>
      </c>
      <c r="H419" s="219" t="s">
        <v>1614</v>
      </c>
      <c r="I419" s="220" t="s">
        <v>1605</v>
      </c>
      <c r="J419" s="219" t="s">
        <v>1210</v>
      </c>
      <c r="K419" s="221" t="s">
        <v>1210</v>
      </c>
      <c r="L419" s="219" t="s">
        <v>1210</v>
      </c>
      <c r="M419" s="221" t="s">
        <v>1210</v>
      </c>
      <c r="N419" s="219" t="s">
        <v>1210</v>
      </c>
      <c r="O419" s="221" t="s">
        <v>1210</v>
      </c>
      <c r="P419" s="222" t="s">
        <v>1211</v>
      </c>
      <c r="Q419" s="223" t="s">
        <v>1212</v>
      </c>
      <c r="R419" s="223" t="s">
        <v>1212</v>
      </c>
      <c r="S419" s="222"/>
      <c r="T419" s="216"/>
    </row>
    <row r="420" spans="1:20">
      <c r="A420" s="216">
        <f t="shared" si="5"/>
        <v>413</v>
      </c>
      <c r="B420" s="224">
        <v>83</v>
      </c>
      <c r="C420" s="225" t="s">
        <v>1613</v>
      </c>
      <c r="D420" s="219" t="s">
        <v>1604</v>
      </c>
      <c r="E420" s="220">
        <v>20200401</v>
      </c>
      <c r="F420" s="219" t="s">
        <v>1541</v>
      </c>
      <c r="G420" s="220" t="s">
        <v>1606</v>
      </c>
      <c r="H420" s="219" t="s">
        <v>1614</v>
      </c>
      <c r="I420" s="220" t="s">
        <v>1608</v>
      </c>
      <c r="J420" s="219" t="s">
        <v>1210</v>
      </c>
      <c r="K420" s="221" t="s">
        <v>1210</v>
      </c>
      <c r="L420" s="219" t="s">
        <v>1210</v>
      </c>
      <c r="M420" s="221" t="s">
        <v>1210</v>
      </c>
      <c r="N420" s="219" t="s">
        <v>1210</v>
      </c>
      <c r="O420" s="221" t="s">
        <v>1210</v>
      </c>
      <c r="P420" s="222" t="s">
        <v>1211</v>
      </c>
      <c r="Q420" s="223" t="s">
        <v>1212</v>
      </c>
      <c r="R420" s="223" t="s">
        <v>1212</v>
      </c>
      <c r="S420" s="222"/>
      <c r="T420" s="216"/>
    </row>
    <row r="421" spans="1:20">
      <c r="A421" s="216">
        <f t="shared" si="5"/>
        <v>414</v>
      </c>
      <c r="B421" s="224">
        <v>83</v>
      </c>
      <c r="C421" s="225" t="s">
        <v>1613</v>
      </c>
      <c r="D421" s="219" t="s">
        <v>1604</v>
      </c>
      <c r="E421" s="220">
        <v>20200401</v>
      </c>
      <c r="F421" s="219" t="s">
        <v>1541</v>
      </c>
      <c r="G421" s="220" t="s">
        <v>1606</v>
      </c>
      <c r="H421" s="219" t="s">
        <v>1614</v>
      </c>
      <c r="I421" s="220" t="s">
        <v>1483</v>
      </c>
      <c r="J421" s="219" t="s">
        <v>1210</v>
      </c>
      <c r="K421" s="221" t="s">
        <v>1210</v>
      </c>
      <c r="L421" s="219" t="s">
        <v>1210</v>
      </c>
      <c r="M421" s="221" t="s">
        <v>1210</v>
      </c>
      <c r="N421" s="219" t="s">
        <v>1210</v>
      </c>
      <c r="O421" s="221" t="s">
        <v>1210</v>
      </c>
      <c r="P421" s="222" t="s">
        <v>1211</v>
      </c>
      <c r="Q421" s="223" t="s">
        <v>1212</v>
      </c>
      <c r="R421" s="223" t="s">
        <v>1212</v>
      </c>
      <c r="S421" s="222"/>
      <c r="T421" s="216"/>
    </row>
    <row r="422" spans="1:20">
      <c r="A422" s="216">
        <f t="shared" si="5"/>
        <v>415</v>
      </c>
      <c r="B422" s="224">
        <v>83</v>
      </c>
      <c r="C422" s="225" t="s">
        <v>1613</v>
      </c>
      <c r="D422" s="219" t="s">
        <v>1604</v>
      </c>
      <c r="E422" s="220">
        <v>20200401</v>
      </c>
      <c r="F422" s="219" t="s">
        <v>1541</v>
      </c>
      <c r="G422" s="220" t="s">
        <v>1609</v>
      </c>
      <c r="H422" s="219" t="s">
        <v>1614</v>
      </c>
      <c r="I422" s="220" t="s">
        <v>1605</v>
      </c>
      <c r="J422" s="219" t="s">
        <v>1210</v>
      </c>
      <c r="K422" s="221" t="s">
        <v>1210</v>
      </c>
      <c r="L422" s="219" t="s">
        <v>1210</v>
      </c>
      <c r="M422" s="221" t="s">
        <v>1210</v>
      </c>
      <c r="N422" s="219" t="s">
        <v>1210</v>
      </c>
      <c r="O422" s="221" t="s">
        <v>1210</v>
      </c>
      <c r="P422" s="222" t="s">
        <v>1211</v>
      </c>
      <c r="Q422" s="223" t="s">
        <v>1212</v>
      </c>
      <c r="R422" s="223" t="s">
        <v>1212</v>
      </c>
      <c r="S422" s="222"/>
      <c r="T422" s="216"/>
    </row>
    <row r="423" spans="1:20">
      <c r="A423" s="216">
        <f t="shared" si="5"/>
        <v>416</v>
      </c>
      <c r="B423" s="224">
        <v>83</v>
      </c>
      <c r="C423" s="225" t="s">
        <v>1613</v>
      </c>
      <c r="D423" s="219" t="s">
        <v>1604</v>
      </c>
      <c r="E423" s="220">
        <v>20200401</v>
      </c>
      <c r="F423" s="219" t="s">
        <v>1541</v>
      </c>
      <c r="G423" s="220" t="s">
        <v>1609</v>
      </c>
      <c r="H423" s="219" t="s">
        <v>1614</v>
      </c>
      <c r="I423" s="220" t="s">
        <v>1611</v>
      </c>
      <c r="J423" s="219" t="s">
        <v>1210</v>
      </c>
      <c r="K423" s="221" t="s">
        <v>1210</v>
      </c>
      <c r="L423" s="219" t="s">
        <v>1210</v>
      </c>
      <c r="M423" s="221" t="s">
        <v>1210</v>
      </c>
      <c r="N423" s="219" t="s">
        <v>1210</v>
      </c>
      <c r="O423" s="221" t="s">
        <v>1210</v>
      </c>
      <c r="P423" s="222" t="s">
        <v>1211</v>
      </c>
      <c r="Q423" s="223" t="s">
        <v>1212</v>
      </c>
      <c r="R423" s="223" t="s">
        <v>1212</v>
      </c>
      <c r="S423" s="222"/>
      <c r="T423" s="216"/>
    </row>
    <row r="424" spans="1:20">
      <c r="A424" s="216">
        <f t="shared" si="5"/>
        <v>417</v>
      </c>
      <c r="B424" s="231">
        <v>83</v>
      </c>
      <c r="C424" s="232" t="s">
        <v>1613</v>
      </c>
      <c r="D424" s="226" t="s">
        <v>1604</v>
      </c>
      <c r="E424" s="227">
        <v>20200401</v>
      </c>
      <c r="F424" s="226" t="s">
        <v>1541</v>
      </c>
      <c r="G424" s="227" t="s">
        <v>1609</v>
      </c>
      <c r="H424" s="226" t="s">
        <v>1614</v>
      </c>
      <c r="I424" s="227" t="s">
        <v>1615</v>
      </c>
      <c r="J424" s="226" t="s">
        <v>1210</v>
      </c>
      <c r="K424" s="228" t="s">
        <v>1210</v>
      </c>
      <c r="L424" s="226" t="s">
        <v>1210</v>
      </c>
      <c r="M424" s="228" t="s">
        <v>1210</v>
      </c>
      <c r="N424" s="226" t="s">
        <v>1210</v>
      </c>
      <c r="O424" s="228" t="s">
        <v>1210</v>
      </c>
      <c r="P424" s="229" t="s">
        <v>1216</v>
      </c>
      <c r="Q424" s="230" t="s">
        <v>1613</v>
      </c>
      <c r="R424" s="230" t="s">
        <v>1616</v>
      </c>
      <c r="S424" s="222"/>
      <c r="T424" s="216"/>
    </row>
    <row r="425" spans="1:20">
      <c r="A425" s="216">
        <f t="shared" si="5"/>
        <v>418</v>
      </c>
      <c r="B425" s="217">
        <v>84</v>
      </c>
      <c r="C425" s="218" t="s">
        <v>1617</v>
      </c>
      <c r="D425" s="219" t="s">
        <v>1604</v>
      </c>
      <c r="E425" s="220" t="s">
        <v>1369</v>
      </c>
      <c r="F425" s="219" t="s">
        <v>1541</v>
      </c>
      <c r="G425" s="220" t="s">
        <v>1609</v>
      </c>
      <c r="H425" s="219" t="s">
        <v>1210</v>
      </c>
      <c r="I425" s="220" t="s">
        <v>1210</v>
      </c>
      <c r="J425" s="219" t="s">
        <v>1210</v>
      </c>
      <c r="K425" s="221" t="s">
        <v>1210</v>
      </c>
      <c r="L425" s="219" t="s">
        <v>1210</v>
      </c>
      <c r="M425" s="221" t="s">
        <v>1210</v>
      </c>
      <c r="N425" s="219" t="s">
        <v>1210</v>
      </c>
      <c r="O425" s="221" t="s">
        <v>1210</v>
      </c>
      <c r="P425" s="222" t="s">
        <v>1211</v>
      </c>
      <c r="Q425" s="223" t="s">
        <v>1212</v>
      </c>
      <c r="R425" s="223" t="s">
        <v>1212</v>
      </c>
      <c r="S425" s="222"/>
      <c r="T425" s="216"/>
    </row>
    <row r="426" spans="1:20">
      <c r="A426" s="216">
        <f t="shared" si="5"/>
        <v>419</v>
      </c>
      <c r="B426" s="224">
        <v>84</v>
      </c>
      <c r="C426" s="225" t="s">
        <v>1617</v>
      </c>
      <c r="D426" s="219" t="s">
        <v>1604</v>
      </c>
      <c r="E426" s="220" t="s">
        <v>1369</v>
      </c>
      <c r="F426" s="219" t="s">
        <v>1541</v>
      </c>
      <c r="G426" s="220">
        <v>0</v>
      </c>
      <c r="H426" s="219" t="s">
        <v>1210</v>
      </c>
      <c r="I426" s="220" t="s">
        <v>1210</v>
      </c>
      <c r="J426" s="219" t="s">
        <v>1210</v>
      </c>
      <c r="K426" s="221" t="s">
        <v>1210</v>
      </c>
      <c r="L426" s="219" t="s">
        <v>1210</v>
      </c>
      <c r="M426" s="221" t="s">
        <v>1210</v>
      </c>
      <c r="N426" s="219" t="s">
        <v>1210</v>
      </c>
      <c r="O426" s="221" t="s">
        <v>1210</v>
      </c>
      <c r="P426" s="222" t="s">
        <v>1211</v>
      </c>
      <c r="Q426" s="223" t="s">
        <v>1212</v>
      </c>
      <c r="R426" s="223" t="s">
        <v>1212</v>
      </c>
      <c r="S426" s="222"/>
      <c r="T426" s="216"/>
    </row>
    <row r="427" spans="1:20">
      <c r="A427" s="216">
        <f t="shared" si="5"/>
        <v>420</v>
      </c>
      <c r="B427" s="224">
        <v>84</v>
      </c>
      <c r="C427" s="225" t="s">
        <v>1617</v>
      </c>
      <c r="D427" s="219" t="s">
        <v>1604</v>
      </c>
      <c r="E427" s="220">
        <v>20200401</v>
      </c>
      <c r="F427" s="219" t="s">
        <v>1541</v>
      </c>
      <c r="G427" s="220" t="s">
        <v>1609</v>
      </c>
      <c r="H427" s="219" t="s">
        <v>1210</v>
      </c>
      <c r="I427" s="220" t="s">
        <v>1210</v>
      </c>
      <c r="J427" s="219" t="s">
        <v>1210</v>
      </c>
      <c r="K427" s="221" t="s">
        <v>1210</v>
      </c>
      <c r="L427" s="219" t="s">
        <v>1210</v>
      </c>
      <c r="M427" s="221" t="s">
        <v>1210</v>
      </c>
      <c r="N427" s="219" t="s">
        <v>1210</v>
      </c>
      <c r="O427" s="221" t="s">
        <v>1210</v>
      </c>
      <c r="P427" s="222" t="s">
        <v>1211</v>
      </c>
      <c r="Q427" s="223" t="s">
        <v>1212</v>
      </c>
      <c r="R427" s="223" t="s">
        <v>1212</v>
      </c>
      <c r="S427" s="222"/>
      <c r="T427" s="216"/>
    </row>
    <row r="428" spans="1:20">
      <c r="A428" s="216">
        <f t="shared" si="5"/>
        <v>421</v>
      </c>
      <c r="B428" s="231">
        <v>84</v>
      </c>
      <c r="C428" s="232" t="s">
        <v>1617</v>
      </c>
      <c r="D428" s="226" t="s">
        <v>1604</v>
      </c>
      <c r="E428" s="227">
        <v>20200401</v>
      </c>
      <c r="F428" s="226" t="s">
        <v>1541</v>
      </c>
      <c r="G428" s="227">
        <v>0</v>
      </c>
      <c r="H428" s="226" t="s">
        <v>1210</v>
      </c>
      <c r="I428" s="227" t="s">
        <v>1210</v>
      </c>
      <c r="J428" s="226" t="s">
        <v>1210</v>
      </c>
      <c r="K428" s="228" t="s">
        <v>1210</v>
      </c>
      <c r="L428" s="226" t="s">
        <v>1210</v>
      </c>
      <c r="M428" s="228" t="s">
        <v>1210</v>
      </c>
      <c r="N428" s="226" t="s">
        <v>1210</v>
      </c>
      <c r="O428" s="228" t="s">
        <v>1210</v>
      </c>
      <c r="P428" s="229" t="s">
        <v>1216</v>
      </c>
      <c r="Q428" s="230" t="s">
        <v>1617</v>
      </c>
      <c r="R428" s="230" t="s">
        <v>1618</v>
      </c>
      <c r="S428" s="222"/>
      <c r="T428" s="216"/>
    </row>
    <row r="429" spans="1:20">
      <c r="A429" s="216">
        <f t="shared" si="5"/>
        <v>422</v>
      </c>
      <c r="B429" s="217">
        <v>88</v>
      </c>
      <c r="C429" s="218" t="s">
        <v>1619</v>
      </c>
      <c r="D429" s="219" t="s">
        <v>1620</v>
      </c>
      <c r="E429" s="220" t="s">
        <v>1621</v>
      </c>
      <c r="F429" s="219" t="s">
        <v>1212</v>
      </c>
      <c r="G429" s="220" t="s">
        <v>1210</v>
      </c>
      <c r="H429" s="219" t="s">
        <v>1210</v>
      </c>
      <c r="I429" s="220" t="s">
        <v>1210</v>
      </c>
      <c r="J429" s="219" t="s">
        <v>1210</v>
      </c>
      <c r="K429" s="221" t="s">
        <v>1210</v>
      </c>
      <c r="L429" s="219" t="s">
        <v>1210</v>
      </c>
      <c r="M429" s="221" t="s">
        <v>1210</v>
      </c>
      <c r="N429" s="219" t="s">
        <v>1210</v>
      </c>
      <c r="O429" s="221" t="s">
        <v>1210</v>
      </c>
      <c r="P429" s="222" t="s">
        <v>1211</v>
      </c>
      <c r="Q429" s="223" t="s">
        <v>1212</v>
      </c>
      <c r="R429" s="223" t="s">
        <v>1212</v>
      </c>
      <c r="S429" s="222"/>
      <c r="T429" s="216"/>
    </row>
    <row r="430" spans="1:20">
      <c r="A430" s="216">
        <f t="shared" si="5"/>
        <v>423</v>
      </c>
      <c r="B430" s="224">
        <v>88</v>
      </c>
      <c r="C430" s="225" t="s">
        <v>1619</v>
      </c>
      <c r="D430" s="226" t="s">
        <v>571</v>
      </c>
      <c r="E430" s="227" t="s">
        <v>1622</v>
      </c>
      <c r="F430" s="226" t="s">
        <v>1210</v>
      </c>
      <c r="G430" s="227" t="s">
        <v>1210</v>
      </c>
      <c r="H430" s="226" t="s">
        <v>1210</v>
      </c>
      <c r="I430" s="227" t="s">
        <v>1210</v>
      </c>
      <c r="J430" s="226" t="s">
        <v>1210</v>
      </c>
      <c r="K430" s="228" t="s">
        <v>1210</v>
      </c>
      <c r="L430" s="226" t="s">
        <v>1210</v>
      </c>
      <c r="M430" s="228" t="s">
        <v>1210</v>
      </c>
      <c r="N430" s="226" t="s">
        <v>1210</v>
      </c>
      <c r="O430" s="228" t="s">
        <v>1210</v>
      </c>
      <c r="P430" s="229" t="s">
        <v>1216</v>
      </c>
      <c r="Q430" s="230" t="s">
        <v>1619</v>
      </c>
      <c r="R430" s="230" t="s">
        <v>1623</v>
      </c>
      <c r="S430" s="222"/>
      <c r="T430" s="216"/>
    </row>
    <row r="431" spans="1:20">
      <c r="A431" s="216">
        <f t="shared" ref="A431:A504" si="6">ROW()-7</f>
        <v>424</v>
      </c>
      <c r="B431" s="224">
        <v>88</v>
      </c>
      <c r="C431" s="225" t="s">
        <v>1619</v>
      </c>
      <c r="D431" s="226" t="s">
        <v>571</v>
      </c>
      <c r="E431" s="227" t="s">
        <v>1624</v>
      </c>
      <c r="F431" s="226" t="s">
        <v>1210</v>
      </c>
      <c r="G431" s="227" t="s">
        <v>1210</v>
      </c>
      <c r="H431" s="226" t="s">
        <v>1210</v>
      </c>
      <c r="I431" s="227" t="s">
        <v>1210</v>
      </c>
      <c r="J431" s="226" t="s">
        <v>1210</v>
      </c>
      <c r="K431" s="228" t="s">
        <v>1210</v>
      </c>
      <c r="L431" s="226" t="s">
        <v>1210</v>
      </c>
      <c r="M431" s="228" t="s">
        <v>1210</v>
      </c>
      <c r="N431" s="226" t="s">
        <v>1210</v>
      </c>
      <c r="O431" s="228" t="s">
        <v>1210</v>
      </c>
      <c r="P431" s="229" t="s">
        <v>1216</v>
      </c>
      <c r="Q431" s="230" t="s">
        <v>1619</v>
      </c>
      <c r="R431" s="230" t="s">
        <v>1623</v>
      </c>
      <c r="S431" s="222"/>
      <c r="T431" s="216"/>
    </row>
    <row r="432" spans="1:20">
      <c r="A432" s="216">
        <f t="shared" si="6"/>
        <v>425</v>
      </c>
      <c r="B432" s="224">
        <v>88</v>
      </c>
      <c r="C432" s="225" t="s">
        <v>1619</v>
      </c>
      <c r="D432" s="226" t="s">
        <v>571</v>
      </c>
      <c r="E432" s="234" t="s">
        <v>1625</v>
      </c>
      <c r="F432" s="226" t="s">
        <v>1210</v>
      </c>
      <c r="G432" s="227" t="s">
        <v>1210</v>
      </c>
      <c r="H432" s="226" t="s">
        <v>1210</v>
      </c>
      <c r="I432" s="227" t="s">
        <v>1210</v>
      </c>
      <c r="J432" s="226" t="s">
        <v>1210</v>
      </c>
      <c r="K432" s="228" t="s">
        <v>1210</v>
      </c>
      <c r="L432" s="226" t="s">
        <v>1210</v>
      </c>
      <c r="M432" s="228" t="s">
        <v>1210</v>
      </c>
      <c r="N432" s="226" t="s">
        <v>1210</v>
      </c>
      <c r="O432" s="228" t="s">
        <v>1210</v>
      </c>
      <c r="P432" s="229" t="s">
        <v>1216</v>
      </c>
      <c r="Q432" s="230" t="s">
        <v>1619</v>
      </c>
      <c r="R432" s="230" t="s">
        <v>1623</v>
      </c>
      <c r="S432" s="222"/>
      <c r="T432" s="216"/>
    </row>
    <row r="433" spans="1:20">
      <c r="A433" s="216">
        <f t="shared" si="6"/>
        <v>426</v>
      </c>
      <c r="B433" s="224">
        <v>88</v>
      </c>
      <c r="C433" s="225" t="s">
        <v>1619</v>
      </c>
      <c r="D433" s="226" t="s">
        <v>571</v>
      </c>
      <c r="E433" s="227" t="s">
        <v>1626</v>
      </c>
      <c r="F433" s="226" t="s">
        <v>1210</v>
      </c>
      <c r="G433" s="227" t="s">
        <v>1210</v>
      </c>
      <c r="H433" s="226" t="s">
        <v>1210</v>
      </c>
      <c r="I433" s="227" t="s">
        <v>1210</v>
      </c>
      <c r="J433" s="226" t="s">
        <v>1210</v>
      </c>
      <c r="K433" s="228" t="s">
        <v>1210</v>
      </c>
      <c r="L433" s="226" t="s">
        <v>1210</v>
      </c>
      <c r="M433" s="228" t="s">
        <v>1210</v>
      </c>
      <c r="N433" s="226" t="s">
        <v>1210</v>
      </c>
      <c r="O433" s="228" t="s">
        <v>1210</v>
      </c>
      <c r="P433" s="229" t="s">
        <v>1216</v>
      </c>
      <c r="Q433" s="230" t="s">
        <v>1619</v>
      </c>
      <c r="R433" s="230" t="s">
        <v>1623</v>
      </c>
      <c r="S433" s="222"/>
      <c r="T433" s="216"/>
    </row>
    <row r="434" spans="1:20">
      <c r="A434" s="216">
        <f t="shared" si="6"/>
        <v>427</v>
      </c>
      <c r="B434" s="224">
        <v>88</v>
      </c>
      <c r="C434" s="225" t="s">
        <v>1619</v>
      </c>
      <c r="D434" s="226" t="s">
        <v>571</v>
      </c>
      <c r="E434" s="227" t="s">
        <v>1627</v>
      </c>
      <c r="F434" s="226" t="s">
        <v>1210</v>
      </c>
      <c r="G434" s="227" t="s">
        <v>1210</v>
      </c>
      <c r="H434" s="226" t="s">
        <v>1210</v>
      </c>
      <c r="I434" s="227" t="s">
        <v>1210</v>
      </c>
      <c r="J434" s="226" t="s">
        <v>1210</v>
      </c>
      <c r="K434" s="228" t="s">
        <v>1210</v>
      </c>
      <c r="L434" s="226" t="s">
        <v>1210</v>
      </c>
      <c r="M434" s="228" t="s">
        <v>1210</v>
      </c>
      <c r="N434" s="226" t="s">
        <v>1210</v>
      </c>
      <c r="O434" s="228" t="s">
        <v>1210</v>
      </c>
      <c r="P434" s="229" t="s">
        <v>1216</v>
      </c>
      <c r="Q434" s="230" t="s">
        <v>1619</v>
      </c>
      <c r="R434" s="230" t="s">
        <v>1623</v>
      </c>
      <c r="S434" s="222"/>
      <c r="T434" s="216"/>
    </row>
    <row r="435" spans="1:20">
      <c r="A435" s="216">
        <f t="shared" si="6"/>
        <v>428</v>
      </c>
      <c r="B435" s="224">
        <v>88</v>
      </c>
      <c r="C435" s="225" t="s">
        <v>1619</v>
      </c>
      <c r="D435" s="226" t="s">
        <v>571</v>
      </c>
      <c r="E435" s="227" t="s">
        <v>1628</v>
      </c>
      <c r="F435" s="226" t="s">
        <v>1212</v>
      </c>
      <c r="G435" s="227" t="s">
        <v>1210</v>
      </c>
      <c r="H435" s="226" t="s">
        <v>1210</v>
      </c>
      <c r="I435" s="227" t="s">
        <v>1210</v>
      </c>
      <c r="J435" s="226" t="s">
        <v>1210</v>
      </c>
      <c r="K435" s="228" t="s">
        <v>1210</v>
      </c>
      <c r="L435" s="226" t="s">
        <v>1210</v>
      </c>
      <c r="M435" s="228" t="s">
        <v>1210</v>
      </c>
      <c r="N435" s="226" t="s">
        <v>1210</v>
      </c>
      <c r="O435" s="228" t="s">
        <v>1210</v>
      </c>
      <c r="P435" s="229" t="s">
        <v>1216</v>
      </c>
      <c r="Q435" s="230" t="s">
        <v>1619</v>
      </c>
      <c r="R435" s="230" t="s">
        <v>1623</v>
      </c>
      <c r="S435" s="222"/>
      <c r="T435" s="216"/>
    </row>
    <row r="436" spans="1:20">
      <c r="A436" s="216">
        <f t="shared" si="6"/>
        <v>429</v>
      </c>
      <c r="B436" s="231">
        <v>88</v>
      </c>
      <c r="C436" s="232" t="s">
        <v>1619</v>
      </c>
      <c r="D436" s="226" t="s">
        <v>571</v>
      </c>
      <c r="E436" s="227" t="s">
        <v>1629</v>
      </c>
      <c r="F436" s="226" t="s">
        <v>1212</v>
      </c>
      <c r="G436" s="227" t="s">
        <v>1210</v>
      </c>
      <c r="H436" s="226" t="s">
        <v>1210</v>
      </c>
      <c r="I436" s="227" t="s">
        <v>1210</v>
      </c>
      <c r="J436" s="226" t="s">
        <v>1210</v>
      </c>
      <c r="K436" s="228" t="s">
        <v>1210</v>
      </c>
      <c r="L436" s="226" t="s">
        <v>1210</v>
      </c>
      <c r="M436" s="228" t="s">
        <v>1210</v>
      </c>
      <c r="N436" s="226" t="s">
        <v>1210</v>
      </c>
      <c r="O436" s="228" t="s">
        <v>1210</v>
      </c>
      <c r="P436" s="229" t="s">
        <v>1216</v>
      </c>
      <c r="Q436" s="230" t="s">
        <v>1619</v>
      </c>
      <c r="R436" s="230" t="s">
        <v>1623</v>
      </c>
      <c r="S436" s="222"/>
      <c r="T436" s="216"/>
    </row>
    <row r="437" spans="1:20">
      <c r="A437" s="216">
        <f t="shared" si="6"/>
        <v>430</v>
      </c>
      <c r="B437" s="217" t="s">
        <v>1630</v>
      </c>
      <c r="C437" s="218" t="s">
        <v>1631</v>
      </c>
      <c r="D437" s="226" t="s">
        <v>1620</v>
      </c>
      <c r="E437" s="227" t="s">
        <v>1369</v>
      </c>
      <c r="F437" s="226" t="s">
        <v>1632</v>
      </c>
      <c r="G437" s="227">
        <v>20200401</v>
      </c>
      <c r="H437" s="226" t="s">
        <v>1210</v>
      </c>
      <c r="I437" s="227" t="s">
        <v>1210</v>
      </c>
      <c r="J437" s="226" t="s">
        <v>1210</v>
      </c>
      <c r="K437" s="228" t="s">
        <v>1210</v>
      </c>
      <c r="L437" s="226" t="s">
        <v>1210</v>
      </c>
      <c r="M437" s="228" t="s">
        <v>1210</v>
      </c>
      <c r="N437" s="226" t="s">
        <v>1210</v>
      </c>
      <c r="O437" s="228" t="s">
        <v>1210</v>
      </c>
      <c r="P437" s="229" t="s">
        <v>1216</v>
      </c>
      <c r="Q437" s="230" t="s">
        <v>1631</v>
      </c>
      <c r="R437" s="230" t="s">
        <v>1633</v>
      </c>
      <c r="S437" s="222"/>
      <c r="T437" s="216" t="s">
        <v>1634</v>
      </c>
    </row>
    <row r="438" spans="1:20">
      <c r="A438" s="216">
        <f t="shared" si="6"/>
        <v>431</v>
      </c>
      <c r="B438" s="224" t="s">
        <v>1635</v>
      </c>
      <c r="C438" s="225" t="s">
        <v>1631</v>
      </c>
      <c r="D438" s="219" t="s">
        <v>1620</v>
      </c>
      <c r="E438" s="220" t="s">
        <v>1369</v>
      </c>
      <c r="F438" s="219" t="s">
        <v>1632</v>
      </c>
      <c r="G438" s="220" t="s">
        <v>1369</v>
      </c>
      <c r="H438" s="219" t="s">
        <v>1210</v>
      </c>
      <c r="I438" s="220" t="s">
        <v>1210</v>
      </c>
      <c r="J438" s="219" t="s">
        <v>1210</v>
      </c>
      <c r="K438" s="221" t="s">
        <v>1210</v>
      </c>
      <c r="L438" s="219" t="s">
        <v>1210</v>
      </c>
      <c r="M438" s="221" t="s">
        <v>1210</v>
      </c>
      <c r="N438" s="219" t="s">
        <v>1210</v>
      </c>
      <c r="O438" s="221" t="s">
        <v>1210</v>
      </c>
      <c r="P438" s="222" t="s">
        <v>1211</v>
      </c>
      <c r="Q438" s="223" t="s">
        <v>1212</v>
      </c>
      <c r="R438" s="223" t="s">
        <v>1212</v>
      </c>
      <c r="S438" s="222"/>
      <c r="T438" s="216"/>
    </row>
    <row r="439" spans="1:20">
      <c r="A439" s="216">
        <f t="shared" si="6"/>
        <v>432</v>
      </c>
      <c r="B439" s="224" t="s">
        <v>1635</v>
      </c>
      <c r="C439" s="225" t="s">
        <v>1631</v>
      </c>
      <c r="D439" s="219" t="s">
        <v>1620</v>
      </c>
      <c r="E439" s="220" t="s">
        <v>1621</v>
      </c>
      <c r="F439" s="219" t="s">
        <v>1632</v>
      </c>
      <c r="G439" s="220">
        <v>20200401</v>
      </c>
      <c r="H439" s="219" t="s">
        <v>1210</v>
      </c>
      <c r="I439" s="220" t="s">
        <v>1210</v>
      </c>
      <c r="J439" s="219" t="s">
        <v>1210</v>
      </c>
      <c r="K439" s="221" t="s">
        <v>1210</v>
      </c>
      <c r="L439" s="219" t="s">
        <v>1210</v>
      </c>
      <c r="M439" s="221" t="s">
        <v>1210</v>
      </c>
      <c r="N439" s="219" t="s">
        <v>1210</v>
      </c>
      <c r="O439" s="221" t="s">
        <v>1210</v>
      </c>
      <c r="P439" s="222" t="s">
        <v>1211</v>
      </c>
      <c r="Q439" s="223" t="s">
        <v>1212</v>
      </c>
      <c r="R439" s="223" t="s">
        <v>1212</v>
      </c>
      <c r="S439" s="222"/>
      <c r="T439" s="216"/>
    </row>
    <row r="440" spans="1:20">
      <c r="A440" s="216">
        <f t="shared" si="6"/>
        <v>433</v>
      </c>
      <c r="B440" s="231" t="s">
        <v>1635</v>
      </c>
      <c r="C440" s="232" t="s">
        <v>1631</v>
      </c>
      <c r="D440" s="226" t="s">
        <v>1620</v>
      </c>
      <c r="E440" s="227" t="s">
        <v>1621</v>
      </c>
      <c r="F440" s="226" t="s">
        <v>1632</v>
      </c>
      <c r="G440" s="227" t="s">
        <v>1369</v>
      </c>
      <c r="H440" s="226" t="s">
        <v>1210</v>
      </c>
      <c r="I440" s="227" t="s">
        <v>1210</v>
      </c>
      <c r="J440" s="226" t="s">
        <v>1210</v>
      </c>
      <c r="K440" s="228" t="s">
        <v>1210</v>
      </c>
      <c r="L440" s="226" t="s">
        <v>1210</v>
      </c>
      <c r="M440" s="228" t="s">
        <v>1210</v>
      </c>
      <c r="N440" s="226" t="s">
        <v>1210</v>
      </c>
      <c r="O440" s="228" t="s">
        <v>1210</v>
      </c>
      <c r="P440" s="229" t="s">
        <v>1216</v>
      </c>
      <c r="Q440" s="230" t="s">
        <v>1631</v>
      </c>
      <c r="R440" s="230" t="s">
        <v>1633</v>
      </c>
      <c r="S440" s="222"/>
      <c r="T440" s="216" t="s">
        <v>1636</v>
      </c>
    </row>
    <row r="441" spans="1:20">
      <c r="A441" s="216">
        <f t="shared" si="6"/>
        <v>434</v>
      </c>
      <c r="B441" s="217">
        <v>91</v>
      </c>
      <c r="C441" s="218" t="s">
        <v>1637</v>
      </c>
      <c r="D441" s="219" t="s">
        <v>1638</v>
      </c>
      <c r="E441" s="220" t="s">
        <v>1639</v>
      </c>
      <c r="F441" s="219" t="s">
        <v>1212</v>
      </c>
      <c r="G441" s="220" t="s">
        <v>1210</v>
      </c>
      <c r="H441" s="219" t="s">
        <v>1210</v>
      </c>
      <c r="I441" s="220" t="s">
        <v>1210</v>
      </c>
      <c r="J441" s="219" t="s">
        <v>1210</v>
      </c>
      <c r="K441" s="221" t="s">
        <v>1210</v>
      </c>
      <c r="L441" s="219" t="s">
        <v>1210</v>
      </c>
      <c r="M441" s="221" t="s">
        <v>1210</v>
      </c>
      <c r="N441" s="219" t="s">
        <v>1210</v>
      </c>
      <c r="O441" s="221" t="s">
        <v>1210</v>
      </c>
      <c r="P441" s="222" t="s">
        <v>1211</v>
      </c>
      <c r="Q441" s="223" t="s">
        <v>1212</v>
      </c>
      <c r="R441" s="223" t="s">
        <v>1212</v>
      </c>
      <c r="S441" s="222"/>
      <c r="T441" s="216"/>
    </row>
    <row r="442" spans="1:20">
      <c r="A442" s="216">
        <f t="shared" si="6"/>
        <v>435</v>
      </c>
      <c r="B442" s="224">
        <v>91</v>
      </c>
      <c r="C442" s="225" t="s">
        <v>1637</v>
      </c>
      <c r="D442" s="219" t="s">
        <v>1638</v>
      </c>
      <c r="E442" s="220" t="s">
        <v>1640</v>
      </c>
      <c r="F442" s="219" t="s">
        <v>1212</v>
      </c>
      <c r="G442" s="220" t="s">
        <v>1210</v>
      </c>
      <c r="H442" s="219" t="s">
        <v>1210</v>
      </c>
      <c r="I442" s="220" t="s">
        <v>1210</v>
      </c>
      <c r="J442" s="219" t="s">
        <v>1210</v>
      </c>
      <c r="K442" s="221" t="s">
        <v>1210</v>
      </c>
      <c r="L442" s="219" t="s">
        <v>1210</v>
      </c>
      <c r="M442" s="221" t="s">
        <v>1210</v>
      </c>
      <c r="N442" s="219" t="s">
        <v>1210</v>
      </c>
      <c r="O442" s="221" t="s">
        <v>1210</v>
      </c>
      <c r="P442" s="222" t="s">
        <v>1211</v>
      </c>
      <c r="Q442" s="223" t="s">
        <v>1212</v>
      </c>
      <c r="R442" s="223" t="s">
        <v>1212</v>
      </c>
      <c r="S442" s="222"/>
      <c r="T442" s="216"/>
    </row>
    <row r="443" spans="1:20">
      <c r="A443" s="216">
        <f t="shared" si="6"/>
        <v>436</v>
      </c>
      <c r="B443" s="224">
        <v>91</v>
      </c>
      <c r="C443" s="225" t="s">
        <v>1637</v>
      </c>
      <c r="D443" s="219" t="s">
        <v>1638</v>
      </c>
      <c r="E443" s="220" t="s">
        <v>1641</v>
      </c>
      <c r="F443" s="219" t="s">
        <v>1212</v>
      </c>
      <c r="G443" s="220" t="s">
        <v>1210</v>
      </c>
      <c r="H443" s="219" t="s">
        <v>1210</v>
      </c>
      <c r="I443" s="220" t="s">
        <v>1210</v>
      </c>
      <c r="J443" s="219" t="s">
        <v>1210</v>
      </c>
      <c r="K443" s="221" t="s">
        <v>1210</v>
      </c>
      <c r="L443" s="219" t="s">
        <v>1210</v>
      </c>
      <c r="M443" s="221" t="s">
        <v>1210</v>
      </c>
      <c r="N443" s="219" t="s">
        <v>1210</v>
      </c>
      <c r="O443" s="221" t="s">
        <v>1210</v>
      </c>
      <c r="P443" s="222" t="s">
        <v>1211</v>
      </c>
      <c r="Q443" s="223" t="s">
        <v>1212</v>
      </c>
      <c r="R443" s="223" t="s">
        <v>1212</v>
      </c>
      <c r="S443" s="222"/>
      <c r="T443" s="216"/>
    </row>
    <row r="444" spans="1:20">
      <c r="A444" s="216">
        <f t="shared" si="6"/>
        <v>437</v>
      </c>
      <c r="B444" s="224">
        <v>91</v>
      </c>
      <c r="C444" s="225" t="s">
        <v>1637</v>
      </c>
      <c r="D444" s="219" t="s">
        <v>1638</v>
      </c>
      <c r="E444" s="220" t="s">
        <v>1642</v>
      </c>
      <c r="F444" s="219" t="s">
        <v>1212</v>
      </c>
      <c r="G444" s="220" t="s">
        <v>1210</v>
      </c>
      <c r="H444" s="219" t="s">
        <v>1210</v>
      </c>
      <c r="I444" s="220" t="s">
        <v>1210</v>
      </c>
      <c r="J444" s="219" t="s">
        <v>1210</v>
      </c>
      <c r="K444" s="221" t="s">
        <v>1210</v>
      </c>
      <c r="L444" s="219" t="s">
        <v>1210</v>
      </c>
      <c r="M444" s="221" t="s">
        <v>1210</v>
      </c>
      <c r="N444" s="219" t="s">
        <v>1210</v>
      </c>
      <c r="O444" s="221" t="s">
        <v>1210</v>
      </c>
      <c r="P444" s="222" t="s">
        <v>1211</v>
      </c>
      <c r="Q444" s="223" t="s">
        <v>1212</v>
      </c>
      <c r="R444" s="223" t="s">
        <v>1212</v>
      </c>
      <c r="S444" s="222"/>
      <c r="T444" s="216"/>
    </row>
    <row r="445" spans="1:20">
      <c r="A445" s="216">
        <f t="shared" si="6"/>
        <v>438</v>
      </c>
      <c r="B445" s="224">
        <v>91</v>
      </c>
      <c r="C445" s="225" t="s">
        <v>1637</v>
      </c>
      <c r="D445" s="226" t="s">
        <v>1638</v>
      </c>
      <c r="E445" s="227" t="s">
        <v>1643</v>
      </c>
      <c r="F445" s="226" t="s">
        <v>1212</v>
      </c>
      <c r="G445" s="227" t="s">
        <v>1210</v>
      </c>
      <c r="H445" s="226" t="s">
        <v>1210</v>
      </c>
      <c r="I445" s="227" t="s">
        <v>1210</v>
      </c>
      <c r="J445" s="226" t="s">
        <v>1210</v>
      </c>
      <c r="K445" s="228" t="s">
        <v>1210</v>
      </c>
      <c r="L445" s="226" t="s">
        <v>1210</v>
      </c>
      <c r="M445" s="228" t="s">
        <v>1210</v>
      </c>
      <c r="N445" s="226" t="s">
        <v>1210</v>
      </c>
      <c r="O445" s="228" t="s">
        <v>1210</v>
      </c>
      <c r="P445" s="229" t="s">
        <v>1216</v>
      </c>
      <c r="Q445" s="230" t="s">
        <v>1637</v>
      </c>
      <c r="R445" s="230" t="s">
        <v>1644</v>
      </c>
      <c r="S445" s="222"/>
      <c r="T445" s="216"/>
    </row>
    <row r="446" spans="1:20">
      <c r="A446" s="216">
        <f t="shared" si="6"/>
        <v>439</v>
      </c>
      <c r="B446" s="224">
        <v>91</v>
      </c>
      <c r="C446" s="225" t="s">
        <v>1637</v>
      </c>
      <c r="D446" s="226" t="s">
        <v>575</v>
      </c>
      <c r="E446" s="227" t="s">
        <v>1645</v>
      </c>
      <c r="F446" s="226" t="s">
        <v>1210</v>
      </c>
      <c r="G446" s="227" t="s">
        <v>1210</v>
      </c>
      <c r="H446" s="226" t="s">
        <v>1210</v>
      </c>
      <c r="I446" s="227" t="s">
        <v>1210</v>
      </c>
      <c r="J446" s="226" t="s">
        <v>1210</v>
      </c>
      <c r="K446" s="228" t="s">
        <v>1210</v>
      </c>
      <c r="L446" s="226" t="s">
        <v>1210</v>
      </c>
      <c r="M446" s="228" t="s">
        <v>1210</v>
      </c>
      <c r="N446" s="226" t="s">
        <v>1210</v>
      </c>
      <c r="O446" s="228" t="s">
        <v>1210</v>
      </c>
      <c r="P446" s="229" t="s">
        <v>1216</v>
      </c>
      <c r="Q446" s="230" t="s">
        <v>1637</v>
      </c>
      <c r="R446" s="230" t="s">
        <v>1644</v>
      </c>
      <c r="S446" s="222"/>
      <c r="T446" s="216"/>
    </row>
    <row r="447" spans="1:20">
      <c r="A447" s="216">
        <f t="shared" si="6"/>
        <v>440</v>
      </c>
      <c r="B447" s="224">
        <v>91</v>
      </c>
      <c r="C447" s="225" t="s">
        <v>1637</v>
      </c>
      <c r="D447" s="226" t="s">
        <v>575</v>
      </c>
      <c r="E447" s="234" t="s">
        <v>1646</v>
      </c>
      <c r="F447" s="226" t="s">
        <v>1210</v>
      </c>
      <c r="G447" s="227" t="s">
        <v>1210</v>
      </c>
      <c r="H447" s="226" t="s">
        <v>1210</v>
      </c>
      <c r="I447" s="227" t="s">
        <v>1210</v>
      </c>
      <c r="J447" s="226" t="s">
        <v>1210</v>
      </c>
      <c r="K447" s="228" t="s">
        <v>1210</v>
      </c>
      <c r="L447" s="226" t="s">
        <v>1210</v>
      </c>
      <c r="M447" s="228" t="s">
        <v>1210</v>
      </c>
      <c r="N447" s="226" t="s">
        <v>1210</v>
      </c>
      <c r="O447" s="228" t="s">
        <v>1210</v>
      </c>
      <c r="P447" s="229" t="s">
        <v>1216</v>
      </c>
      <c r="Q447" s="230" t="s">
        <v>1637</v>
      </c>
      <c r="R447" s="230" t="s">
        <v>1644</v>
      </c>
      <c r="S447" s="222"/>
      <c r="T447" s="216"/>
    </row>
    <row r="448" spans="1:20">
      <c r="A448" s="216">
        <f t="shared" si="6"/>
        <v>441</v>
      </c>
      <c r="B448" s="224">
        <v>91</v>
      </c>
      <c r="C448" s="225" t="s">
        <v>1637</v>
      </c>
      <c r="D448" s="226" t="s">
        <v>575</v>
      </c>
      <c r="E448" s="227" t="s">
        <v>1647</v>
      </c>
      <c r="F448" s="226" t="s">
        <v>1210</v>
      </c>
      <c r="G448" s="227" t="s">
        <v>1210</v>
      </c>
      <c r="H448" s="226" t="s">
        <v>1210</v>
      </c>
      <c r="I448" s="227" t="s">
        <v>1210</v>
      </c>
      <c r="J448" s="226" t="s">
        <v>1210</v>
      </c>
      <c r="K448" s="228" t="s">
        <v>1210</v>
      </c>
      <c r="L448" s="226" t="s">
        <v>1210</v>
      </c>
      <c r="M448" s="228" t="s">
        <v>1210</v>
      </c>
      <c r="N448" s="226" t="s">
        <v>1210</v>
      </c>
      <c r="O448" s="228" t="s">
        <v>1210</v>
      </c>
      <c r="P448" s="229" t="s">
        <v>1216</v>
      </c>
      <c r="Q448" s="230" t="s">
        <v>1637</v>
      </c>
      <c r="R448" s="230" t="s">
        <v>1644</v>
      </c>
      <c r="S448" s="222"/>
      <c r="T448" s="216"/>
    </row>
    <row r="449" spans="1:20">
      <c r="A449" s="216">
        <f t="shared" si="6"/>
        <v>442</v>
      </c>
      <c r="B449" s="224">
        <v>91</v>
      </c>
      <c r="C449" s="225" t="s">
        <v>1637</v>
      </c>
      <c r="D449" s="226" t="s">
        <v>575</v>
      </c>
      <c r="E449" s="227" t="s">
        <v>1648</v>
      </c>
      <c r="F449" s="226" t="s">
        <v>1210</v>
      </c>
      <c r="G449" s="227" t="s">
        <v>1210</v>
      </c>
      <c r="H449" s="226" t="s">
        <v>1210</v>
      </c>
      <c r="I449" s="227" t="s">
        <v>1210</v>
      </c>
      <c r="J449" s="226" t="s">
        <v>1210</v>
      </c>
      <c r="K449" s="228" t="s">
        <v>1210</v>
      </c>
      <c r="L449" s="226" t="s">
        <v>1210</v>
      </c>
      <c r="M449" s="228" t="s">
        <v>1210</v>
      </c>
      <c r="N449" s="226" t="s">
        <v>1210</v>
      </c>
      <c r="O449" s="228" t="s">
        <v>1210</v>
      </c>
      <c r="P449" s="229" t="s">
        <v>1216</v>
      </c>
      <c r="Q449" s="230" t="s">
        <v>1637</v>
      </c>
      <c r="R449" s="230" t="s">
        <v>1644</v>
      </c>
      <c r="S449" s="222"/>
      <c r="T449" s="216"/>
    </row>
    <row r="450" spans="1:20">
      <c r="A450" s="216">
        <f t="shared" si="6"/>
        <v>443</v>
      </c>
      <c r="B450" s="224">
        <v>91</v>
      </c>
      <c r="C450" s="225" t="s">
        <v>1637</v>
      </c>
      <c r="D450" s="219" t="s">
        <v>575</v>
      </c>
      <c r="E450" s="220" t="s">
        <v>1649</v>
      </c>
      <c r="F450" s="219" t="s">
        <v>1212</v>
      </c>
      <c r="G450" s="220" t="s">
        <v>1210</v>
      </c>
      <c r="H450" s="219" t="s">
        <v>1210</v>
      </c>
      <c r="I450" s="220" t="s">
        <v>1210</v>
      </c>
      <c r="J450" s="219"/>
      <c r="K450" s="221"/>
      <c r="L450" s="219"/>
      <c r="M450" s="221"/>
      <c r="N450" s="219"/>
      <c r="O450" s="221"/>
      <c r="P450" s="222" t="s">
        <v>1281</v>
      </c>
      <c r="Q450" s="223" t="s">
        <v>1212</v>
      </c>
      <c r="R450" s="223" t="s">
        <v>1212</v>
      </c>
      <c r="S450" s="222"/>
      <c r="T450" s="216"/>
    </row>
    <row r="451" spans="1:20">
      <c r="A451" s="216">
        <f t="shared" si="6"/>
        <v>444</v>
      </c>
      <c r="B451" s="224">
        <v>91</v>
      </c>
      <c r="C451" s="225" t="s">
        <v>1637</v>
      </c>
      <c r="D451" s="226" t="s">
        <v>1638</v>
      </c>
      <c r="E451" s="227" t="s">
        <v>1509</v>
      </c>
      <c r="F451" s="226" t="s">
        <v>1212</v>
      </c>
      <c r="G451" s="227" t="s">
        <v>1210</v>
      </c>
      <c r="H451" s="226" t="s">
        <v>1210</v>
      </c>
      <c r="I451" s="227" t="s">
        <v>1210</v>
      </c>
      <c r="J451" s="226" t="s">
        <v>1210</v>
      </c>
      <c r="K451" s="228" t="s">
        <v>1210</v>
      </c>
      <c r="L451" s="226" t="s">
        <v>1210</v>
      </c>
      <c r="M451" s="228" t="s">
        <v>1210</v>
      </c>
      <c r="N451" s="226" t="s">
        <v>1210</v>
      </c>
      <c r="O451" s="228" t="s">
        <v>1210</v>
      </c>
      <c r="P451" s="229" t="s">
        <v>1216</v>
      </c>
      <c r="Q451" s="230" t="s">
        <v>1637</v>
      </c>
      <c r="R451" s="230" t="s">
        <v>1644</v>
      </c>
      <c r="S451" s="222"/>
      <c r="T451" s="216"/>
    </row>
    <row r="452" spans="1:20">
      <c r="A452" s="216">
        <f t="shared" si="6"/>
        <v>445</v>
      </c>
      <c r="B452" s="231">
        <v>91</v>
      </c>
      <c r="C452" s="232" t="s">
        <v>1637</v>
      </c>
      <c r="D452" s="226" t="s">
        <v>1638</v>
      </c>
      <c r="E452" s="227" t="s">
        <v>1650</v>
      </c>
      <c r="F452" s="226" t="s">
        <v>1212</v>
      </c>
      <c r="G452" s="227" t="s">
        <v>1210</v>
      </c>
      <c r="H452" s="226" t="s">
        <v>1210</v>
      </c>
      <c r="I452" s="227" t="s">
        <v>1210</v>
      </c>
      <c r="J452" s="226" t="s">
        <v>1210</v>
      </c>
      <c r="K452" s="228" t="s">
        <v>1210</v>
      </c>
      <c r="L452" s="226" t="s">
        <v>1210</v>
      </c>
      <c r="M452" s="228" t="s">
        <v>1210</v>
      </c>
      <c r="N452" s="226" t="s">
        <v>1210</v>
      </c>
      <c r="O452" s="228" t="s">
        <v>1210</v>
      </c>
      <c r="P452" s="229" t="s">
        <v>1216</v>
      </c>
      <c r="Q452" s="230" t="s">
        <v>1637</v>
      </c>
      <c r="R452" s="230" t="s">
        <v>1644</v>
      </c>
      <c r="S452" s="222"/>
      <c r="T452" s="216"/>
    </row>
    <row r="453" spans="1:20">
      <c r="A453" s="216">
        <f t="shared" si="6"/>
        <v>446</v>
      </c>
      <c r="B453" s="217" t="s">
        <v>1651</v>
      </c>
      <c r="C453" s="218" t="s">
        <v>1652</v>
      </c>
      <c r="D453" s="226" t="s">
        <v>1638</v>
      </c>
      <c r="E453" s="227" t="s">
        <v>1369</v>
      </c>
      <c r="F453" s="226" t="s">
        <v>1653</v>
      </c>
      <c r="G453" s="227">
        <v>20200401</v>
      </c>
      <c r="H453" s="226" t="s">
        <v>1210</v>
      </c>
      <c r="I453" s="227" t="s">
        <v>1210</v>
      </c>
      <c r="J453" s="226" t="s">
        <v>1210</v>
      </c>
      <c r="K453" s="228" t="s">
        <v>1210</v>
      </c>
      <c r="L453" s="226" t="s">
        <v>1210</v>
      </c>
      <c r="M453" s="228" t="s">
        <v>1210</v>
      </c>
      <c r="N453" s="226" t="s">
        <v>1210</v>
      </c>
      <c r="O453" s="228" t="s">
        <v>1210</v>
      </c>
      <c r="P453" s="229" t="s">
        <v>1216</v>
      </c>
      <c r="Q453" s="230" t="s">
        <v>1652</v>
      </c>
      <c r="R453" s="230" t="s">
        <v>1654</v>
      </c>
      <c r="S453" s="222"/>
      <c r="T453" s="216" t="s">
        <v>1655</v>
      </c>
    </row>
    <row r="454" spans="1:20">
      <c r="A454" s="216">
        <f t="shared" si="6"/>
        <v>447</v>
      </c>
      <c r="B454" s="224" t="s">
        <v>1656</v>
      </c>
      <c r="C454" s="225" t="s">
        <v>1652</v>
      </c>
      <c r="D454" s="219" t="s">
        <v>1638</v>
      </c>
      <c r="E454" s="220" t="s">
        <v>1369</v>
      </c>
      <c r="F454" s="219" t="s">
        <v>1653</v>
      </c>
      <c r="G454" s="220" t="s">
        <v>1369</v>
      </c>
      <c r="H454" s="219" t="s">
        <v>1210</v>
      </c>
      <c r="I454" s="220" t="s">
        <v>1210</v>
      </c>
      <c r="J454" s="219" t="s">
        <v>1210</v>
      </c>
      <c r="K454" s="221" t="s">
        <v>1210</v>
      </c>
      <c r="L454" s="219" t="s">
        <v>1210</v>
      </c>
      <c r="M454" s="221" t="s">
        <v>1210</v>
      </c>
      <c r="N454" s="219" t="s">
        <v>1210</v>
      </c>
      <c r="O454" s="221" t="s">
        <v>1210</v>
      </c>
      <c r="P454" s="222" t="s">
        <v>1211</v>
      </c>
      <c r="Q454" s="223" t="s">
        <v>1212</v>
      </c>
      <c r="R454" s="223" t="s">
        <v>1212</v>
      </c>
      <c r="S454" s="222"/>
      <c r="T454" s="216"/>
    </row>
    <row r="455" spans="1:20">
      <c r="A455" s="216">
        <f t="shared" si="6"/>
        <v>448</v>
      </c>
      <c r="B455" s="224" t="s">
        <v>1656</v>
      </c>
      <c r="C455" s="225" t="s">
        <v>1652</v>
      </c>
      <c r="D455" s="219" t="s">
        <v>1638</v>
      </c>
      <c r="E455" s="220" t="s">
        <v>1270</v>
      </c>
      <c r="F455" s="219" t="s">
        <v>1653</v>
      </c>
      <c r="G455" s="220">
        <v>20200401</v>
      </c>
      <c r="H455" s="219" t="s">
        <v>1210</v>
      </c>
      <c r="I455" s="220" t="s">
        <v>1210</v>
      </c>
      <c r="J455" s="219" t="s">
        <v>1210</v>
      </c>
      <c r="K455" s="221" t="s">
        <v>1210</v>
      </c>
      <c r="L455" s="219" t="s">
        <v>1210</v>
      </c>
      <c r="M455" s="221" t="s">
        <v>1210</v>
      </c>
      <c r="N455" s="219" t="s">
        <v>1210</v>
      </c>
      <c r="O455" s="221" t="s">
        <v>1210</v>
      </c>
      <c r="P455" s="222" t="s">
        <v>1211</v>
      </c>
      <c r="Q455" s="223" t="s">
        <v>1212</v>
      </c>
      <c r="R455" s="223" t="s">
        <v>1212</v>
      </c>
      <c r="S455" s="222"/>
      <c r="T455" s="216"/>
    </row>
    <row r="456" spans="1:20">
      <c r="A456" s="216">
        <f t="shared" si="6"/>
        <v>449</v>
      </c>
      <c r="B456" s="231" t="s">
        <v>1656</v>
      </c>
      <c r="C456" s="232" t="s">
        <v>1652</v>
      </c>
      <c r="D456" s="226" t="s">
        <v>1638</v>
      </c>
      <c r="E456" s="227" t="s">
        <v>1270</v>
      </c>
      <c r="F456" s="226" t="s">
        <v>1653</v>
      </c>
      <c r="G456" s="227" t="s">
        <v>1369</v>
      </c>
      <c r="H456" s="226" t="s">
        <v>1210</v>
      </c>
      <c r="I456" s="227" t="s">
        <v>1210</v>
      </c>
      <c r="J456" s="226" t="s">
        <v>1210</v>
      </c>
      <c r="K456" s="228" t="s">
        <v>1210</v>
      </c>
      <c r="L456" s="226" t="s">
        <v>1210</v>
      </c>
      <c r="M456" s="228" t="s">
        <v>1210</v>
      </c>
      <c r="N456" s="226" t="s">
        <v>1210</v>
      </c>
      <c r="O456" s="228" t="s">
        <v>1210</v>
      </c>
      <c r="P456" s="229" t="s">
        <v>1216</v>
      </c>
      <c r="Q456" s="230" t="s">
        <v>1652</v>
      </c>
      <c r="R456" s="230" t="s">
        <v>1654</v>
      </c>
      <c r="S456" s="222"/>
      <c r="T456" s="216" t="s">
        <v>1657</v>
      </c>
    </row>
    <row r="457" spans="1:20">
      <c r="A457" s="216">
        <f t="shared" si="6"/>
        <v>450</v>
      </c>
      <c r="B457" s="217">
        <v>94</v>
      </c>
      <c r="C457" s="218" t="s">
        <v>1658</v>
      </c>
      <c r="D457" s="219" t="s">
        <v>1659</v>
      </c>
      <c r="E457" s="220" t="s">
        <v>1660</v>
      </c>
      <c r="F457" s="219" t="s">
        <v>1212</v>
      </c>
      <c r="G457" s="220" t="s">
        <v>1210</v>
      </c>
      <c r="H457" s="219" t="s">
        <v>1210</v>
      </c>
      <c r="I457" s="220" t="s">
        <v>1210</v>
      </c>
      <c r="J457" s="219" t="s">
        <v>1210</v>
      </c>
      <c r="K457" s="221" t="s">
        <v>1210</v>
      </c>
      <c r="L457" s="219" t="s">
        <v>1210</v>
      </c>
      <c r="M457" s="221" t="s">
        <v>1210</v>
      </c>
      <c r="N457" s="219" t="s">
        <v>1210</v>
      </c>
      <c r="O457" s="221" t="s">
        <v>1210</v>
      </c>
      <c r="P457" s="222" t="s">
        <v>1211</v>
      </c>
      <c r="Q457" s="223" t="s">
        <v>1212</v>
      </c>
      <c r="R457" s="223" t="s">
        <v>1212</v>
      </c>
      <c r="S457" s="222"/>
      <c r="T457" s="216"/>
    </row>
    <row r="458" spans="1:20">
      <c r="A458" s="216">
        <f t="shared" si="6"/>
        <v>451</v>
      </c>
      <c r="B458" s="224">
        <v>94</v>
      </c>
      <c r="C458" s="225" t="s">
        <v>1658</v>
      </c>
      <c r="D458" s="219" t="s">
        <v>1659</v>
      </c>
      <c r="E458" s="220" t="s">
        <v>1661</v>
      </c>
      <c r="F458" s="219" t="s">
        <v>1212</v>
      </c>
      <c r="G458" s="220" t="s">
        <v>1210</v>
      </c>
      <c r="H458" s="219" t="s">
        <v>1210</v>
      </c>
      <c r="I458" s="220" t="s">
        <v>1210</v>
      </c>
      <c r="J458" s="219" t="s">
        <v>1210</v>
      </c>
      <c r="K458" s="221" t="s">
        <v>1210</v>
      </c>
      <c r="L458" s="219" t="s">
        <v>1210</v>
      </c>
      <c r="M458" s="221" t="s">
        <v>1210</v>
      </c>
      <c r="N458" s="219" t="s">
        <v>1210</v>
      </c>
      <c r="O458" s="221" t="s">
        <v>1210</v>
      </c>
      <c r="P458" s="222" t="s">
        <v>1211</v>
      </c>
      <c r="Q458" s="223" t="s">
        <v>1212</v>
      </c>
      <c r="R458" s="223" t="s">
        <v>1212</v>
      </c>
      <c r="S458" s="222"/>
      <c r="T458" s="216"/>
    </row>
    <row r="459" spans="1:20">
      <c r="A459" s="216">
        <f t="shared" si="6"/>
        <v>452</v>
      </c>
      <c r="B459" s="224">
        <v>94</v>
      </c>
      <c r="C459" s="225" t="s">
        <v>1658</v>
      </c>
      <c r="D459" s="219" t="s">
        <v>1659</v>
      </c>
      <c r="E459" s="220" t="s">
        <v>1662</v>
      </c>
      <c r="F459" s="219" t="s">
        <v>1212</v>
      </c>
      <c r="G459" s="220" t="s">
        <v>1210</v>
      </c>
      <c r="H459" s="219" t="s">
        <v>1210</v>
      </c>
      <c r="I459" s="220" t="s">
        <v>1210</v>
      </c>
      <c r="J459" s="219" t="s">
        <v>1210</v>
      </c>
      <c r="K459" s="221" t="s">
        <v>1210</v>
      </c>
      <c r="L459" s="219" t="s">
        <v>1210</v>
      </c>
      <c r="M459" s="221" t="s">
        <v>1210</v>
      </c>
      <c r="N459" s="219" t="s">
        <v>1210</v>
      </c>
      <c r="O459" s="221" t="s">
        <v>1210</v>
      </c>
      <c r="P459" s="222" t="s">
        <v>1211</v>
      </c>
      <c r="Q459" s="223" t="s">
        <v>1212</v>
      </c>
      <c r="R459" s="223" t="s">
        <v>1212</v>
      </c>
      <c r="S459" s="222"/>
      <c r="T459" s="216"/>
    </row>
    <row r="460" spans="1:20">
      <c r="A460" s="216">
        <f t="shared" si="6"/>
        <v>453</v>
      </c>
      <c r="B460" s="224">
        <v>94</v>
      </c>
      <c r="C460" s="225" t="s">
        <v>1658</v>
      </c>
      <c r="D460" s="219" t="s">
        <v>1659</v>
      </c>
      <c r="E460" s="220" t="s">
        <v>1272</v>
      </c>
      <c r="F460" s="219" t="s">
        <v>1212</v>
      </c>
      <c r="G460" s="220" t="s">
        <v>1210</v>
      </c>
      <c r="H460" s="219" t="s">
        <v>1210</v>
      </c>
      <c r="I460" s="220" t="s">
        <v>1210</v>
      </c>
      <c r="J460" s="219" t="s">
        <v>1210</v>
      </c>
      <c r="K460" s="221" t="s">
        <v>1210</v>
      </c>
      <c r="L460" s="219" t="s">
        <v>1210</v>
      </c>
      <c r="M460" s="221" t="s">
        <v>1210</v>
      </c>
      <c r="N460" s="219" t="s">
        <v>1210</v>
      </c>
      <c r="O460" s="221" t="s">
        <v>1210</v>
      </c>
      <c r="P460" s="222" t="s">
        <v>1211</v>
      </c>
      <c r="Q460" s="223" t="s">
        <v>1212</v>
      </c>
      <c r="R460" s="223" t="s">
        <v>1212</v>
      </c>
      <c r="S460" s="222"/>
      <c r="T460" s="216"/>
    </row>
    <row r="461" spans="1:20">
      <c r="A461" s="216">
        <f t="shared" si="6"/>
        <v>454</v>
      </c>
      <c r="B461" s="224">
        <v>94</v>
      </c>
      <c r="C461" s="225" t="s">
        <v>1658</v>
      </c>
      <c r="D461" s="226" t="s">
        <v>583</v>
      </c>
      <c r="E461" s="227" t="s">
        <v>1663</v>
      </c>
      <c r="F461" s="226" t="s">
        <v>1212</v>
      </c>
      <c r="G461" s="227" t="s">
        <v>1210</v>
      </c>
      <c r="H461" s="226" t="s">
        <v>1210</v>
      </c>
      <c r="I461" s="227" t="s">
        <v>1210</v>
      </c>
      <c r="J461" s="226" t="s">
        <v>1210</v>
      </c>
      <c r="K461" s="228" t="s">
        <v>1210</v>
      </c>
      <c r="L461" s="226" t="s">
        <v>1210</v>
      </c>
      <c r="M461" s="228" t="s">
        <v>1210</v>
      </c>
      <c r="N461" s="226" t="s">
        <v>1210</v>
      </c>
      <c r="O461" s="228" t="s">
        <v>1210</v>
      </c>
      <c r="P461" s="229" t="s">
        <v>1216</v>
      </c>
      <c r="Q461" s="230" t="s">
        <v>1658</v>
      </c>
      <c r="R461" s="230" t="s">
        <v>1664</v>
      </c>
      <c r="S461" s="222"/>
      <c r="T461" s="216"/>
    </row>
    <row r="462" spans="1:20">
      <c r="A462" s="216">
        <f t="shared" si="6"/>
        <v>455</v>
      </c>
      <c r="B462" s="224">
        <v>94</v>
      </c>
      <c r="C462" s="225" t="s">
        <v>1658</v>
      </c>
      <c r="D462" s="226" t="s">
        <v>583</v>
      </c>
      <c r="E462" s="227" t="s">
        <v>1665</v>
      </c>
      <c r="F462" s="226" t="s">
        <v>1210</v>
      </c>
      <c r="G462" s="227" t="s">
        <v>1210</v>
      </c>
      <c r="H462" s="226" t="s">
        <v>1210</v>
      </c>
      <c r="I462" s="227" t="s">
        <v>1210</v>
      </c>
      <c r="J462" s="226" t="s">
        <v>1210</v>
      </c>
      <c r="K462" s="228" t="s">
        <v>1210</v>
      </c>
      <c r="L462" s="226" t="s">
        <v>1210</v>
      </c>
      <c r="M462" s="228" t="s">
        <v>1210</v>
      </c>
      <c r="N462" s="226" t="s">
        <v>1210</v>
      </c>
      <c r="O462" s="228" t="s">
        <v>1210</v>
      </c>
      <c r="P462" s="229" t="s">
        <v>1216</v>
      </c>
      <c r="Q462" s="230" t="s">
        <v>1658</v>
      </c>
      <c r="R462" s="230" t="s">
        <v>1664</v>
      </c>
      <c r="S462" s="222"/>
      <c r="T462" s="216"/>
    </row>
    <row r="463" spans="1:20">
      <c r="A463" s="216">
        <f t="shared" si="6"/>
        <v>456</v>
      </c>
      <c r="B463" s="224">
        <v>94</v>
      </c>
      <c r="C463" s="225" t="s">
        <v>1658</v>
      </c>
      <c r="D463" s="226" t="s">
        <v>583</v>
      </c>
      <c r="E463" s="234" t="s">
        <v>1666</v>
      </c>
      <c r="F463" s="226" t="s">
        <v>1210</v>
      </c>
      <c r="G463" s="227" t="s">
        <v>1210</v>
      </c>
      <c r="H463" s="226" t="s">
        <v>1210</v>
      </c>
      <c r="I463" s="227" t="s">
        <v>1210</v>
      </c>
      <c r="J463" s="226" t="s">
        <v>1210</v>
      </c>
      <c r="K463" s="228" t="s">
        <v>1210</v>
      </c>
      <c r="L463" s="226" t="s">
        <v>1210</v>
      </c>
      <c r="M463" s="228" t="s">
        <v>1210</v>
      </c>
      <c r="N463" s="226" t="s">
        <v>1210</v>
      </c>
      <c r="O463" s="228" t="s">
        <v>1210</v>
      </c>
      <c r="P463" s="229" t="s">
        <v>1216</v>
      </c>
      <c r="Q463" s="230" t="s">
        <v>1658</v>
      </c>
      <c r="R463" s="230" t="s">
        <v>1664</v>
      </c>
      <c r="S463" s="222"/>
      <c r="T463" s="216"/>
    </row>
    <row r="464" spans="1:20">
      <c r="A464" s="216">
        <f t="shared" si="6"/>
        <v>457</v>
      </c>
      <c r="B464" s="224">
        <v>94</v>
      </c>
      <c r="C464" s="225" t="s">
        <v>1658</v>
      </c>
      <c r="D464" s="226" t="s">
        <v>583</v>
      </c>
      <c r="E464" s="227" t="s">
        <v>1667</v>
      </c>
      <c r="F464" s="226" t="s">
        <v>1210</v>
      </c>
      <c r="G464" s="227" t="s">
        <v>1210</v>
      </c>
      <c r="H464" s="226" t="s">
        <v>1210</v>
      </c>
      <c r="I464" s="227" t="s">
        <v>1210</v>
      </c>
      <c r="J464" s="226" t="s">
        <v>1210</v>
      </c>
      <c r="K464" s="228" t="s">
        <v>1210</v>
      </c>
      <c r="L464" s="226" t="s">
        <v>1210</v>
      </c>
      <c r="M464" s="228" t="s">
        <v>1210</v>
      </c>
      <c r="N464" s="226" t="s">
        <v>1210</v>
      </c>
      <c r="O464" s="228" t="s">
        <v>1210</v>
      </c>
      <c r="P464" s="229" t="s">
        <v>1216</v>
      </c>
      <c r="Q464" s="230" t="s">
        <v>1658</v>
      </c>
      <c r="R464" s="230" t="s">
        <v>1664</v>
      </c>
      <c r="S464" s="222"/>
      <c r="T464" s="216"/>
    </row>
    <row r="465" spans="1:20">
      <c r="A465" s="216">
        <f t="shared" si="6"/>
        <v>458</v>
      </c>
      <c r="B465" s="224">
        <v>94</v>
      </c>
      <c r="C465" s="225" t="s">
        <v>1658</v>
      </c>
      <c r="D465" s="226" t="s">
        <v>583</v>
      </c>
      <c r="E465" s="227" t="s">
        <v>1668</v>
      </c>
      <c r="F465" s="226" t="s">
        <v>1210</v>
      </c>
      <c r="G465" s="227" t="s">
        <v>1210</v>
      </c>
      <c r="H465" s="226" t="s">
        <v>1210</v>
      </c>
      <c r="I465" s="227" t="s">
        <v>1210</v>
      </c>
      <c r="J465" s="226" t="s">
        <v>1210</v>
      </c>
      <c r="K465" s="228" t="s">
        <v>1210</v>
      </c>
      <c r="L465" s="226" t="s">
        <v>1210</v>
      </c>
      <c r="M465" s="228" t="s">
        <v>1210</v>
      </c>
      <c r="N465" s="226" t="s">
        <v>1210</v>
      </c>
      <c r="O465" s="228" t="s">
        <v>1210</v>
      </c>
      <c r="P465" s="229" t="s">
        <v>1216</v>
      </c>
      <c r="Q465" s="230" t="s">
        <v>1658</v>
      </c>
      <c r="R465" s="230" t="s">
        <v>1664</v>
      </c>
      <c r="S465" s="222"/>
      <c r="T465" s="216"/>
    </row>
    <row r="466" spans="1:20">
      <c r="A466" s="216">
        <f t="shared" si="6"/>
        <v>459</v>
      </c>
      <c r="B466" s="224">
        <v>94</v>
      </c>
      <c r="C466" s="225" t="s">
        <v>1658</v>
      </c>
      <c r="D466" s="219" t="s">
        <v>583</v>
      </c>
      <c r="E466" s="220" t="s">
        <v>1270</v>
      </c>
      <c r="F466" s="219" t="s">
        <v>1212</v>
      </c>
      <c r="G466" s="220" t="s">
        <v>1210</v>
      </c>
      <c r="H466" s="219" t="s">
        <v>1210</v>
      </c>
      <c r="I466" s="220" t="s">
        <v>1210</v>
      </c>
      <c r="J466" s="219" t="s">
        <v>1210</v>
      </c>
      <c r="K466" s="221" t="s">
        <v>1210</v>
      </c>
      <c r="L466" s="219" t="s">
        <v>1210</v>
      </c>
      <c r="M466" s="221" t="s">
        <v>1210</v>
      </c>
      <c r="N466" s="219" t="s">
        <v>1210</v>
      </c>
      <c r="O466" s="221" t="s">
        <v>1210</v>
      </c>
      <c r="P466" s="222" t="s">
        <v>1281</v>
      </c>
      <c r="Q466" s="223" t="s">
        <v>1212</v>
      </c>
      <c r="R466" s="223" t="s">
        <v>1212</v>
      </c>
      <c r="S466" s="222"/>
      <c r="T466" s="216"/>
    </row>
    <row r="467" spans="1:20">
      <c r="A467" s="216">
        <f t="shared" si="6"/>
        <v>460</v>
      </c>
      <c r="B467" s="224">
        <v>94</v>
      </c>
      <c r="C467" s="225" t="s">
        <v>1658</v>
      </c>
      <c r="D467" s="226" t="s">
        <v>1659</v>
      </c>
      <c r="E467" s="227" t="s">
        <v>1454</v>
      </c>
      <c r="F467" s="226" t="s">
        <v>1212</v>
      </c>
      <c r="G467" s="227" t="s">
        <v>1210</v>
      </c>
      <c r="H467" s="226" t="s">
        <v>1210</v>
      </c>
      <c r="I467" s="227" t="s">
        <v>1210</v>
      </c>
      <c r="J467" s="226" t="s">
        <v>1210</v>
      </c>
      <c r="K467" s="228" t="s">
        <v>1210</v>
      </c>
      <c r="L467" s="226" t="s">
        <v>1210</v>
      </c>
      <c r="M467" s="228" t="s">
        <v>1210</v>
      </c>
      <c r="N467" s="226" t="s">
        <v>1210</v>
      </c>
      <c r="O467" s="228" t="s">
        <v>1210</v>
      </c>
      <c r="P467" s="229" t="s">
        <v>1216</v>
      </c>
      <c r="Q467" s="230" t="s">
        <v>1658</v>
      </c>
      <c r="R467" s="230" t="s">
        <v>1664</v>
      </c>
      <c r="S467" s="222"/>
      <c r="T467" s="216"/>
    </row>
    <row r="468" spans="1:20">
      <c r="A468" s="216">
        <f t="shared" si="6"/>
        <v>461</v>
      </c>
      <c r="B468" s="231">
        <v>94</v>
      </c>
      <c r="C468" s="232" t="s">
        <v>1658</v>
      </c>
      <c r="D468" s="226" t="s">
        <v>1659</v>
      </c>
      <c r="E468" s="227" t="s">
        <v>1669</v>
      </c>
      <c r="F468" s="226" t="s">
        <v>1212</v>
      </c>
      <c r="G468" s="227" t="s">
        <v>1210</v>
      </c>
      <c r="H468" s="226" t="s">
        <v>1210</v>
      </c>
      <c r="I468" s="227" t="s">
        <v>1210</v>
      </c>
      <c r="J468" s="226" t="s">
        <v>1210</v>
      </c>
      <c r="K468" s="228" t="s">
        <v>1210</v>
      </c>
      <c r="L468" s="226" t="s">
        <v>1210</v>
      </c>
      <c r="M468" s="228" t="s">
        <v>1210</v>
      </c>
      <c r="N468" s="226" t="s">
        <v>1210</v>
      </c>
      <c r="O468" s="228" t="s">
        <v>1210</v>
      </c>
      <c r="P468" s="229" t="s">
        <v>1216</v>
      </c>
      <c r="Q468" s="230" t="s">
        <v>1658</v>
      </c>
      <c r="R468" s="230" t="s">
        <v>1664</v>
      </c>
      <c r="S468" s="222"/>
      <c r="T468" s="216"/>
    </row>
    <row r="469" spans="1:20">
      <c r="A469" s="216">
        <f t="shared" si="6"/>
        <v>462</v>
      </c>
      <c r="B469" s="217" t="s">
        <v>1670</v>
      </c>
      <c r="C469" s="218" t="s">
        <v>1671</v>
      </c>
      <c r="D469" s="226" t="s">
        <v>1659</v>
      </c>
      <c r="E469" s="227" t="s">
        <v>1369</v>
      </c>
      <c r="F469" s="226" t="s">
        <v>1672</v>
      </c>
      <c r="G469" s="227">
        <v>20200401</v>
      </c>
      <c r="H469" s="226" t="s">
        <v>1210</v>
      </c>
      <c r="I469" s="227" t="s">
        <v>1210</v>
      </c>
      <c r="J469" s="226" t="s">
        <v>1210</v>
      </c>
      <c r="K469" s="228" t="s">
        <v>1210</v>
      </c>
      <c r="L469" s="226" t="s">
        <v>1210</v>
      </c>
      <c r="M469" s="228" t="s">
        <v>1210</v>
      </c>
      <c r="N469" s="226" t="s">
        <v>1210</v>
      </c>
      <c r="O469" s="228" t="s">
        <v>1210</v>
      </c>
      <c r="P469" s="229" t="s">
        <v>1216</v>
      </c>
      <c r="Q469" s="230" t="s">
        <v>1671</v>
      </c>
      <c r="R469" s="230" t="s">
        <v>1673</v>
      </c>
      <c r="S469" s="222"/>
      <c r="T469" s="216" t="s">
        <v>1674</v>
      </c>
    </row>
    <row r="470" spans="1:20">
      <c r="A470" s="216">
        <f t="shared" si="6"/>
        <v>463</v>
      </c>
      <c r="B470" s="224" t="s">
        <v>1675</v>
      </c>
      <c r="C470" s="225" t="s">
        <v>1671</v>
      </c>
      <c r="D470" s="219" t="s">
        <v>1659</v>
      </c>
      <c r="E470" s="220" t="s">
        <v>1369</v>
      </c>
      <c r="F470" s="219" t="s">
        <v>1672</v>
      </c>
      <c r="G470" s="220" t="s">
        <v>1369</v>
      </c>
      <c r="H470" s="219" t="s">
        <v>1210</v>
      </c>
      <c r="I470" s="220" t="s">
        <v>1210</v>
      </c>
      <c r="J470" s="219" t="s">
        <v>1210</v>
      </c>
      <c r="K470" s="221" t="s">
        <v>1210</v>
      </c>
      <c r="L470" s="219" t="s">
        <v>1210</v>
      </c>
      <c r="M470" s="221" t="s">
        <v>1210</v>
      </c>
      <c r="N470" s="219" t="s">
        <v>1210</v>
      </c>
      <c r="O470" s="221" t="s">
        <v>1210</v>
      </c>
      <c r="P470" s="222" t="s">
        <v>1211</v>
      </c>
      <c r="Q470" s="223" t="s">
        <v>1212</v>
      </c>
      <c r="R470" s="223" t="s">
        <v>1212</v>
      </c>
      <c r="S470" s="222"/>
      <c r="T470" s="216"/>
    </row>
    <row r="471" spans="1:20">
      <c r="A471" s="216">
        <f t="shared" si="6"/>
        <v>464</v>
      </c>
      <c r="B471" s="224" t="s">
        <v>1675</v>
      </c>
      <c r="C471" s="225" t="s">
        <v>1671</v>
      </c>
      <c r="D471" s="219" t="s">
        <v>1659</v>
      </c>
      <c r="E471" s="220" t="s">
        <v>1272</v>
      </c>
      <c r="F471" s="219" t="s">
        <v>1672</v>
      </c>
      <c r="G471" s="220">
        <v>20200401</v>
      </c>
      <c r="H471" s="219" t="s">
        <v>1210</v>
      </c>
      <c r="I471" s="220" t="s">
        <v>1210</v>
      </c>
      <c r="J471" s="219" t="s">
        <v>1210</v>
      </c>
      <c r="K471" s="221" t="s">
        <v>1210</v>
      </c>
      <c r="L471" s="219" t="s">
        <v>1210</v>
      </c>
      <c r="M471" s="221" t="s">
        <v>1210</v>
      </c>
      <c r="N471" s="219" t="s">
        <v>1210</v>
      </c>
      <c r="O471" s="221" t="s">
        <v>1210</v>
      </c>
      <c r="P471" s="222" t="s">
        <v>1211</v>
      </c>
      <c r="Q471" s="223" t="s">
        <v>1212</v>
      </c>
      <c r="R471" s="223" t="s">
        <v>1212</v>
      </c>
      <c r="S471" s="222"/>
      <c r="T471" s="216"/>
    </row>
    <row r="472" spans="1:20">
      <c r="A472" s="216">
        <f t="shared" si="6"/>
        <v>465</v>
      </c>
      <c r="B472" s="231" t="s">
        <v>1675</v>
      </c>
      <c r="C472" s="232" t="s">
        <v>1671</v>
      </c>
      <c r="D472" s="226" t="s">
        <v>1659</v>
      </c>
      <c r="E472" s="227" t="s">
        <v>1272</v>
      </c>
      <c r="F472" s="226" t="s">
        <v>1672</v>
      </c>
      <c r="G472" s="227" t="s">
        <v>1369</v>
      </c>
      <c r="H472" s="226" t="s">
        <v>1210</v>
      </c>
      <c r="I472" s="227" t="s">
        <v>1210</v>
      </c>
      <c r="J472" s="226" t="s">
        <v>1210</v>
      </c>
      <c r="K472" s="228" t="s">
        <v>1210</v>
      </c>
      <c r="L472" s="226" t="s">
        <v>1210</v>
      </c>
      <c r="M472" s="228" t="s">
        <v>1210</v>
      </c>
      <c r="N472" s="226" t="s">
        <v>1210</v>
      </c>
      <c r="O472" s="228" t="s">
        <v>1210</v>
      </c>
      <c r="P472" s="229" t="s">
        <v>1216</v>
      </c>
      <c r="Q472" s="230" t="s">
        <v>1671</v>
      </c>
      <c r="R472" s="230" t="s">
        <v>1673</v>
      </c>
      <c r="S472" s="222"/>
      <c r="T472" s="216" t="s">
        <v>1676</v>
      </c>
    </row>
    <row r="473" spans="1:20">
      <c r="A473" s="216">
        <f t="shared" si="6"/>
        <v>466</v>
      </c>
      <c r="B473" s="217">
        <v>100</v>
      </c>
      <c r="C473" s="218" t="s">
        <v>1677</v>
      </c>
      <c r="D473" s="219" t="s">
        <v>1678</v>
      </c>
      <c r="E473" s="220" t="s">
        <v>1546</v>
      </c>
      <c r="F473" s="219" t="s">
        <v>1210</v>
      </c>
      <c r="G473" s="220" t="s">
        <v>1210</v>
      </c>
      <c r="H473" s="219" t="s">
        <v>1210</v>
      </c>
      <c r="I473" s="220" t="s">
        <v>1210</v>
      </c>
      <c r="J473" s="219" t="s">
        <v>1210</v>
      </c>
      <c r="K473" s="221" t="s">
        <v>1210</v>
      </c>
      <c r="L473" s="219" t="s">
        <v>1210</v>
      </c>
      <c r="M473" s="221" t="s">
        <v>1210</v>
      </c>
      <c r="N473" s="219" t="s">
        <v>1210</v>
      </c>
      <c r="O473" s="221" t="s">
        <v>1210</v>
      </c>
      <c r="P473" s="222" t="s">
        <v>1211</v>
      </c>
      <c r="Q473" s="223" t="s">
        <v>1212</v>
      </c>
      <c r="R473" s="223" t="s">
        <v>1212</v>
      </c>
      <c r="S473" s="222"/>
      <c r="T473" s="216"/>
    </row>
    <row r="474" spans="1:20">
      <c r="A474" s="216">
        <f t="shared" si="6"/>
        <v>467</v>
      </c>
      <c r="B474" s="224">
        <v>100</v>
      </c>
      <c r="C474" s="225" t="s">
        <v>1677</v>
      </c>
      <c r="D474" s="226" t="s">
        <v>1678</v>
      </c>
      <c r="E474" s="227" t="s">
        <v>1547</v>
      </c>
      <c r="F474" s="226" t="s">
        <v>1210</v>
      </c>
      <c r="G474" s="227" t="s">
        <v>1210</v>
      </c>
      <c r="H474" s="226" t="s">
        <v>1210</v>
      </c>
      <c r="I474" s="227" t="s">
        <v>1210</v>
      </c>
      <c r="J474" s="226" t="s">
        <v>1210</v>
      </c>
      <c r="K474" s="228" t="s">
        <v>1210</v>
      </c>
      <c r="L474" s="226" t="s">
        <v>1210</v>
      </c>
      <c r="M474" s="228" t="s">
        <v>1210</v>
      </c>
      <c r="N474" s="226" t="s">
        <v>1210</v>
      </c>
      <c r="O474" s="228" t="s">
        <v>1210</v>
      </c>
      <c r="P474" s="229" t="s">
        <v>1216</v>
      </c>
      <c r="Q474" s="230" t="s">
        <v>1677</v>
      </c>
      <c r="R474" s="230" t="s">
        <v>1679</v>
      </c>
      <c r="S474" s="222"/>
      <c r="T474" s="216"/>
    </row>
    <row r="475" spans="1:20">
      <c r="A475" s="216">
        <f t="shared" si="6"/>
        <v>468</v>
      </c>
      <c r="B475" s="231">
        <v>100</v>
      </c>
      <c r="C475" s="232" t="s">
        <v>1677</v>
      </c>
      <c r="D475" s="219" t="s">
        <v>1678</v>
      </c>
      <c r="E475" s="220" t="s">
        <v>1369</v>
      </c>
      <c r="F475" s="219" t="s">
        <v>1210</v>
      </c>
      <c r="G475" s="220" t="s">
        <v>1210</v>
      </c>
      <c r="H475" s="219" t="s">
        <v>1210</v>
      </c>
      <c r="I475" s="220" t="s">
        <v>1210</v>
      </c>
      <c r="J475" s="219" t="s">
        <v>1210</v>
      </c>
      <c r="K475" s="221" t="s">
        <v>1210</v>
      </c>
      <c r="L475" s="219" t="s">
        <v>1210</v>
      </c>
      <c r="M475" s="221" t="s">
        <v>1210</v>
      </c>
      <c r="N475" s="219" t="s">
        <v>1210</v>
      </c>
      <c r="O475" s="221" t="s">
        <v>1210</v>
      </c>
      <c r="P475" s="222" t="s">
        <v>1211</v>
      </c>
      <c r="Q475" s="223" t="s">
        <v>1212</v>
      </c>
      <c r="R475" s="223" t="s">
        <v>1212</v>
      </c>
      <c r="S475" s="222"/>
      <c r="T475" s="216"/>
    </row>
    <row r="476" spans="1:20">
      <c r="A476" s="216">
        <f t="shared" si="6"/>
        <v>469</v>
      </c>
      <c r="B476" s="217">
        <v>101</v>
      </c>
      <c r="C476" s="218" t="s">
        <v>1680</v>
      </c>
      <c r="D476" s="219" t="s">
        <v>1653</v>
      </c>
      <c r="E476" s="220" t="s">
        <v>1546</v>
      </c>
      <c r="F476" s="219" t="s">
        <v>1210</v>
      </c>
      <c r="G476" s="220" t="s">
        <v>1210</v>
      </c>
      <c r="H476" s="219" t="s">
        <v>1210</v>
      </c>
      <c r="I476" s="220" t="s">
        <v>1210</v>
      </c>
      <c r="J476" s="219" t="s">
        <v>1210</v>
      </c>
      <c r="K476" s="221" t="s">
        <v>1210</v>
      </c>
      <c r="L476" s="219" t="s">
        <v>1210</v>
      </c>
      <c r="M476" s="221" t="s">
        <v>1210</v>
      </c>
      <c r="N476" s="219" t="s">
        <v>1210</v>
      </c>
      <c r="O476" s="221" t="s">
        <v>1210</v>
      </c>
      <c r="P476" s="222" t="s">
        <v>1211</v>
      </c>
      <c r="Q476" s="223" t="s">
        <v>1212</v>
      </c>
      <c r="R476" s="223" t="s">
        <v>1212</v>
      </c>
      <c r="S476" s="222"/>
      <c r="T476" s="216"/>
    </row>
    <row r="477" spans="1:20">
      <c r="A477" s="216">
        <f t="shared" si="6"/>
        <v>470</v>
      </c>
      <c r="B477" s="224">
        <v>101</v>
      </c>
      <c r="C477" s="225" t="s">
        <v>1680</v>
      </c>
      <c r="D477" s="226" t="s">
        <v>1653</v>
      </c>
      <c r="E477" s="227" t="s">
        <v>1547</v>
      </c>
      <c r="F477" s="226" t="s">
        <v>1210</v>
      </c>
      <c r="G477" s="227" t="s">
        <v>1210</v>
      </c>
      <c r="H477" s="226" t="s">
        <v>1210</v>
      </c>
      <c r="I477" s="227" t="s">
        <v>1210</v>
      </c>
      <c r="J477" s="226" t="s">
        <v>1210</v>
      </c>
      <c r="K477" s="228" t="s">
        <v>1210</v>
      </c>
      <c r="L477" s="226" t="s">
        <v>1210</v>
      </c>
      <c r="M477" s="228" t="s">
        <v>1210</v>
      </c>
      <c r="N477" s="226" t="s">
        <v>1210</v>
      </c>
      <c r="O477" s="228" t="s">
        <v>1210</v>
      </c>
      <c r="P477" s="229" t="s">
        <v>1216</v>
      </c>
      <c r="Q477" s="230" t="s">
        <v>1680</v>
      </c>
      <c r="R477" s="230" t="s">
        <v>1681</v>
      </c>
      <c r="S477" s="222"/>
      <c r="T477" s="216"/>
    </row>
    <row r="478" spans="1:20">
      <c r="A478" s="216">
        <f t="shared" si="6"/>
        <v>471</v>
      </c>
      <c r="B478" s="231">
        <v>101</v>
      </c>
      <c r="C478" s="232" t="s">
        <v>1680</v>
      </c>
      <c r="D478" s="219" t="s">
        <v>1653</v>
      </c>
      <c r="E478" s="220" t="s">
        <v>1369</v>
      </c>
      <c r="F478" s="219" t="s">
        <v>1210</v>
      </c>
      <c r="G478" s="220" t="s">
        <v>1210</v>
      </c>
      <c r="H478" s="219" t="s">
        <v>1210</v>
      </c>
      <c r="I478" s="220" t="s">
        <v>1210</v>
      </c>
      <c r="J478" s="219" t="s">
        <v>1210</v>
      </c>
      <c r="K478" s="221" t="s">
        <v>1210</v>
      </c>
      <c r="L478" s="219" t="s">
        <v>1210</v>
      </c>
      <c r="M478" s="221" t="s">
        <v>1210</v>
      </c>
      <c r="N478" s="219" t="s">
        <v>1210</v>
      </c>
      <c r="O478" s="221" t="s">
        <v>1210</v>
      </c>
      <c r="P478" s="222" t="s">
        <v>1211</v>
      </c>
      <c r="Q478" s="223" t="s">
        <v>1212</v>
      </c>
      <c r="R478" s="223" t="s">
        <v>1212</v>
      </c>
      <c r="S478" s="222"/>
      <c r="T478" s="216"/>
    </row>
    <row r="479" spans="1:20">
      <c r="A479" s="216">
        <f t="shared" si="6"/>
        <v>472</v>
      </c>
      <c r="B479" s="217">
        <v>102</v>
      </c>
      <c r="C479" s="218" t="s">
        <v>1682</v>
      </c>
      <c r="D479" s="219" t="s">
        <v>1683</v>
      </c>
      <c r="E479" s="220" t="s">
        <v>1546</v>
      </c>
      <c r="F479" s="219" t="s">
        <v>1210</v>
      </c>
      <c r="G479" s="220" t="s">
        <v>1210</v>
      </c>
      <c r="H479" s="219" t="s">
        <v>1210</v>
      </c>
      <c r="I479" s="220" t="s">
        <v>1210</v>
      </c>
      <c r="J479" s="219" t="s">
        <v>1210</v>
      </c>
      <c r="K479" s="221" t="s">
        <v>1210</v>
      </c>
      <c r="L479" s="219" t="s">
        <v>1210</v>
      </c>
      <c r="M479" s="221" t="s">
        <v>1210</v>
      </c>
      <c r="N479" s="219" t="s">
        <v>1210</v>
      </c>
      <c r="O479" s="221" t="s">
        <v>1210</v>
      </c>
      <c r="P479" s="222" t="s">
        <v>1211</v>
      </c>
      <c r="Q479" s="223" t="s">
        <v>1212</v>
      </c>
      <c r="R479" s="223" t="s">
        <v>1212</v>
      </c>
      <c r="S479" s="222"/>
      <c r="T479" s="216"/>
    </row>
    <row r="480" spans="1:20">
      <c r="A480" s="216">
        <f t="shared" si="6"/>
        <v>473</v>
      </c>
      <c r="B480" s="224">
        <v>102</v>
      </c>
      <c r="C480" s="225" t="s">
        <v>1682</v>
      </c>
      <c r="D480" s="226" t="s">
        <v>1683</v>
      </c>
      <c r="E480" s="227" t="s">
        <v>1547</v>
      </c>
      <c r="F480" s="226" t="s">
        <v>1210</v>
      </c>
      <c r="G480" s="227" t="s">
        <v>1210</v>
      </c>
      <c r="H480" s="226" t="s">
        <v>1210</v>
      </c>
      <c r="I480" s="227" t="s">
        <v>1210</v>
      </c>
      <c r="J480" s="226" t="s">
        <v>1210</v>
      </c>
      <c r="K480" s="228" t="s">
        <v>1210</v>
      </c>
      <c r="L480" s="226" t="s">
        <v>1210</v>
      </c>
      <c r="M480" s="228" t="s">
        <v>1210</v>
      </c>
      <c r="N480" s="226" t="s">
        <v>1210</v>
      </c>
      <c r="O480" s="228" t="s">
        <v>1210</v>
      </c>
      <c r="P480" s="229" t="s">
        <v>1216</v>
      </c>
      <c r="Q480" s="230" t="s">
        <v>1682</v>
      </c>
      <c r="R480" s="230" t="s">
        <v>1684</v>
      </c>
      <c r="S480" s="222"/>
      <c r="T480" s="216"/>
    </row>
    <row r="481" spans="1:20">
      <c r="A481" s="216">
        <f t="shared" si="6"/>
        <v>474</v>
      </c>
      <c r="B481" s="231">
        <v>102</v>
      </c>
      <c r="C481" s="232" t="s">
        <v>1682</v>
      </c>
      <c r="D481" s="219" t="s">
        <v>1683</v>
      </c>
      <c r="E481" s="220" t="s">
        <v>1369</v>
      </c>
      <c r="F481" s="219" t="s">
        <v>1210</v>
      </c>
      <c r="G481" s="220" t="s">
        <v>1210</v>
      </c>
      <c r="H481" s="219" t="s">
        <v>1210</v>
      </c>
      <c r="I481" s="220" t="s">
        <v>1210</v>
      </c>
      <c r="J481" s="219" t="s">
        <v>1210</v>
      </c>
      <c r="K481" s="221" t="s">
        <v>1210</v>
      </c>
      <c r="L481" s="219" t="s">
        <v>1210</v>
      </c>
      <c r="M481" s="221" t="s">
        <v>1210</v>
      </c>
      <c r="N481" s="219" t="s">
        <v>1210</v>
      </c>
      <c r="O481" s="221" t="s">
        <v>1210</v>
      </c>
      <c r="P481" s="222" t="s">
        <v>1211</v>
      </c>
      <c r="Q481" s="223" t="s">
        <v>1212</v>
      </c>
      <c r="R481" s="223" t="s">
        <v>1212</v>
      </c>
      <c r="S481" s="222"/>
      <c r="T481" s="216"/>
    </row>
    <row r="482" spans="1:20">
      <c r="A482" s="216">
        <f t="shared" si="6"/>
        <v>475</v>
      </c>
      <c r="B482" s="237" t="s">
        <v>1685</v>
      </c>
      <c r="C482" s="238" t="s">
        <v>1686</v>
      </c>
      <c r="D482" s="226" t="s">
        <v>1687</v>
      </c>
      <c r="E482" s="227" t="s">
        <v>1369</v>
      </c>
      <c r="F482" s="226" t="s">
        <v>1688</v>
      </c>
      <c r="G482" s="227">
        <v>20200401</v>
      </c>
      <c r="H482" s="226" t="s">
        <v>1210</v>
      </c>
      <c r="I482" s="227" t="s">
        <v>1210</v>
      </c>
      <c r="J482" s="226" t="s">
        <v>1210</v>
      </c>
      <c r="K482" s="228" t="s">
        <v>1210</v>
      </c>
      <c r="L482" s="226" t="s">
        <v>1210</v>
      </c>
      <c r="M482" s="228" t="s">
        <v>1210</v>
      </c>
      <c r="N482" s="226" t="s">
        <v>1210</v>
      </c>
      <c r="O482" s="228" t="s">
        <v>1210</v>
      </c>
      <c r="P482" s="229" t="s">
        <v>1216</v>
      </c>
      <c r="Q482" s="230" t="s">
        <v>1686</v>
      </c>
      <c r="R482" s="230" t="s">
        <v>1689</v>
      </c>
      <c r="S482" s="222"/>
      <c r="T482" s="216" t="s">
        <v>1690</v>
      </c>
    </row>
    <row r="483" spans="1:20">
      <c r="A483" s="216">
        <f t="shared" si="6"/>
        <v>476</v>
      </c>
      <c r="B483" s="239" t="s">
        <v>1691</v>
      </c>
      <c r="C483" s="225" t="s">
        <v>1686</v>
      </c>
      <c r="D483" s="219" t="s">
        <v>1687</v>
      </c>
      <c r="E483" s="220" t="s">
        <v>1369</v>
      </c>
      <c r="F483" s="219" t="s">
        <v>1688</v>
      </c>
      <c r="G483" s="220" t="s">
        <v>1369</v>
      </c>
      <c r="H483" s="219" t="s">
        <v>1210</v>
      </c>
      <c r="I483" s="220" t="s">
        <v>1210</v>
      </c>
      <c r="J483" s="219" t="s">
        <v>1210</v>
      </c>
      <c r="K483" s="221" t="s">
        <v>1210</v>
      </c>
      <c r="L483" s="219" t="s">
        <v>1210</v>
      </c>
      <c r="M483" s="221" t="s">
        <v>1210</v>
      </c>
      <c r="N483" s="219" t="s">
        <v>1210</v>
      </c>
      <c r="O483" s="221" t="s">
        <v>1210</v>
      </c>
      <c r="P483" s="222" t="s">
        <v>1211</v>
      </c>
      <c r="Q483" s="223" t="s">
        <v>1212</v>
      </c>
      <c r="R483" s="223" t="s">
        <v>1212</v>
      </c>
      <c r="S483" s="222"/>
      <c r="T483" s="216"/>
    </row>
    <row r="484" spans="1:20">
      <c r="A484" s="216">
        <f t="shared" si="6"/>
        <v>477</v>
      </c>
      <c r="B484" s="239" t="s">
        <v>1691</v>
      </c>
      <c r="C484" s="225" t="s">
        <v>1686</v>
      </c>
      <c r="D484" s="219" t="s">
        <v>1687</v>
      </c>
      <c r="E484" s="220" t="s">
        <v>1692</v>
      </c>
      <c r="F484" s="219" t="s">
        <v>1688</v>
      </c>
      <c r="G484" s="220">
        <v>20200401</v>
      </c>
      <c r="H484" s="219" t="s">
        <v>1210</v>
      </c>
      <c r="I484" s="220" t="s">
        <v>1210</v>
      </c>
      <c r="J484" s="219" t="s">
        <v>1210</v>
      </c>
      <c r="K484" s="221" t="s">
        <v>1210</v>
      </c>
      <c r="L484" s="219" t="s">
        <v>1210</v>
      </c>
      <c r="M484" s="221" t="s">
        <v>1210</v>
      </c>
      <c r="N484" s="219" t="s">
        <v>1210</v>
      </c>
      <c r="O484" s="221" t="s">
        <v>1210</v>
      </c>
      <c r="P484" s="222" t="s">
        <v>1211</v>
      </c>
      <c r="Q484" s="223" t="s">
        <v>1212</v>
      </c>
      <c r="R484" s="223" t="s">
        <v>1212</v>
      </c>
      <c r="S484" s="222"/>
      <c r="T484" s="216"/>
    </row>
    <row r="485" spans="1:20">
      <c r="A485" s="216">
        <f t="shared" si="6"/>
        <v>478</v>
      </c>
      <c r="B485" s="240" t="s">
        <v>1691</v>
      </c>
      <c r="C485" s="232" t="s">
        <v>1686</v>
      </c>
      <c r="D485" s="226" t="s">
        <v>1687</v>
      </c>
      <c r="E485" s="227" t="s">
        <v>1692</v>
      </c>
      <c r="F485" s="226" t="s">
        <v>1688</v>
      </c>
      <c r="G485" s="227" t="s">
        <v>1369</v>
      </c>
      <c r="H485" s="226" t="s">
        <v>1210</v>
      </c>
      <c r="I485" s="227" t="s">
        <v>1210</v>
      </c>
      <c r="J485" s="226" t="s">
        <v>1210</v>
      </c>
      <c r="K485" s="228" t="s">
        <v>1210</v>
      </c>
      <c r="L485" s="226" t="s">
        <v>1210</v>
      </c>
      <c r="M485" s="228" t="s">
        <v>1210</v>
      </c>
      <c r="N485" s="226" t="s">
        <v>1210</v>
      </c>
      <c r="O485" s="228" t="s">
        <v>1210</v>
      </c>
      <c r="P485" s="229" t="s">
        <v>1216</v>
      </c>
      <c r="Q485" s="230" t="s">
        <v>1686</v>
      </c>
      <c r="R485" s="230" t="s">
        <v>1689</v>
      </c>
      <c r="S485" s="222"/>
      <c r="T485" s="216" t="s">
        <v>1693</v>
      </c>
    </row>
    <row r="486" spans="1:20">
      <c r="A486" s="216">
        <f t="shared" si="6"/>
        <v>479</v>
      </c>
      <c r="B486" s="237" t="s">
        <v>1694</v>
      </c>
      <c r="C486" s="238" t="s">
        <v>1695</v>
      </c>
      <c r="D486" s="226" t="s">
        <v>1696</v>
      </c>
      <c r="E486" s="227" t="s">
        <v>1369</v>
      </c>
      <c r="F486" s="226" t="s">
        <v>1697</v>
      </c>
      <c r="G486" s="227">
        <v>20200401</v>
      </c>
      <c r="H486" s="226" t="s">
        <v>1210</v>
      </c>
      <c r="I486" s="227" t="s">
        <v>1210</v>
      </c>
      <c r="J486" s="226" t="s">
        <v>1210</v>
      </c>
      <c r="K486" s="228" t="s">
        <v>1210</v>
      </c>
      <c r="L486" s="226" t="s">
        <v>1210</v>
      </c>
      <c r="M486" s="228" t="s">
        <v>1210</v>
      </c>
      <c r="N486" s="226" t="s">
        <v>1210</v>
      </c>
      <c r="O486" s="228" t="s">
        <v>1210</v>
      </c>
      <c r="P486" s="229" t="s">
        <v>1216</v>
      </c>
      <c r="Q486" s="230" t="s">
        <v>1695</v>
      </c>
      <c r="R486" s="230" t="s">
        <v>1698</v>
      </c>
      <c r="S486" s="222"/>
      <c r="T486" s="216" t="s">
        <v>1699</v>
      </c>
    </row>
    <row r="487" spans="1:20">
      <c r="A487" s="216">
        <f t="shared" si="6"/>
        <v>480</v>
      </c>
      <c r="B487" s="224" t="s">
        <v>1700</v>
      </c>
      <c r="C487" s="225" t="s">
        <v>1695</v>
      </c>
      <c r="D487" s="219" t="s">
        <v>1696</v>
      </c>
      <c r="E487" s="220" t="s">
        <v>1369</v>
      </c>
      <c r="F487" s="219" t="s">
        <v>1697</v>
      </c>
      <c r="G487" s="220" t="s">
        <v>1369</v>
      </c>
      <c r="H487" s="219" t="s">
        <v>1210</v>
      </c>
      <c r="I487" s="220" t="s">
        <v>1210</v>
      </c>
      <c r="J487" s="219" t="s">
        <v>1210</v>
      </c>
      <c r="K487" s="221" t="s">
        <v>1210</v>
      </c>
      <c r="L487" s="219" t="s">
        <v>1210</v>
      </c>
      <c r="M487" s="221" t="s">
        <v>1210</v>
      </c>
      <c r="N487" s="219" t="s">
        <v>1210</v>
      </c>
      <c r="O487" s="221" t="s">
        <v>1210</v>
      </c>
      <c r="P487" s="222" t="s">
        <v>1211</v>
      </c>
      <c r="Q487" s="223" t="s">
        <v>1212</v>
      </c>
      <c r="R487" s="223" t="s">
        <v>1212</v>
      </c>
      <c r="S487" s="222"/>
      <c r="T487" s="216"/>
    </row>
    <row r="488" spans="1:20">
      <c r="A488" s="216">
        <f t="shared" si="6"/>
        <v>481</v>
      </c>
      <c r="B488" s="224" t="s">
        <v>1700</v>
      </c>
      <c r="C488" s="225" t="s">
        <v>1695</v>
      </c>
      <c r="D488" s="219" t="s">
        <v>1696</v>
      </c>
      <c r="E488" s="220" t="s">
        <v>1701</v>
      </c>
      <c r="F488" s="219" t="s">
        <v>1697</v>
      </c>
      <c r="G488" s="220">
        <v>20200401</v>
      </c>
      <c r="H488" s="219" t="s">
        <v>1210</v>
      </c>
      <c r="I488" s="220" t="s">
        <v>1210</v>
      </c>
      <c r="J488" s="219" t="s">
        <v>1210</v>
      </c>
      <c r="K488" s="221" t="s">
        <v>1210</v>
      </c>
      <c r="L488" s="219" t="s">
        <v>1210</v>
      </c>
      <c r="M488" s="221" t="s">
        <v>1210</v>
      </c>
      <c r="N488" s="219" t="s">
        <v>1210</v>
      </c>
      <c r="O488" s="221" t="s">
        <v>1210</v>
      </c>
      <c r="P488" s="222" t="s">
        <v>1211</v>
      </c>
      <c r="Q488" s="223" t="s">
        <v>1212</v>
      </c>
      <c r="R488" s="223" t="s">
        <v>1212</v>
      </c>
      <c r="S488" s="222"/>
      <c r="T488" s="216"/>
    </row>
    <row r="489" spans="1:20">
      <c r="A489" s="216">
        <f t="shared" si="6"/>
        <v>482</v>
      </c>
      <c r="B489" s="231" t="s">
        <v>1700</v>
      </c>
      <c r="C489" s="232" t="s">
        <v>1695</v>
      </c>
      <c r="D489" s="226" t="s">
        <v>1696</v>
      </c>
      <c r="E489" s="227" t="s">
        <v>1701</v>
      </c>
      <c r="F489" s="226" t="s">
        <v>1697</v>
      </c>
      <c r="G489" s="227" t="s">
        <v>1369</v>
      </c>
      <c r="H489" s="226" t="s">
        <v>1210</v>
      </c>
      <c r="I489" s="227" t="s">
        <v>1210</v>
      </c>
      <c r="J489" s="226" t="s">
        <v>1210</v>
      </c>
      <c r="K489" s="228" t="s">
        <v>1210</v>
      </c>
      <c r="L489" s="226" t="s">
        <v>1210</v>
      </c>
      <c r="M489" s="228" t="s">
        <v>1210</v>
      </c>
      <c r="N489" s="226" t="s">
        <v>1210</v>
      </c>
      <c r="O489" s="228" t="s">
        <v>1210</v>
      </c>
      <c r="P489" s="229" t="s">
        <v>1216</v>
      </c>
      <c r="Q489" s="230" t="s">
        <v>1695</v>
      </c>
      <c r="R489" s="230" t="s">
        <v>1698</v>
      </c>
      <c r="S489" s="222"/>
      <c r="T489" s="216" t="s">
        <v>1702</v>
      </c>
    </row>
    <row r="490" spans="1:20">
      <c r="A490" s="216">
        <f t="shared" si="6"/>
        <v>483</v>
      </c>
      <c r="B490" s="217">
        <v>111</v>
      </c>
      <c r="C490" s="218" t="s">
        <v>1703</v>
      </c>
      <c r="D490" s="219" t="s">
        <v>1688</v>
      </c>
      <c r="E490" s="220" t="s">
        <v>1546</v>
      </c>
      <c r="F490" s="219" t="s">
        <v>1210</v>
      </c>
      <c r="G490" s="220" t="s">
        <v>1210</v>
      </c>
      <c r="H490" s="219" t="s">
        <v>1210</v>
      </c>
      <c r="I490" s="220" t="s">
        <v>1210</v>
      </c>
      <c r="J490" s="219" t="s">
        <v>1210</v>
      </c>
      <c r="K490" s="221" t="s">
        <v>1210</v>
      </c>
      <c r="L490" s="219" t="s">
        <v>1210</v>
      </c>
      <c r="M490" s="221" t="s">
        <v>1210</v>
      </c>
      <c r="N490" s="219" t="s">
        <v>1210</v>
      </c>
      <c r="O490" s="221" t="s">
        <v>1210</v>
      </c>
      <c r="P490" s="222" t="s">
        <v>1211</v>
      </c>
      <c r="Q490" s="223" t="s">
        <v>1212</v>
      </c>
      <c r="R490" s="223" t="s">
        <v>1212</v>
      </c>
      <c r="S490" s="222"/>
      <c r="T490" s="216"/>
    </row>
    <row r="491" spans="1:20">
      <c r="A491" s="216">
        <f t="shared" si="6"/>
        <v>484</v>
      </c>
      <c r="B491" s="224">
        <v>111</v>
      </c>
      <c r="C491" s="225" t="s">
        <v>1703</v>
      </c>
      <c r="D491" s="226" t="s">
        <v>1688</v>
      </c>
      <c r="E491" s="227" t="s">
        <v>1547</v>
      </c>
      <c r="F491" s="226" t="s">
        <v>1210</v>
      </c>
      <c r="G491" s="227" t="s">
        <v>1210</v>
      </c>
      <c r="H491" s="226" t="s">
        <v>1210</v>
      </c>
      <c r="I491" s="227" t="s">
        <v>1210</v>
      </c>
      <c r="J491" s="226" t="s">
        <v>1210</v>
      </c>
      <c r="K491" s="228" t="s">
        <v>1210</v>
      </c>
      <c r="L491" s="226" t="s">
        <v>1210</v>
      </c>
      <c r="M491" s="228" t="s">
        <v>1210</v>
      </c>
      <c r="N491" s="226" t="s">
        <v>1210</v>
      </c>
      <c r="O491" s="228" t="s">
        <v>1210</v>
      </c>
      <c r="P491" s="229" t="s">
        <v>1216</v>
      </c>
      <c r="Q491" s="230" t="s">
        <v>1703</v>
      </c>
      <c r="R491" s="230" t="s">
        <v>1704</v>
      </c>
      <c r="S491" s="222"/>
      <c r="T491" s="216"/>
    </row>
    <row r="492" spans="1:20">
      <c r="A492" s="216">
        <f t="shared" si="6"/>
        <v>485</v>
      </c>
      <c r="B492" s="231">
        <v>111</v>
      </c>
      <c r="C492" s="232" t="s">
        <v>1703</v>
      </c>
      <c r="D492" s="219" t="s">
        <v>1688</v>
      </c>
      <c r="E492" s="220" t="s">
        <v>1369</v>
      </c>
      <c r="F492" s="219" t="s">
        <v>1210</v>
      </c>
      <c r="G492" s="220" t="s">
        <v>1210</v>
      </c>
      <c r="H492" s="219" t="s">
        <v>1210</v>
      </c>
      <c r="I492" s="220" t="s">
        <v>1210</v>
      </c>
      <c r="J492" s="219" t="s">
        <v>1210</v>
      </c>
      <c r="K492" s="221" t="s">
        <v>1210</v>
      </c>
      <c r="L492" s="219" t="s">
        <v>1210</v>
      </c>
      <c r="M492" s="221" t="s">
        <v>1210</v>
      </c>
      <c r="N492" s="219" t="s">
        <v>1210</v>
      </c>
      <c r="O492" s="221" t="s">
        <v>1210</v>
      </c>
      <c r="P492" s="222" t="s">
        <v>1211</v>
      </c>
      <c r="Q492" s="223" t="s">
        <v>1212</v>
      </c>
      <c r="R492" s="223" t="s">
        <v>1212</v>
      </c>
      <c r="S492" s="222"/>
      <c r="T492" s="216"/>
    </row>
    <row r="493" spans="1:20">
      <c r="A493" s="216">
        <f t="shared" si="6"/>
        <v>486</v>
      </c>
      <c r="B493" s="217">
        <v>112</v>
      </c>
      <c r="C493" s="218" t="s">
        <v>1705</v>
      </c>
      <c r="D493" s="219" t="s">
        <v>1697</v>
      </c>
      <c r="E493" s="220" t="s">
        <v>1546</v>
      </c>
      <c r="F493" s="219" t="s">
        <v>1210</v>
      </c>
      <c r="G493" s="220" t="s">
        <v>1210</v>
      </c>
      <c r="H493" s="219" t="s">
        <v>1210</v>
      </c>
      <c r="I493" s="220" t="s">
        <v>1210</v>
      </c>
      <c r="J493" s="219" t="s">
        <v>1210</v>
      </c>
      <c r="K493" s="221" t="s">
        <v>1210</v>
      </c>
      <c r="L493" s="219" t="s">
        <v>1210</v>
      </c>
      <c r="M493" s="221" t="s">
        <v>1210</v>
      </c>
      <c r="N493" s="219" t="s">
        <v>1210</v>
      </c>
      <c r="O493" s="221" t="s">
        <v>1210</v>
      </c>
      <c r="P493" s="222" t="s">
        <v>1211</v>
      </c>
      <c r="Q493" s="223" t="s">
        <v>1212</v>
      </c>
      <c r="R493" s="223" t="s">
        <v>1212</v>
      </c>
      <c r="S493" s="222"/>
      <c r="T493" s="216"/>
    </row>
    <row r="494" spans="1:20">
      <c r="A494" s="216">
        <f t="shared" si="6"/>
        <v>487</v>
      </c>
      <c r="B494" s="224">
        <v>112</v>
      </c>
      <c r="C494" s="225" t="s">
        <v>1705</v>
      </c>
      <c r="D494" s="226" t="s">
        <v>1697</v>
      </c>
      <c r="E494" s="227" t="s">
        <v>1547</v>
      </c>
      <c r="F494" s="226" t="s">
        <v>1210</v>
      </c>
      <c r="G494" s="227" t="s">
        <v>1210</v>
      </c>
      <c r="H494" s="226" t="s">
        <v>1210</v>
      </c>
      <c r="I494" s="227" t="s">
        <v>1210</v>
      </c>
      <c r="J494" s="226" t="s">
        <v>1210</v>
      </c>
      <c r="K494" s="228" t="s">
        <v>1210</v>
      </c>
      <c r="L494" s="226" t="s">
        <v>1210</v>
      </c>
      <c r="M494" s="228" t="s">
        <v>1210</v>
      </c>
      <c r="N494" s="226" t="s">
        <v>1210</v>
      </c>
      <c r="O494" s="228" t="s">
        <v>1210</v>
      </c>
      <c r="P494" s="229" t="s">
        <v>1216</v>
      </c>
      <c r="Q494" s="230" t="s">
        <v>1705</v>
      </c>
      <c r="R494" s="230" t="s">
        <v>1706</v>
      </c>
      <c r="S494" s="222"/>
      <c r="T494" s="216"/>
    </row>
    <row r="495" spans="1:20">
      <c r="A495" s="216">
        <f t="shared" si="6"/>
        <v>488</v>
      </c>
      <c r="B495" s="231">
        <v>112</v>
      </c>
      <c r="C495" s="232" t="s">
        <v>1705</v>
      </c>
      <c r="D495" s="219" t="s">
        <v>1697</v>
      </c>
      <c r="E495" s="220" t="s">
        <v>1369</v>
      </c>
      <c r="F495" s="219" t="s">
        <v>1210</v>
      </c>
      <c r="G495" s="220" t="s">
        <v>1210</v>
      </c>
      <c r="H495" s="219" t="s">
        <v>1210</v>
      </c>
      <c r="I495" s="220" t="s">
        <v>1210</v>
      </c>
      <c r="J495" s="219" t="s">
        <v>1210</v>
      </c>
      <c r="K495" s="221" t="s">
        <v>1210</v>
      </c>
      <c r="L495" s="219" t="s">
        <v>1210</v>
      </c>
      <c r="M495" s="221" t="s">
        <v>1210</v>
      </c>
      <c r="N495" s="219" t="s">
        <v>1210</v>
      </c>
      <c r="O495" s="221" t="s">
        <v>1210</v>
      </c>
      <c r="P495" s="222" t="s">
        <v>1211</v>
      </c>
      <c r="Q495" s="223" t="s">
        <v>1212</v>
      </c>
      <c r="R495" s="223" t="s">
        <v>1212</v>
      </c>
      <c r="S495" s="222"/>
      <c r="T495" s="216"/>
    </row>
    <row r="496" spans="1:20">
      <c r="A496" s="216">
        <f t="shared" si="6"/>
        <v>489</v>
      </c>
      <c r="B496" s="217">
        <v>113</v>
      </c>
      <c r="C496" s="218" t="s">
        <v>1707</v>
      </c>
      <c r="D496" s="219" t="s">
        <v>1708</v>
      </c>
      <c r="E496" s="220">
        <v>1</v>
      </c>
      <c r="F496" s="219" t="s">
        <v>1210</v>
      </c>
      <c r="G496" s="220" t="s">
        <v>1210</v>
      </c>
      <c r="H496" s="219" t="s">
        <v>1210</v>
      </c>
      <c r="I496" s="220" t="s">
        <v>1210</v>
      </c>
      <c r="J496" s="219" t="s">
        <v>1210</v>
      </c>
      <c r="K496" s="221" t="s">
        <v>1210</v>
      </c>
      <c r="L496" s="219" t="s">
        <v>1210</v>
      </c>
      <c r="M496" s="221" t="s">
        <v>1210</v>
      </c>
      <c r="N496" s="219" t="s">
        <v>1210</v>
      </c>
      <c r="O496" s="221" t="s">
        <v>1210</v>
      </c>
      <c r="P496" s="222" t="s">
        <v>1211</v>
      </c>
      <c r="Q496" s="223" t="s">
        <v>1212</v>
      </c>
      <c r="R496" s="223" t="s">
        <v>1212</v>
      </c>
      <c r="S496" s="222"/>
      <c r="T496" s="216"/>
    </row>
    <row r="497" spans="1:20">
      <c r="A497" s="216">
        <f t="shared" si="6"/>
        <v>490</v>
      </c>
      <c r="B497" s="224">
        <v>113</v>
      </c>
      <c r="C497" s="225" t="s">
        <v>1707</v>
      </c>
      <c r="D497" s="226" t="s">
        <v>1708</v>
      </c>
      <c r="E497" s="227">
        <v>9</v>
      </c>
      <c r="F497" s="226" t="s">
        <v>1210</v>
      </c>
      <c r="G497" s="227" t="s">
        <v>1210</v>
      </c>
      <c r="H497" s="226" t="s">
        <v>1210</v>
      </c>
      <c r="I497" s="227" t="s">
        <v>1210</v>
      </c>
      <c r="J497" s="226" t="s">
        <v>1210</v>
      </c>
      <c r="K497" s="228" t="s">
        <v>1210</v>
      </c>
      <c r="L497" s="226" t="s">
        <v>1210</v>
      </c>
      <c r="M497" s="228" t="s">
        <v>1210</v>
      </c>
      <c r="N497" s="226" t="s">
        <v>1210</v>
      </c>
      <c r="O497" s="228" t="s">
        <v>1210</v>
      </c>
      <c r="P497" s="229" t="s">
        <v>1216</v>
      </c>
      <c r="Q497" s="230" t="s">
        <v>1707</v>
      </c>
      <c r="R497" s="230" t="s">
        <v>1709</v>
      </c>
      <c r="S497" s="222"/>
      <c r="T497" s="216"/>
    </row>
    <row r="498" spans="1:20">
      <c r="A498" s="216">
        <f t="shared" si="6"/>
        <v>491</v>
      </c>
      <c r="B498" s="231">
        <v>113</v>
      </c>
      <c r="C498" s="232" t="s">
        <v>1707</v>
      </c>
      <c r="D498" s="219" t="s">
        <v>1708</v>
      </c>
      <c r="E498" s="220" t="s">
        <v>1369</v>
      </c>
      <c r="F498" s="219" t="s">
        <v>1210</v>
      </c>
      <c r="G498" s="220" t="s">
        <v>1210</v>
      </c>
      <c r="H498" s="219" t="s">
        <v>1210</v>
      </c>
      <c r="I498" s="220" t="s">
        <v>1210</v>
      </c>
      <c r="J498" s="219" t="s">
        <v>1210</v>
      </c>
      <c r="K498" s="221" t="s">
        <v>1210</v>
      </c>
      <c r="L498" s="219" t="s">
        <v>1210</v>
      </c>
      <c r="M498" s="221" t="s">
        <v>1210</v>
      </c>
      <c r="N498" s="219" t="s">
        <v>1210</v>
      </c>
      <c r="O498" s="221" t="s">
        <v>1210</v>
      </c>
      <c r="P498" s="222" t="s">
        <v>1211</v>
      </c>
      <c r="Q498" s="223" t="s">
        <v>1212</v>
      </c>
      <c r="R498" s="223" t="s">
        <v>1212</v>
      </c>
      <c r="S498" s="222"/>
      <c r="T498" s="216"/>
    </row>
    <row r="499" spans="1:20">
      <c r="A499" s="216">
        <f t="shared" si="6"/>
        <v>492</v>
      </c>
      <c r="B499" s="217">
        <v>115</v>
      </c>
      <c r="C499" s="218" t="s">
        <v>1710</v>
      </c>
      <c r="D499" s="219" t="s">
        <v>1711</v>
      </c>
      <c r="E499" s="220">
        <v>93</v>
      </c>
      <c r="F499" s="219" t="s">
        <v>1210</v>
      </c>
      <c r="G499" s="220" t="s">
        <v>1210</v>
      </c>
      <c r="H499" s="219" t="s">
        <v>1210</v>
      </c>
      <c r="I499" s="220" t="s">
        <v>1210</v>
      </c>
      <c r="J499" s="219" t="s">
        <v>1210</v>
      </c>
      <c r="K499" s="221" t="s">
        <v>1210</v>
      </c>
      <c r="L499" s="219" t="s">
        <v>1210</v>
      </c>
      <c r="M499" s="221" t="s">
        <v>1210</v>
      </c>
      <c r="N499" s="219" t="s">
        <v>1210</v>
      </c>
      <c r="O499" s="221" t="s">
        <v>1210</v>
      </c>
      <c r="P499" s="222" t="s">
        <v>1211</v>
      </c>
      <c r="Q499" s="223" t="s">
        <v>1212</v>
      </c>
      <c r="R499" s="223" t="s">
        <v>1212</v>
      </c>
      <c r="S499" s="222"/>
      <c r="T499" s="216"/>
    </row>
    <row r="500" spans="1:20">
      <c r="A500" s="216">
        <f t="shared" si="6"/>
        <v>493</v>
      </c>
      <c r="B500" s="224">
        <v>115</v>
      </c>
      <c r="C500" s="225" t="s">
        <v>1710</v>
      </c>
      <c r="D500" s="226" t="s">
        <v>1711</v>
      </c>
      <c r="E500" s="227">
        <v>99</v>
      </c>
      <c r="F500" s="226" t="s">
        <v>1210</v>
      </c>
      <c r="G500" s="227" t="s">
        <v>1210</v>
      </c>
      <c r="H500" s="226" t="s">
        <v>1210</v>
      </c>
      <c r="I500" s="227" t="s">
        <v>1210</v>
      </c>
      <c r="J500" s="226" t="s">
        <v>1210</v>
      </c>
      <c r="K500" s="228" t="s">
        <v>1210</v>
      </c>
      <c r="L500" s="226" t="s">
        <v>1210</v>
      </c>
      <c r="M500" s="228" t="s">
        <v>1210</v>
      </c>
      <c r="N500" s="226" t="s">
        <v>1210</v>
      </c>
      <c r="O500" s="228" t="s">
        <v>1210</v>
      </c>
      <c r="P500" s="229" t="s">
        <v>1216</v>
      </c>
      <c r="Q500" s="230" t="s">
        <v>1710</v>
      </c>
      <c r="R500" s="230" t="s">
        <v>1712</v>
      </c>
      <c r="S500" s="222"/>
      <c r="T500" s="216"/>
    </row>
    <row r="501" spans="1:20">
      <c r="A501" s="216">
        <f t="shared" si="6"/>
        <v>494</v>
      </c>
      <c r="B501" s="231">
        <v>115</v>
      </c>
      <c r="C501" s="232" t="s">
        <v>1710</v>
      </c>
      <c r="D501" s="226" t="s">
        <v>1711</v>
      </c>
      <c r="E501" s="227" t="s">
        <v>1369</v>
      </c>
      <c r="F501" s="226" t="s">
        <v>1210</v>
      </c>
      <c r="G501" s="227" t="s">
        <v>1210</v>
      </c>
      <c r="H501" s="226" t="s">
        <v>1210</v>
      </c>
      <c r="I501" s="227" t="s">
        <v>1210</v>
      </c>
      <c r="J501" s="226" t="s">
        <v>1210</v>
      </c>
      <c r="K501" s="228" t="s">
        <v>1210</v>
      </c>
      <c r="L501" s="226" t="s">
        <v>1210</v>
      </c>
      <c r="M501" s="228" t="s">
        <v>1210</v>
      </c>
      <c r="N501" s="226" t="s">
        <v>1210</v>
      </c>
      <c r="O501" s="228" t="s">
        <v>1210</v>
      </c>
      <c r="P501" s="229" t="s">
        <v>1216</v>
      </c>
      <c r="Q501" s="230" t="s">
        <v>1710</v>
      </c>
      <c r="R501" s="230" t="s">
        <v>1712</v>
      </c>
      <c r="S501" s="222"/>
      <c r="T501" s="216"/>
    </row>
    <row r="502" spans="1:20">
      <c r="A502" s="216">
        <f t="shared" si="6"/>
        <v>495</v>
      </c>
      <c r="B502" s="217">
        <v>122</v>
      </c>
      <c r="C502" s="218" t="s">
        <v>1713</v>
      </c>
      <c r="D502" s="219" t="s">
        <v>1714</v>
      </c>
      <c r="E502" s="220" t="s">
        <v>1715</v>
      </c>
      <c r="F502" s="219" t="s">
        <v>1210</v>
      </c>
      <c r="G502" s="220" t="s">
        <v>1210</v>
      </c>
      <c r="H502" s="219" t="s">
        <v>1210</v>
      </c>
      <c r="I502" s="220" t="s">
        <v>1210</v>
      </c>
      <c r="J502" s="219" t="s">
        <v>1210</v>
      </c>
      <c r="K502" s="221" t="s">
        <v>1210</v>
      </c>
      <c r="L502" s="219" t="s">
        <v>1210</v>
      </c>
      <c r="M502" s="221" t="s">
        <v>1210</v>
      </c>
      <c r="N502" s="219" t="s">
        <v>1210</v>
      </c>
      <c r="O502" s="221" t="s">
        <v>1210</v>
      </c>
      <c r="P502" s="222" t="s">
        <v>1211</v>
      </c>
      <c r="Q502" s="223" t="s">
        <v>1212</v>
      </c>
      <c r="R502" s="223" t="s">
        <v>1212</v>
      </c>
      <c r="S502" s="222"/>
      <c r="T502" s="216"/>
    </row>
    <row r="503" spans="1:20">
      <c r="A503" s="216">
        <f t="shared" si="6"/>
        <v>496</v>
      </c>
      <c r="B503" s="231">
        <v>122</v>
      </c>
      <c r="C503" s="232" t="s">
        <v>1713</v>
      </c>
      <c r="D503" s="226" t="s">
        <v>1714</v>
      </c>
      <c r="E503" s="227" t="s">
        <v>1369</v>
      </c>
      <c r="F503" s="226" t="s">
        <v>1210</v>
      </c>
      <c r="G503" s="227" t="s">
        <v>1210</v>
      </c>
      <c r="H503" s="226" t="s">
        <v>1210</v>
      </c>
      <c r="I503" s="227" t="s">
        <v>1210</v>
      </c>
      <c r="J503" s="226" t="s">
        <v>1210</v>
      </c>
      <c r="K503" s="228" t="s">
        <v>1210</v>
      </c>
      <c r="L503" s="226" t="s">
        <v>1210</v>
      </c>
      <c r="M503" s="228" t="s">
        <v>1210</v>
      </c>
      <c r="N503" s="226" t="s">
        <v>1210</v>
      </c>
      <c r="O503" s="228" t="s">
        <v>1210</v>
      </c>
      <c r="P503" s="229" t="s">
        <v>1216</v>
      </c>
      <c r="Q503" s="230" t="s">
        <v>1713</v>
      </c>
      <c r="R503" s="230" t="s">
        <v>1716</v>
      </c>
      <c r="S503" s="222"/>
      <c r="T503" s="216"/>
    </row>
    <row r="504" spans="1:20">
      <c r="A504" s="216">
        <f t="shared" si="6"/>
        <v>497</v>
      </c>
      <c r="B504" s="217">
        <v>123</v>
      </c>
      <c r="C504" s="218" t="s">
        <v>1717</v>
      </c>
      <c r="D504" s="219" t="s">
        <v>1718</v>
      </c>
      <c r="E504" s="220" t="s">
        <v>1719</v>
      </c>
      <c r="F504" s="219" t="s">
        <v>1210</v>
      </c>
      <c r="G504" s="220" t="s">
        <v>1210</v>
      </c>
      <c r="H504" s="219" t="s">
        <v>1210</v>
      </c>
      <c r="I504" s="220" t="s">
        <v>1210</v>
      </c>
      <c r="J504" s="219" t="s">
        <v>1210</v>
      </c>
      <c r="K504" s="221" t="s">
        <v>1210</v>
      </c>
      <c r="L504" s="219" t="s">
        <v>1210</v>
      </c>
      <c r="M504" s="221" t="s">
        <v>1210</v>
      </c>
      <c r="N504" s="219" t="s">
        <v>1210</v>
      </c>
      <c r="O504" s="221" t="s">
        <v>1210</v>
      </c>
      <c r="P504" s="222" t="s">
        <v>1211</v>
      </c>
      <c r="Q504" s="223" t="s">
        <v>1212</v>
      </c>
      <c r="R504" s="223" t="s">
        <v>1212</v>
      </c>
      <c r="S504" s="222"/>
      <c r="T504" s="216"/>
    </row>
    <row r="505" spans="1:20">
      <c r="A505" s="216">
        <f t="shared" ref="A505:A527" si="7">ROW()-7</f>
        <v>498</v>
      </c>
      <c r="B505" s="231">
        <v>123</v>
      </c>
      <c r="C505" s="232" t="s">
        <v>1717</v>
      </c>
      <c r="D505" s="226" t="s">
        <v>1718</v>
      </c>
      <c r="E505" s="227" t="s">
        <v>1369</v>
      </c>
      <c r="F505" s="226" t="s">
        <v>1210</v>
      </c>
      <c r="G505" s="227" t="s">
        <v>1210</v>
      </c>
      <c r="H505" s="226" t="s">
        <v>1210</v>
      </c>
      <c r="I505" s="227" t="s">
        <v>1210</v>
      </c>
      <c r="J505" s="226" t="s">
        <v>1210</v>
      </c>
      <c r="K505" s="228" t="s">
        <v>1210</v>
      </c>
      <c r="L505" s="226" t="s">
        <v>1210</v>
      </c>
      <c r="M505" s="228" t="s">
        <v>1210</v>
      </c>
      <c r="N505" s="226" t="s">
        <v>1210</v>
      </c>
      <c r="O505" s="228" t="s">
        <v>1210</v>
      </c>
      <c r="P505" s="229" t="s">
        <v>1216</v>
      </c>
      <c r="Q505" s="230" t="s">
        <v>1717</v>
      </c>
      <c r="R505" s="230" t="s">
        <v>1720</v>
      </c>
      <c r="S505" s="222"/>
      <c r="T505" s="216"/>
    </row>
    <row r="506" spans="1:20">
      <c r="A506" s="216">
        <f t="shared" si="7"/>
        <v>499</v>
      </c>
      <c r="B506" s="217">
        <v>124</v>
      </c>
      <c r="C506" s="218" t="s">
        <v>1721</v>
      </c>
      <c r="D506" s="219" t="s">
        <v>1722</v>
      </c>
      <c r="E506" s="220" t="s">
        <v>1469</v>
      </c>
      <c r="F506" s="219" t="s">
        <v>1210</v>
      </c>
      <c r="G506" s="220" t="s">
        <v>1210</v>
      </c>
      <c r="H506" s="219" t="s">
        <v>1210</v>
      </c>
      <c r="I506" s="220" t="s">
        <v>1210</v>
      </c>
      <c r="J506" s="219" t="s">
        <v>1210</v>
      </c>
      <c r="K506" s="221" t="s">
        <v>1210</v>
      </c>
      <c r="L506" s="219" t="s">
        <v>1210</v>
      </c>
      <c r="M506" s="221" t="s">
        <v>1210</v>
      </c>
      <c r="N506" s="219" t="s">
        <v>1210</v>
      </c>
      <c r="O506" s="221" t="s">
        <v>1210</v>
      </c>
      <c r="P506" s="222" t="s">
        <v>1211</v>
      </c>
      <c r="Q506" s="223" t="s">
        <v>1212</v>
      </c>
      <c r="R506" s="223" t="s">
        <v>1212</v>
      </c>
      <c r="S506" s="222"/>
      <c r="T506" s="216"/>
    </row>
    <row r="507" spans="1:20">
      <c r="A507" s="216">
        <f t="shared" si="7"/>
        <v>500</v>
      </c>
      <c r="B507" s="231">
        <v>124</v>
      </c>
      <c r="C507" s="232" t="s">
        <v>1721</v>
      </c>
      <c r="D507" s="226" t="s">
        <v>1722</v>
      </c>
      <c r="E507" s="227" t="s">
        <v>1369</v>
      </c>
      <c r="F507" s="226" t="s">
        <v>1210</v>
      </c>
      <c r="G507" s="227" t="s">
        <v>1210</v>
      </c>
      <c r="H507" s="226" t="s">
        <v>1210</v>
      </c>
      <c r="I507" s="227" t="s">
        <v>1210</v>
      </c>
      <c r="J507" s="226" t="s">
        <v>1210</v>
      </c>
      <c r="K507" s="228" t="s">
        <v>1210</v>
      </c>
      <c r="L507" s="226" t="s">
        <v>1210</v>
      </c>
      <c r="M507" s="228" t="s">
        <v>1210</v>
      </c>
      <c r="N507" s="226" t="s">
        <v>1210</v>
      </c>
      <c r="O507" s="228" t="s">
        <v>1210</v>
      </c>
      <c r="P507" s="229" t="s">
        <v>1216</v>
      </c>
      <c r="Q507" s="230" t="s">
        <v>1721</v>
      </c>
      <c r="R507" s="230" t="s">
        <v>1723</v>
      </c>
      <c r="S507" s="222"/>
      <c r="T507" s="216"/>
    </row>
    <row r="508" spans="1:20">
      <c r="A508" s="216">
        <f t="shared" si="7"/>
        <v>501</v>
      </c>
      <c r="B508" s="217">
        <v>127</v>
      </c>
      <c r="C508" s="218" t="s">
        <v>1724</v>
      </c>
      <c r="D508" s="219" t="s">
        <v>1725</v>
      </c>
      <c r="E508" s="220">
        <v>1</v>
      </c>
      <c r="F508" s="219" t="s">
        <v>1210</v>
      </c>
      <c r="G508" s="220" t="s">
        <v>1210</v>
      </c>
      <c r="H508" s="219" t="s">
        <v>1210</v>
      </c>
      <c r="I508" s="220" t="s">
        <v>1210</v>
      </c>
      <c r="J508" s="219" t="s">
        <v>1210</v>
      </c>
      <c r="K508" s="221" t="s">
        <v>1210</v>
      </c>
      <c r="L508" s="219" t="s">
        <v>1210</v>
      </c>
      <c r="M508" s="221" t="s">
        <v>1210</v>
      </c>
      <c r="N508" s="219" t="s">
        <v>1210</v>
      </c>
      <c r="O508" s="221" t="s">
        <v>1210</v>
      </c>
      <c r="P508" s="222" t="s">
        <v>1211</v>
      </c>
      <c r="Q508" s="223" t="s">
        <v>1212</v>
      </c>
      <c r="R508" s="223" t="s">
        <v>1212</v>
      </c>
      <c r="S508" s="222"/>
      <c r="T508" s="216"/>
    </row>
    <row r="509" spans="1:20">
      <c r="A509" s="216">
        <f t="shared" si="7"/>
        <v>502</v>
      </c>
      <c r="B509" s="224">
        <v>127</v>
      </c>
      <c r="C509" s="225" t="s">
        <v>1724</v>
      </c>
      <c r="D509" s="219" t="s">
        <v>1725</v>
      </c>
      <c r="E509" s="220">
        <v>2</v>
      </c>
      <c r="F509" s="219" t="s">
        <v>1210</v>
      </c>
      <c r="G509" s="220" t="s">
        <v>1210</v>
      </c>
      <c r="H509" s="219" t="s">
        <v>1210</v>
      </c>
      <c r="I509" s="220" t="s">
        <v>1210</v>
      </c>
      <c r="J509" s="219" t="s">
        <v>1210</v>
      </c>
      <c r="K509" s="221" t="s">
        <v>1210</v>
      </c>
      <c r="L509" s="219" t="s">
        <v>1210</v>
      </c>
      <c r="M509" s="221" t="s">
        <v>1210</v>
      </c>
      <c r="N509" s="219" t="s">
        <v>1210</v>
      </c>
      <c r="O509" s="221" t="s">
        <v>1210</v>
      </c>
      <c r="P509" s="222" t="s">
        <v>1211</v>
      </c>
      <c r="Q509" s="223" t="s">
        <v>1212</v>
      </c>
      <c r="R509" s="223" t="s">
        <v>1212</v>
      </c>
      <c r="S509" s="222"/>
      <c r="T509" s="216"/>
    </row>
    <row r="510" spans="1:20">
      <c r="A510" s="216">
        <f t="shared" si="7"/>
        <v>503</v>
      </c>
      <c r="B510" s="224">
        <v>127</v>
      </c>
      <c r="C510" s="225" t="s">
        <v>1724</v>
      </c>
      <c r="D510" s="226" t="s">
        <v>1725</v>
      </c>
      <c r="E510" s="227">
        <v>9</v>
      </c>
      <c r="F510" s="226" t="s">
        <v>1210</v>
      </c>
      <c r="G510" s="227" t="s">
        <v>1210</v>
      </c>
      <c r="H510" s="226" t="s">
        <v>1210</v>
      </c>
      <c r="I510" s="227" t="s">
        <v>1210</v>
      </c>
      <c r="J510" s="226" t="s">
        <v>1210</v>
      </c>
      <c r="K510" s="228" t="s">
        <v>1210</v>
      </c>
      <c r="L510" s="226" t="s">
        <v>1210</v>
      </c>
      <c r="M510" s="228" t="s">
        <v>1210</v>
      </c>
      <c r="N510" s="226" t="s">
        <v>1210</v>
      </c>
      <c r="O510" s="228" t="s">
        <v>1210</v>
      </c>
      <c r="P510" s="229" t="s">
        <v>1216</v>
      </c>
      <c r="Q510" s="230" t="s">
        <v>1724</v>
      </c>
      <c r="R510" s="230" t="s">
        <v>1726</v>
      </c>
      <c r="S510" s="222"/>
      <c r="T510" s="216"/>
    </row>
    <row r="511" spans="1:20">
      <c r="A511" s="216">
        <f t="shared" si="7"/>
        <v>504</v>
      </c>
      <c r="B511" s="231">
        <v>127</v>
      </c>
      <c r="C511" s="232" t="s">
        <v>1724</v>
      </c>
      <c r="D511" s="226" t="s">
        <v>1725</v>
      </c>
      <c r="E511" s="227" t="s">
        <v>1369</v>
      </c>
      <c r="F511" s="226" t="s">
        <v>1210</v>
      </c>
      <c r="G511" s="227" t="s">
        <v>1210</v>
      </c>
      <c r="H511" s="226" t="s">
        <v>1210</v>
      </c>
      <c r="I511" s="227" t="s">
        <v>1210</v>
      </c>
      <c r="J511" s="226" t="s">
        <v>1210</v>
      </c>
      <c r="K511" s="228" t="s">
        <v>1210</v>
      </c>
      <c r="L511" s="226" t="s">
        <v>1210</v>
      </c>
      <c r="M511" s="228" t="s">
        <v>1210</v>
      </c>
      <c r="N511" s="226" t="s">
        <v>1210</v>
      </c>
      <c r="O511" s="228" t="s">
        <v>1210</v>
      </c>
      <c r="P511" s="229" t="s">
        <v>1216</v>
      </c>
      <c r="Q511" s="230" t="s">
        <v>1724</v>
      </c>
      <c r="R511" s="230" t="s">
        <v>1726</v>
      </c>
      <c r="S511" s="222"/>
      <c r="T511" s="216"/>
    </row>
    <row r="512" spans="1:20">
      <c r="A512" s="216">
        <f t="shared" si="7"/>
        <v>505</v>
      </c>
      <c r="B512" s="217">
        <v>128</v>
      </c>
      <c r="C512" s="218" t="s">
        <v>1727</v>
      </c>
      <c r="D512" s="219" t="s">
        <v>1728</v>
      </c>
      <c r="E512" s="220" t="s">
        <v>1606</v>
      </c>
      <c r="F512" s="219" t="s">
        <v>1210</v>
      </c>
      <c r="G512" s="220" t="s">
        <v>1210</v>
      </c>
      <c r="H512" s="219" t="s">
        <v>1210</v>
      </c>
      <c r="I512" s="220" t="s">
        <v>1210</v>
      </c>
      <c r="J512" s="219" t="s">
        <v>1210</v>
      </c>
      <c r="K512" s="221" t="s">
        <v>1210</v>
      </c>
      <c r="L512" s="219" t="s">
        <v>1210</v>
      </c>
      <c r="M512" s="221" t="s">
        <v>1210</v>
      </c>
      <c r="N512" s="219" t="s">
        <v>1210</v>
      </c>
      <c r="O512" s="221" t="s">
        <v>1210</v>
      </c>
      <c r="P512" s="222" t="s">
        <v>1211</v>
      </c>
      <c r="Q512" s="223" t="s">
        <v>1212</v>
      </c>
      <c r="R512" s="223" t="s">
        <v>1212</v>
      </c>
      <c r="S512" s="222"/>
      <c r="T512" s="216"/>
    </row>
    <row r="513" spans="1:20">
      <c r="A513" s="216">
        <f t="shared" si="7"/>
        <v>506</v>
      </c>
      <c r="B513" s="224">
        <v>128</v>
      </c>
      <c r="C513" s="225" t="s">
        <v>1727</v>
      </c>
      <c r="D513" s="219" t="s">
        <v>1728</v>
      </c>
      <c r="E513" s="220" t="s">
        <v>1609</v>
      </c>
      <c r="F513" s="219" t="s">
        <v>1210</v>
      </c>
      <c r="G513" s="220" t="s">
        <v>1210</v>
      </c>
      <c r="H513" s="219" t="s">
        <v>1210</v>
      </c>
      <c r="I513" s="220" t="s">
        <v>1210</v>
      </c>
      <c r="J513" s="219" t="s">
        <v>1210</v>
      </c>
      <c r="K513" s="221" t="s">
        <v>1210</v>
      </c>
      <c r="L513" s="219" t="s">
        <v>1210</v>
      </c>
      <c r="M513" s="221" t="s">
        <v>1210</v>
      </c>
      <c r="N513" s="219" t="s">
        <v>1210</v>
      </c>
      <c r="O513" s="221" t="s">
        <v>1210</v>
      </c>
      <c r="P513" s="222" t="s">
        <v>1211</v>
      </c>
      <c r="Q513" s="223" t="s">
        <v>1212</v>
      </c>
      <c r="R513" s="223" t="s">
        <v>1212</v>
      </c>
      <c r="S513" s="222"/>
      <c r="T513" s="216"/>
    </row>
    <row r="514" spans="1:20">
      <c r="A514" s="216">
        <f t="shared" si="7"/>
        <v>507</v>
      </c>
      <c r="B514" s="224">
        <v>128</v>
      </c>
      <c r="C514" s="225" t="s">
        <v>1727</v>
      </c>
      <c r="D514" s="226" t="s">
        <v>1728</v>
      </c>
      <c r="E514" s="227">
        <v>9</v>
      </c>
      <c r="F514" s="226" t="s">
        <v>1210</v>
      </c>
      <c r="G514" s="227" t="s">
        <v>1210</v>
      </c>
      <c r="H514" s="226" t="s">
        <v>1210</v>
      </c>
      <c r="I514" s="227" t="s">
        <v>1210</v>
      </c>
      <c r="J514" s="226" t="s">
        <v>1210</v>
      </c>
      <c r="K514" s="228" t="s">
        <v>1210</v>
      </c>
      <c r="L514" s="226" t="s">
        <v>1210</v>
      </c>
      <c r="M514" s="228" t="s">
        <v>1210</v>
      </c>
      <c r="N514" s="226" t="s">
        <v>1210</v>
      </c>
      <c r="O514" s="228" t="s">
        <v>1210</v>
      </c>
      <c r="P514" s="229" t="s">
        <v>1216</v>
      </c>
      <c r="Q514" s="230" t="s">
        <v>1727</v>
      </c>
      <c r="R514" s="230" t="s">
        <v>1729</v>
      </c>
      <c r="S514" s="222"/>
      <c r="T514" s="216"/>
    </row>
    <row r="515" spans="1:20">
      <c r="A515" s="216">
        <f t="shared" si="7"/>
        <v>508</v>
      </c>
      <c r="B515" s="231">
        <v>128</v>
      </c>
      <c r="C515" s="232" t="s">
        <v>1727</v>
      </c>
      <c r="D515" s="226" t="s">
        <v>1728</v>
      </c>
      <c r="E515" s="227" t="s">
        <v>1369</v>
      </c>
      <c r="F515" s="226" t="s">
        <v>1210</v>
      </c>
      <c r="G515" s="227" t="s">
        <v>1210</v>
      </c>
      <c r="H515" s="226" t="s">
        <v>1210</v>
      </c>
      <c r="I515" s="227" t="s">
        <v>1210</v>
      </c>
      <c r="J515" s="226" t="s">
        <v>1210</v>
      </c>
      <c r="K515" s="228" t="s">
        <v>1210</v>
      </c>
      <c r="L515" s="226" t="s">
        <v>1210</v>
      </c>
      <c r="M515" s="228" t="s">
        <v>1210</v>
      </c>
      <c r="N515" s="226" t="s">
        <v>1210</v>
      </c>
      <c r="O515" s="228" t="s">
        <v>1210</v>
      </c>
      <c r="P515" s="229" t="s">
        <v>1216</v>
      </c>
      <c r="Q515" s="230" t="s">
        <v>1727</v>
      </c>
      <c r="R515" s="230" t="s">
        <v>1729</v>
      </c>
      <c r="S515" s="222"/>
      <c r="T515" s="216"/>
    </row>
    <row r="516" spans="1:20">
      <c r="A516" s="216">
        <f t="shared" si="7"/>
        <v>509</v>
      </c>
      <c r="B516" s="217">
        <v>132</v>
      </c>
      <c r="C516" s="218" t="s">
        <v>1730</v>
      </c>
      <c r="D516" s="219" t="s">
        <v>1731</v>
      </c>
      <c r="E516" s="220" t="s">
        <v>1369</v>
      </c>
      <c r="F516" s="219" t="s">
        <v>1210</v>
      </c>
      <c r="G516" s="220" t="s">
        <v>1210</v>
      </c>
      <c r="H516" s="219" t="s">
        <v>1210</v>
      </c>
      <c r="I516" s="220" t="s">
        <v>1210</v>
      </c>
      <c r="J516" s="219" t="s">
        <v>1210</v>
      </c>
      <c r="K516" s="221" t="s">
        <v>1210</v>
      </c>
      <c r="L516" s="219" t="s">
        <v>1210</v>
      </c>
      <c r="M516" s="221" t="s">
        <v>1210</v>
      </c>
      <c r="N516" s="219" t="s">
        <v>1210</v>
      </c>
      <c r="O516" s="221" t="s">
        <v>1210</v>
      </c>
      <c r="P516" s="222" t="s">
        <v>1211</v>
      </c>
      <c r="Q516" s="223" t="s">
        <v>1212</v>
      </c>
      <c r="R516" s="223" t="s">
        <v>1212</v>
      </c>
      <c r="S516" s="222"/>
      <c r="T516" s="216"/>
    </row>
    <row r="517" spans="1:20">
      <c r="A517" s="216">
        <f t="shared" si="7"/>
        <v>510</v>
      </c>
      <c r="B517" s="231">
        <v>132</v>
      </c>
      <c r="C517" s="232" t="s">
        <v>1730</v>
      </c>
      <c r="D517" s="226" t="s">
        <v>1731</v>
      </c>
      <c r="E517" s="227" t="s">
        <v>1505</v>
      </c>
      <c r="F517" s="226" t="s">
        <v>1210</v>
      </c>
      <c r="G517" s="227" t="s">
        <v>1210</v>
      </c>
      <c r="H517" s="226" t="s">
        <v>1210</v>
      </c>
      <c r="I517" s="227" t="s">
        <v>1210</v>
      </c>
      <c r="J517" s="226" t="s">
        <v>1210</v>
      </c>
      <c r="K517" s="228" t="s">
        <v>1210</v>
      </c>
      <c r="L517" s="226" t="s">
        <v>1210</v>
      </c>
      <c r="M517" s="228" t="s">
        <v>1210</v>
      </c>
      <c r="N517" s="226" t="s">
        <v>1210</v>
      </c>
      <c r="O517" s="228" t="s">
        <v>1210</v>
      </c>
      <c r="P517" s="229" t="s">
        <v>1216</v>
      </c>
      <c r="Q517" s="230" t="s">
        <v>1730</v>
      </c>
      <c r="R517" s="230" t="s">
        <v>1732</v>
      </c>
      <c r="S517" s="222"/>
      <c r="T517" s="216"/>
    </row>
    <row r="518" spans="1:20">
      <c r="A518" s="216">
        <f t="shared" si="7"/>
        <v>511</v>
      </c>
      <c r="B518" s="217">
        <v>133</v>
      </c>
      <c r="C518" s="218" t="s">
        <v>1733</v>
      </c>
      <c r="D518" s="219" t="s">
        <v>1734</v>
      </c>
      <c r="E518" s="220" t="s">
        <v>1369</v>
      </c>
      <c r="F518" s="219" t="s">
        <v>1210</v>
      </c>
      <c r="G518" s="220" t="s">
        <v>1210</v>
      </c>
      <c r="H518" s="219" t="s">
        <v>1210</v>
      </c>
      <c r="I518" s="220" t="s">
        <v>1210</v>
      </c>
      <c r="J518" s="219" t="s">
        <v>1210</v>
      </c>
      <c r="K518" s="221" t="s">
        <v>1210</v>
      </c>
      <c r="L518" s="219" t="s">
        <v>1210</v>
      </c>
      <c r="M518" s="221" t="s">
        <v>1210</v>
      </c>
      <c r="N518" s="219" t="s">
        <v>1210</v>
      </c>
      <c r="O518" s="221" t="s">
        <v>1210</v>
      </c>
      <c r="P518" s="222" t="s">
        <v>1211</v>
      </c>
      <c r="Q518" s="223" t="s">
        <v>1212</v>
      </c>
      <c r="R518" s="223" t="s">
        <v>1212</v>
      </c>
      <c r="S518" s="222"/>
      <c r="T518" s="216"/>
    </row>
    <row r="519" spans="1:20">
      <c r="A519" s="216">
        <f t="shared" si="7"/>
        <v>512</v>
      </c>
      <c r="B519" s="231">
        <v>133</v>
      </c>
      <c r="C519" s="232" t="s">
        <v>1733</v>
      </c>
      <c r="D519" s="226" t="s">
        <v>1734</v>
      </c>
      <c r="E519" s="227" t="s">
        <v>1505</v>
      </c>
      <c r="F519" s="226" t="s">
        <v>1210</v>
      </c>
      <c r="G519" s="227" t="s">
        <v>1210</v>
      </c>
      <c r="H519" s="226" t="s">
        <v>1210</v>
      </c>
      <c r="I519" s="227" t="s">
        <v>1210</v>
      </c>
      <c r="J519" s="226" t="s">
        <v>1210</v>
      </c>
      <c r="K519" s="228" t="s">
        <v>1210</v>
      </c>
      <c r="L519" s="226" t="s">
        <v>1210</v>
      </c>
      <c r="M519" s="228" t="s">
        <v>1210</v>
      </c>
      <c r="N519" s="226" t="s">
        <v>1210</v>
      </c>
      <c r="O519" s="228" t="s">
        <v>1210</v>
      </c>
      <c r="P519" s="229" t="s">
        <v>1216</v>
      </c>
      <c r="Q519" s="230" t="s">
        <v>1733</v>
      </c>
      <c r="R519" s="230" t="s">
        <v>1735</v>
      </c>
      <c r="S519" s="222"/>
      <c r="T519" s="216"/>
    </row>
    <row r="520" spans="1:20">
      <c r="A520" s="216">
        <f t="shared" si="7"/>
        <v>513</v>
      </c>
      <c r="B520" s="217">
        <v>134</v>
      </c>
      <c r="C520" s="218" t="s">
        <v>1736</v>
      </c>
      <c r="D520" s="219" t="s">
        <v>1737</v>
      </c>
      <c r="E520" s="220" t="s">
        <v>1369</v>
      </c>
      <c r="F520" s="219" t="s">
        <v>1210</v>
      </c>
      <c r="G520" s="220" t="s">
        <v>1210</v>
      </c>
      <c r="H520" s="219" t="s">
        <v>1210</v>
      </c>
      <c r="I520" s="220" t="s">
        <v>1210</v>
      </c>
      <c r="J520" s="219" t="s">
        <v>1210</v>
      </c>
      <c r="K520" s="221" t="s">
        <v>1210</v>
      </c>
      <c r="L520" s="219" t="s">
        <v>1210</v>
      </c>
      <c r="M520" s="221" t="s">
        <v>1210</v>
      </c>
      <c r="N520" s="219" t="s">
        <v>1210</v>
      </c>
      <c r="O520" s="221" t="s">
        <v>1210</v>
      </c>
      <c r="P520" s="222" t="s">
        <v>1211</v>
      </c>
      <c r="Q520" s="223" t="s">
        <v>1212</v>
      </c>
      <c r="R520" s="223" t="s">
        <v>1212</v>
      </c>
      <c r="S520" s="222"/>
      <c r="T520" s="216"/>
    </row>
    <row r="521" spans="1:20">
      <c r="A521" s="216">
        <f t="shared" si="7"/>
        <v>514</v>
      </c>
      <c r="B521" s="231">
        <v>134</v>
      </c>
      <c r="C521" s="232" t="s">
        <v>1736</v>
      </c>
      <c r="D521" s="226" t="s">
        <v>1737</v>
      </c>
      <c r="E521" s="227" t="s">
        <v>1505</v>
      </c>
      <c r="F521" s="226" t="s">
        <v>1210</v>
      </c>
      <c r="G521" s="227" t="s">
        <v>1210</v>
      </c>
      <c r="H521" s="226" t="s">
        <v>1210</v>
      </c>
      <c r="I521" s="227" t="s">
        <v>1210</v>
      </c>
      <c r="J521" s="226" t="s">
        <v>1210</v>
      </c>
      <c r="K521" s="228" t="s">
        <v>1210</v>
      </c>
      <c r="L521" s="226" t="s">
        <v>1210</v>
      </c>
      <c r="M521" s="228" t="s">
        <v>1210</v>
      </c>
      <c r="N521" s="226" t="s">
        <v>1210</v>
      </c>
      <c r="O521" s="228" t="s">
        <v>1210</v>
      </c>
      <c r="P521" s="229" t="s">
        <v>1216</v>
      </c>
      <c r="Q521" s="230" t="s">
        <v>1736</v>
      </c>
      <c r="R521" s="230" t="s">
        <v>1738</v>
      </c>
      <c r="S521" s="222"/>
      <c r="T521" s="216"/>
    </row>
    <row r="522" spans="1:20">
      <c r="A522" s="216">
        <f t="shared" si="7"/>
        <v>515</v>
      </c>
      <c r="B522" s="217">
        <v>135</v>
      </c>
      <c r="C522" s="218" t="s">
        <v>1739</v>
      </c>
      <c r="D522" s="219" t="s">
        <v>1740</v>
      </c>
      <c r="E522" s="220" t="s">
        <v>1369</v>
      </c>
      <c r="F522" s="219" t="s">
        <v>1210</v>
      </c>
      <c r="G522" s="220" t="s">
        <v>1210</v>
      </c>
      <c r="H522" s="219" t="s">
        <v>1210</v>
      </c>
      <c r="I522" s="220" t="s">
        <v>1210</v>
      </c>
      <c r="J522" s="219" t="s">
        <v>1210</v>
      </c>
      <c r="K522" s="221" t="s">
        <v>1210</v>
      </c>
      <c r="L522" s="219" t="s">
        <v>1210</v>
      </c>
      <c r="M522" s="221" t="s">
        <v>1210</v>
      </c>
      <c r="N522" s="219" t="s">
        <v>1210</v>
      </c>
      <c r="O522" s="221" t="s">
        <v>1210</v>
      </c>
      <c r="P522" s="222" t="s">
        <v>1211</v>
      </c>
      <c r="Q522" s="223" t="s">
        <v>1212</v>
      </c>
      <c r="R522" s="223" t="s">
        <v>1212</v>
      </c>
      <c r="S522" s="222"/>
      <c r="T522" s="216"/>
    </row>
    <row r="523" spans="1:20">
      <c r="A523" s="216">
        <f t="shared" si="7"/>
        <v>516</v>
      </c>
      <c r="B523" s="231">
        <v>135</v>
      </c>
      <c r="C523" s="232" t="s">
        <v>1739</v>
      </c>
      <c r="D523" s="226" t="s">
        <v>1740</v>
      </c>
      <c r="E523" s="227" t="s">
        <v>1505</v>
      </c>
      <c r="F523" s="226" t="s">
        <v>1210</v>
      </c>
      <c r="G523" s="227" t="s">
        <v>1210</v>
      </c>
      <c r="H523" s="226" t="s">
        <v>1210</v>
      </c>
      <c r="I523" s="227" t="s">
        <v>1210</v>
      </c>
      <c r="J523" s="226" t="s">
        <v>1210</v>
      </c>
      <c r="K523" s="228" t="s">
        <v>1210</v>
      </c>
      <c r="L523" s="226" t="s">
        <v>1210</v>
      </c>
      <c r="M523" s="228" t="s">
        <v>1210</v>
      </c>
      <c r="N523" s="226" t="s">
        <v>1210</v>
      </c>
      <c r="O523" s="228" t="s">
        <v>1210</v>
      </c>
      <c r="P523" s="229" t="s">
        <v>1216</v>
      </c>
      <c r="Q523" s="230" t="s">
        <v>1739</v>
      </c>
      <c r="R523" s="230" t="s">
        <v>1741</v>
      </c>
      <c r="S523" s="222"/>
      <c r="T523" s="216"/>
    </row>
    <row r="524" spans="1:20">
      <c r="A524" s="216">
        <f t="shared" si="7"/>
        <v>517</v>
      </c>
      <c r="B524" s="217">
        <v>136</v>
      </c>
      <c r="C524" s="218" t="s">
        <v>1742</v>
      </c>
      <c r="D524" s="219" t="s">
        <v>1743</v>
      </c>
      <c r="E524" s="220" t="s">
        <v>1369</v>
      </c>
      <c r="F524" s="219" t="s">
        <v>1210</v>
      </c>
      <c r="G524" s="220" t="s">
        <v>1210</v>
      </c>
      <c r="H524" s="219" t="s">
        <v>1210</v>
      </c>
      <c r="I524" s="220" t="s">
        <v>1210</v>
      </c>
      <c r="J524" s="219" t="s">
        <v>1210</v>
      </c>
      <c r="K524" s="221" t="s">
        <v>1210</v>
      </c>
      <c r="L524" s="219" t="s">
        <v>1210</v>
      </c>
      <c r="M524" s="221" t="s">
        <v>1210</v>
      </c>
      <c r="N524" s="219" t="s">
        <v>1210</v>
      </c>
      <c r="O524" s="221" t="s">
        <v>1210</v>
      </c>
      <c r="P524" s="222" t="s">
        <v>1211</v>
      </c>
      <c r="Q524" s="223" t="s">
        <v>1212</v>
      </c>
      <c r="R524" s="223" t="s">
        <v>1212</v>
      </c>
      <c r="S524" s="222"/>
      <c r="T524" s="216"/>
    </row>
    <row r="525" spans="1:20">
      <c r="A525" s="216">
        <f t="shared" si="7"/>
        <v>518</v>
      </c>
      <c r="B525" s="231">
        <v>136</v>
      </c>
      <c r="C525" s="232" t="s">
        <v>1742</v>
      </c>
      <c r="D525" s="226" t="s">
        <v>1743</v>
      </c>
      <c r="E525" s="227" t="s">
        <v>1505</v>
      </c>
      <c r="F525" s="226" t="s">
        <v>1210</v>
      </c>
      <c r="G525" s="227" t="s">
        <v>1210</v>
      </c>
      <c r="H525" s="226" t="s">
        <v>1210</v>
      </c>
      <c r="I525" s="227" t="s">
        <v>1210</v>
      </c>
      <c r="J525" s="226" t="s">
        <v>1210</v>
      </c>
      <c r="K525" s="228" t="s">
        <v>1210</v>
      </c>
      <c r="L525" s="226" t="s">
        <v>1210</v>
      </c>
      <c r="M525" s="228" t="s">
        <v>1210</v>
      </c>
      <c r="N525" s="226" t="s">
        <v>1210</v>
      </c>
      <c r="O525" s="228" t="s">
        <v>1210</v>
      </c>
      <c r="P525" s="229" t="s">
        <v>1216</v>
      </c>
      <c r="Q525" s="230" t="s">
        <v>1742</v>
      </c>
      <c r="R525" s="230" t="s">
        <v>1744</v>
      </c>
      <c r="S525" s="222"/>
      <c r="T525" s="216"/>
    </row>
    <row r="526" spans="1:20">
      <c r="A526" s="216">
        <f t="shared" si="7"/>
        <v>519</v>
      </c>
      <c r="B526" s="217">
        <v>137</v>
      </c>
      <c r="C526" s="218" t="s">
        <v>1745</v>
      </c>
      <c r="D526" s="219" t="s">
        <v>1746</v>
      </c>
      <c r="E526" s="220" t="s">
        <v>1369</v>
      </c>
      <c r="F526" s="219" t="s">
        <v>1210</v>
      </c>
      <c r="G526" s="220" t="s">
        <v>1210</v>
      </c>
      <c r="H526" s="219" t="s">
        <v>1210</v>
      </c>
      <c r="I526" s="220" t="s">
        <v>1210</v>
      </c>
      <c r="J526" s="219" t="s">
        <v>1210</v>
      </c>
      <c r="K526" s="221" t="s">
        <v>1210</v>
      </c>
      <c r="L526" s="219" t="s">
        <v>1210</v>
      </c>
      <c r="M526" s="221" t="s">
        <v>1210</v>
      </c>
      <c r="N526" s="219" t="s">
        <v>1210</v>
      </c>
      <c r="O526" s="221" t="s">
        <v>1210</v>
      </c>
      <c r="P526" s="222" t="s">
        <v>1211</v>
      </c>
      <c r="Q526" s="223" t="s">
        <v>1212</v>
      </c>
      <c r="R526" s="223" t="s">
        <v>1212</v>
      </c>
      <c r="S526" s="222"/>
      <c r="T526" s="216"/>
    </row>
    <row r="527" spans="1:20">
      <c r="A527" s="216">
        <f t="shared" si="7"/>
        <v>520</v>
      </c>
      <c r="B527" s="231">
        <v>137</v>
      </c>
      <c r="C527" s="232" t="s">
        <v>1745</v>
      </c>
      <c r="D527" s="226" t="s">
        <v>1746</v>
      </c>
      <c r="E527" s="227" t="s">
        <v>1505</v>
      </c>
      <c r="F527" s="226" t="s">
        <v>1210</v>
      </c>
      <c r="G527" s="227" t="s">
        <v>1210</v>
      </c>
      <c r="H527" s="226" t="s">
        <v>1210</v>
      </c>
      <c r="I527" s="227" t="s">
        <v>1210</v>
      </c>
      <c r="J527" s="226" t="s">
        <v>1210</v>
      </c>
      <c r="K527" s="228" t="s">
        <v>1210</v>
      </c>
      <c r="L527" s="226" t="s">
        <v>1210</v>
      </c>
      <c r="M527" s="228" t="s">
        <v>1210</v>
      </c>
      <c r="N527" s="226" t="s">
        <v>1210</v>
      </c>
      <c r="O527" s="228" t="s">
        <v>1210</v>
      </c>
      <c r="P527" s="229" t="s">
        <v>1216</v>
      </c>
      <c r="Q527" s="230" t="s">
        <v>1745</v>
      </c>
      <c r="R527" s="230" t="s">
        <v>1747</v>
      </c>
      <c r="S527" s="222"/>
      <c r="T527" s="216"/>
    </row>
  </sheetData>
  <autoFilter ref="A7:T527"/>
  <mergeCells count="13">
    <mergeCell ref="T5:T7"/>
    <mergeCell ref="D6:E6"/>
    <mergeCell ref="F6:G6"/>
    <mergeCell ref="H6:I6"/>
    <mergeCell ref="J6:K6"/>
    <mergeCell ref="L6:M6"/>
    <mergeCell ref="N6:O6"/>
    <mergeCell ref="S5:S7"/>
    <mergeCell ref="A5:A7"/>
    <mergeCell ref="B5:B7"/>
    <mergeCell ref="C5:C7"/>
    <mergeCell ref="D5:O5"/>
    <mergeCell ref="P5:R6"/>
  </mergeCells>
  <phoneticPr fontId="1"/>
  <pageMargins left="0.51181102362204722" right="0.31496062992125984" top="0.55118110236220474" bottom="0.55118110236220474" header="0.31496062992125984" footer="0.31496062992125984"/>
  <pageSetup paperSize="8" scale="25" fitToHeight="0" orientation="portrait" verticalDpi="0" r:id="rId1"/>
  <headerFooter>
    <oddFooter>&amp;C&amp;P / &amp;N</oddFooter>
  </headerFooter>
  <rowBreaks count="3" manualBreakCount="3">
    <brk id="159" max="16383" man="1"/>
    <brk id="314" max="16383" man="1"/>
    <brk id="472" max="16383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K81"/>
  <sheetViews>
    <sheetView workbookViewId="0">
      <selection activeCell="D82" sqref="D82"/>
    </sheetView>
  </sheetViews>
  <sheetFormatPr defaultRowHeight="18.75"/>
  <cols>
    <col min="1" max="2" width="3.375" customWidth="1"/>
    <col min="3" max="3" width="25.5" bestFit="1" customWidth="1"/>
    <col min="4" max="4" width="30.125" bestFit="1" customWidth="1"/>
    <col min="10" max="10" width="25.5" bestFit="1" customWidth="1"/>
    <col min="11" max="11" width="22.75" bestFit="1" customWidth="1"/>
  </cols>
  <sheetData>
    <row r="1" spans="2:11">
      <c r="B1" s="2" t="s">
        <v>1832</v>
      </c>
      <c r="C1" s="2" t="s">
        <v>1754</v>
      </c>
      <c r="D1" s="2" t="s">
        <v>1755</v>
      </c>
    </row>
    <row r="2" spans="2:11">
      <c r="B2" s="1" t="s">
        <v>1833</v>
      </c>
      <c r="C2" s="1" t="s">
        <v>1758</v>
      </c>
      <c r="D2" s="1" t="s">
        <v>1759</v>
      </c>
      <c r="J2" s="1" t="s">
        <v>1758</v>
      </c>
      <c r="K2" s="1" t="s">
        <v>1759</v>
      </c>
    </row>
    <row r="3" spans="2:11">
      <c r="B3" s="1" t="s">
        <v>1833</v>
      </c>
      <c r="C3" s="1" t="s">
        <v>1760</v>
      </c>
      <c r="D3" s="1" t="s">
        <v>1761</v>
      </c>
      <c r="J3" s="1" t="s">
        <v>1760</v>
      </c>
      <c r="K3" s="1" t="s">
        <v>1761</v>
      </c>
    </row>
    <row r="4" spans="2:11">
      <c r="B4" s="1" t="s">
        <v>1833</v>
      </c>
      <c r="C4" s="1" t="s">
        <v>1762</v>
      </c>
      <c r="D4" s="1" t="s">
        <v>1763</v>
      </c>
      <c r="J4" s="1" t="s">
        <v>1762</v>
      </c>
      <c r="K4" s="1" t="s">
        <v>1763</v>
      </c>
    </row>
    <row r="5" spans="2:11">
      <c r="B5" s="1" t="s">
        <v>1833</v>
      </c>
      <c r="C5" s="1" t="s">
        <v>1764</v>
      </c>
      <c r="D5" s="1" t="s">
        <v>1765</v>
      </c>
      <c r="J5" s="1" t="s">
        <v>1764</v>
      </c>
      <c r="K5" s="1" t="s">
        <v>1765</v>
      </c>
    </row>
    <row r="6" spans="2:11">
      <c r="B6" s="1" t="s">
        <v>1833</v>
      </c>
      <c r="C6" s="1" t="s">
        <v>1766</v>
      </c>
      <c r="D6" s="1" t="s">
        <v>1767</v>
      </c>
      <c r="J6" s="1" t="s">
        <v>1766</v>
      </c>
      <c r="K6" s="1" t="s">
        <v>1767</v>
      </c>
    </row>
    <row r="7" spans="2:11">
      <c r="B7" s="1" t="s">
        <v>1833</v>
      </c>
      <c r="C7" s="1" t="s">
        <v>512</v>
      </c>
      <c r="D7" s="1" t="s">
        <v>1768</v>
      </c>
      <c r="J7" s="1" t="s">
        <v>512</v>
      </c>
      <c r="K7" s="1" t="s">
        <v>1768</v>
      </c>
    </row>
    <row r="8" spans="2:11">
      <c r="B8" s="1" t="s">
        <v>1833</v>
      </c>
      <c r="C8" s="1" t="s">
        <v>1769</v>
      </c>
      <c r="D8" s="1" t="s">
        <v>1770</v>
      </c>
      <c r="J8" s="1" t="s">
        <v>1769</v>
      </c>
      <c r="K8" s="1" t="s">
        <v>1770</v>
      </c>
    </row>
    <row r="9" spans="2:11">
      <c r="B9" s="1" t="s">
        <v>1833</v>
      </c>
      <c r="C9" s="1" t="s">
        <v>516</v>
      </c>
      <c r="D9" s="1" t="s">
        <v>1883</v>
      </c>
      <c r="J9" s="1" t="s">
        <v>516</v>
      </c>
      <c r="K9" s="1" t="s">
        <v>1771</v>
      </c>
    </row>
    <row r="10" spans="2:11">
      <c r="B10" s="1" t="s">
        <v>1833</v>
      </c>
      <c r="C10" s="1" t="s">
        <v>518</v>
      </c>
      <c r="D10" s="1" t="s">
        <v>1884</v>
      </c>
      <c r="J10" s="1" t="s">
        <v>518</v>
      </c>
      <c r="K10" s="1" t="s">
        <v>1772</v>
      </c>
    </row>
    <row r="11" spans="2:11">
      <c r="B11" s="1" t="s">
        <v>1833</v>
      </c>
      <c r="C11" s="1" t="s">
        <v>1915</v>
      </c>
      <c r="D11" s="1" t="s">
        <v>1916</v>
      </c>
      <c r="J11" s="1" t="s">
        <v>1773</v>
      </c>
      <c r="K11" s="1" t="s">
        <v>1774</v>
      </c>
    </row>
    <row r="12" spans="2:11">
      <c r="B12" s="1" t="s">
        <v>1833</v>
      </c>
      <c r="C12" s="1" t="s">
        <v>1775</v>
      </c>
      <c r="D12" s="1" t="s">
        <v>1776</v>
      </c>
      <c r="J12" s="1" t="s">
        <v>1775</v>
      </c>
      <c r="K12" s="1" t="s">
        <v>1776</v>
      </c>
    </row>
    <row r="13" spans="2:11">
      <c r="B13" s="1" t="s">
        <v>1833</v>
      </c>
      <c r="C13" s="1" t="s">
        <v>524</v>
      </c>
      <c r="D13" s="1" t="s">
        <v>1777</v>
      </c>
      <c r="J13" s="1" t="s">
        <v>524</v>
      </c>
      <c r="K13" s="1" t="s">
        <v>1777</v>
      </c>
    </row>
    <row r="14" spans="2:11">
      <c r="B14" s="1" t="s">
        <v>1833</v>
      </c>
      <c r="C14" s="1" t="s">
        <v>1778</v>
      </c>
      <c r="D14" s="1" t="s">
        <v>1779</v>
      </c>
      <c r="J14" s="1" t="s">
        <v>1778</v>
      </c>
      <c r="K14" s="1" t="s">
        <v>1779</v>
      </c>
    </row>
    <row r="15" spans="2:11">
      <c r="B15" s="1" t="s">
        <v>1833</v>
      </c>
      <c r="C15" s="1" t="s">
        <v>1780</v>
      </c>
      <c r="D15" s="1" t="s">
        <v>1781</v>
      </c>
      <c r="J15" s="1" t="s">
        <v>1780</v>
      </c>
      <c r="K15" s="1" t="s">
        <v>1781</v>
      </c>
    </row>
    <row r="16" spans="2:11">
      <c r="B16" s="1" t="s">
        <v>1833</v>
      </c>
      <c r="C16" s="1" t="s">
        <v>689</v>
      </c>
      <c r="D16" s="1" t="s">
        <v>1917</v>
      </c>
      <c r="J16" s="1" t="s">
        <v>49</v>
      </c>
      <c r="K16" s="1" t="s">
        <v>1782</v>
      </c>
    </row>
    <row r="17" spans="2:11">
      <c r="B17" s="1" t="s">
        <v>1833</v>
      </c>
      <c r="C17" s="1" t="s">
        <v>49</v>
      </c>
      <c r="D17" s="1" t="s">
        <v>1885</v>
      </c>
      <c r="J17" s="1" t="s">
        <v>51</v>
      </c>
      <c r="K17" s="1" t="s">
        <v>1783</v>
      </c>
    </row>
    <row r="18" spans="2:11">
      <c r="B18" s="1" t="s">
        <v>1833</v>
      </c>
      <c r="C18" s="1" t="s">
        <v>51</v>
      </c>
      <c r="D18" s="1" t="s">
        <v>1886</v>
      </c>
      <c r="J18" s="1" t="s">
        <v>52</v>
      </c>
      <c r="K18" s="1" t="s">
        <v>1784</v>
      </c>
    </row>
    <row r="19" spans="2:11">
      <c r="B19" s="1" t="s">
        <v>1833</v>
      </c>
      <c r="C19" s="1" t="s">
        <v>52</v>
      </c>
      <c r="D19" s="1" t="s">
        <v>1887</v>
      </c>
      <c r="J19" s="1" t="s">
        <v>20</v>
      </c>
      <c r="K19" s="1" t="s">
        <v>1785</v>
      </c>
    </row>
    <row r="20" spans="2:11">
      <c r="B20" s="1" t="s">
        <v>1833</v>
      </c>
      <c r="C20" s="1" t="s">
        <v>20</v>
      </c>
      <c r="D20" s="1" t="s">
        <v>1785</v>
      </c>
      <c r="J20" s="1" t="s">
        <v>548</v>
      </c>
      <c r="K20" s="1" t="s">
        <v>1786</v>
      </c>
    </row>
    <row r="21" spans="2:11">
      <c r="B21" s="1" t="s">
        <v>1833</v>
      </c>
      <c r="C21" s="1" t="s">
        <v>21</v>
      </c>
      <c r="D21" s="1" t="s">
        <v>1882</v>
      </c>
      <c r="J21" s="1" t="s">
        <v>550</v>
      </c>
      <c r="K21" s="1" t="s">
        <v>1787</v>
      </c>
    </row>
    <row r="22" spans="2:11">
      <c r="B22" s="1" t="s">
        <v>1833</v>
      </c>
      <c r="C22" s="1" t="s">
        <v>548</v>
      </c>
      <c r="D22" s="1" t="s">
        <v>1881</v>
      </c>
      <c r="J22" s="1" t="s">
        <v>768</v>
      </c>
      <c r="K22" s="1" t="s">
        <v>1788</v>
      </c>
    </row>
    <row r="23" spans="2:11">
      <c r="B23" s="1" t="s">
        <v>1833</v>
      </c>
      <c r="C23" s="1" t="s">
        <v>550</v>
      </c>
      <c r="D23" s="1" t="s">
        <v>1787</v>
      </c>
      <c r="J23" s="1" t="s">
        <v>556</v>
      </c>
      <c r="K23" s="1" t="s">
        <v>1789</v>
      </c>
    </row>
    <row r="24" spans="2:11">
      <c r="B24" s="1" t="s">
        <v>1833</v>
      </c>
      <c r="C24" s="1" t="s">
        <v>768</v>
      </c>
      <c r="D24" s="1" t="s">
        <v>1888</v>
      </c>
      <c r="J24" s="1" t="s">
        <v>561</v>
      </c>
      <c r="K24" s="1" t="s">
        <v>1790</v>
      </c>
    </row>
    <row r="25" spans="2:11">
      <c r="B25" s="1" t="s">
        <v>1833</v>
      </c>
      <c r="C25" s="1" t="s">
        <v>556</v>
      </c>
      <c r="D25" s="1" t="s">
        <v>1889</v>
      </c>
      <c r="J25" s="1" t="s">
        <v>57</v>
      </c>
      <c r="K25" s="1" t="s">
        <v>1791</v>
      </c>
    </row>
    <row r="26" spans="2:11">
      <c r="B26" s="1" t="s">
        <v>1833</v>
      </c>
      <c r="C26" s="1" t="s">
        <v>561</v>
      </c>
      <c r="D26" s="1" t="s">
        <v>1890</v>
      </c>
      <c r="J26" s="1" t="s">
        <v>266</v>
      </c>
      <c r="K26" s="1" t="s">
        <v>1792</v>
      </c>
    </row>
    <row r="27" spans="2:11">
      <c r="B27" s="1" t="s">
        <v>1833</v>
      </c>
      <c r="C27" s="1" t="s">
        <v>57</v>
      </c>
      <c r="D27" s="1" t="s">
        <v>1891</v>
      </c>
      <c r="J27" s="1" t="s">
        <v>280</v>
      </c>
      <c r="K27" s="1" t="s">
        <v>1793</v>
      </c>
    </row>
    <row r="28" spans="2:11">
      <c r="B28" s="1" t="s">
        <v>1833</v>
      </c>
      <c r="C28" s="1" t="s">
        <v>566</v>
      </c>
      <c r="D28" s="1" t="s">
        <v>1892</v>
      </c>
      <c r="J28" s="1" t="s">
        <v>22</v>
      </c>
      <c r="K28" s="1" t="s">
        <v>1794</v>
      </c>
    </row>
    <row r="29" spans="2:11">
      <c r="B29" s="1" t="s">
        <v>1833</v>
      </c>
      <c r="C29" s="1" t="s">
        <v>266</v>
      </c>
      <c r="D29" s="1" t="s">
        <v>1893</v>
      </c>
      <c r="J29" s="1" t="s">
        <v>23</v>
      </c>
      <c r="K29" s="1" t="s">
        <v>1795</v>
      </c>
    </row>
    <row r="30" spans="2:11">
      <c r="B30" s="1" t="s">
        <v>1833</v>
      </c>
      <c r="C30" s="1" t="s">
        <v>571</v>
      </c>
      <c r="D30" s="1" t="s">
        <v>1894</v>
      </c>
      <c r="J30" s="1" t="s">
        <v>80</v>
      </c>
      <c r="K30" s="1" t="s">
        <v>1796</v>
      </c>
    </row>
    <row r="31" spans="2:11">
      <c r="B31" s="1" t="s">
        <v>1833</v>
      </c>
      <c r="C31" s="1" t="s">
        <v>575</v>
      </c>
      <c r="D31" s="1" t="s">
        <v>1895</v>
      </c>
      <c r="J31" s="1" t="s">
        <v>64</v>
      </c>
      <c r="K31" s="1" t="s">
        <v>1797</v>
      </c>
    </row>
    <row r="32" spans="2:11">
      <c r="B32" s="1" t="s">
        <v>1833</v>
      </c>
      <c r="C32" s="1" t="s">
        <v>579</v>
      </c>
      <c r="D32" s="1" t="s">
        <v>1896</v>
      </c>
      <c r="J32" s="1" t="s">
        <v>24</v>
      </c>
      <c r="K32" s="1" t="s">
        <v>1798</v>
      </c>
    </row>
    <row r="33" spans="2:11">
      <c r="B33" s="1" t="s">
        <v>1833</v>
      </c>
      <c r="C33" s="1" t="s">
        <v>583</v>
      </c>
      <c r="D33" s="1" t="s">
        <v>1897</v>
      </c>
      <c r="J33" s="1" t="s">
        <v>1799</v>
      </c>
      <c r="K33" s="1" t="s">
        <v>1800</v>
      </c>
    </row>
    <row r="34" spans="2:11">
      <c r="B34" s="1" t="s">
        <v>1833</v>
      </c>
      <c r="C34" s="1" t="s">
        <v>794</v>
      </c>
      <c r="D34" s="1" t="s">
        <v>1898</v>
      </c>
      <c r="J34" s="1" t="s">
        <v>77</v>
      </c>
      <c r="K34" s="1" t="s">
        <v>1801</v>
      </c>
    </row>
    <row r="35" spans="2:11">
      <c r="B35" s="1" t="s">
        <v>1833</v>
      </c>
      <c r="C35" s="1" t="s">
        <v>753</v>
      </c>
      <c r="D35" s="1" t="s">
        <v>1918</v>
      </c>
      <c r="J35" s="1" t="s">
        <v>850</v>
      </c>
      <c r="K35" s="1" t="s">
        <v>1802</v>
      </c>
    </row>
    <row r="36" spans="2:11">
      <c r="B36" s="1" t="s">
        <v>1833</v>
      </c>
      <c r="C36" s="1" t="s">
        <v>756</v>
      </c>
      <c r="D36" s="1" t="s">
        <v>1919</v>
      </c>
      <c r="J36" s="1" t="s">
        <v>911</v>
      </c>
      <c r="K36" s="1" t="s">
        <v>1803</v>
      </c>
    </row>
    <row r="37" spans="2:11">
      <c r="B37" s="1" t="s">
        <v>1833</v>
      </c>
      <c r="C37" s="1" t="s">
        <v>595</v>
      </c>
      <c r="D37" s="1" t="s">
        <v>1920</v>
      </c>
      <c r="J37" s="1" t="s">
        <v>853</v>
      </c>
      <c r="K37" s="1" t="s">
        <v>1804</v>
      </c>
    </row>
    <row r="38" spans="2:11">
      <c r="B38" s="1" t="s">
        <v>1833</v>
      </c>
      <c r="C38" s="1" t="s">
        <v>591</v>
      </c>
      <c r="D38" s="1" t="s">
        <v>1899</v>
      </c>
      <c r="J38" s="1" t="s">
        <v>1124</v>
      </c>
      <c r="K38" s="1" t="s">
        <v>1805</v>
      </c>
    </row>
    <row r="39" spans="2:11">
      <c r="B39" s="1" t="s">
        <v>1833</v>
      </c>
      <c r="C39" s="1" t="s">
        <v>971</v>
      </c>
      <c r="D39" s="1" t="s">
        <v>1921</v>
      </c>
      <c r="J39" s="1" t="s">
        <v>941</v>
      </c>
      <c r="K39" s="1" t="s">
        <v>1806</v>
      </c>
    </row>
    <row r="40" spans="2:11">
      <c r="B40" s="1" t="s">
        <v>1833</v>
      </c>
      <c r="C40" s="1" t="s">
        <v>977</v>
      </c>
      <c r="D40" s="1" t="s">
        <v>1900</v>
      </c>
      <c r="J40" s="1" t="s">
        <v>321</v>
      </c>
      <c r="K40" s="1" t="s">
        <v>1807</v>
      </c>
    </row>
    <row r="41" spans="2:11">
      <c r="B41" s="1" t="s">
        <v>1833</v>
      </c>
      <c r="C41" s="1" t="s">
        <v>23</v>
      </c>
      <c r="D41" s="1" t="s">
        <v>1922</v>
      </c>
      <c r="J41" s="1" t="s">
        <v>612</v>
      </c>
      <c r="K41" s="1" t="s">
        <v>1808</v>
      </c>
    </row>
    <row r="42" spans="2:11">
      <c r="B42" s="1" t="s">
        <v>1833</v>
      </c>
      <c r="C42" s="1" t="s">
        <v>64</v>
      </c>
      <c r="D42" s="1" t="s">
        <v>1901</v>
      </c>
      <c r="J42" s="1" t="s">
        <v>607</v>
      </c>
      <c r="K42" s="1" t="s">
        <v>1809</v>
      </c>
    </row>
    <row r="43" spans="2:11">
      <c r="B43" s="1" t="s">
        <v>1833</v>
      </c>
      <c r="C43" s="1" t="s">
        <v>612</v>
      </c>
      <c r="D43" s="1" t="s">
        <v>1923</v>
      </c>
      <c r="J43" s="1" t="s">
        <v>614</v>
      </c>
      <c r="K43" s="1" t="s">
        <v>1810</v>
      </c>
    </row>
    <row r="44" spans="2:11">
      <c r="B44" s="1" t="s">
        <v>1833</v>
      </c>
      <c r="C44" s="1" t="s">
        <v>610</v>
      </c>
      <c r="D44" s="1" t="s">
        <v>1902</v>
      </c>
      <c r="J44" s="1" t="s">
        <v>916</v>
      </c>
      <c r="K44" s="1" t="s">
        <v>1811</v>
      </c>
    </row>
    <row r="45" spans="2:11">
      <c r="B45" s="1" t="s">
        <v>1833</v>
      </c>
      <c r="C45" s="1" t="s">
        <v>1924</v>
      </c>
      <c r="D45" s="1" t="s">
        <v>1925</v>
      </c>
      <c r="J45" s="1" t="s">
        <v>918</v>
      </c>
      <c r="K45" s="1" t="s">
        <v>1812</v>
      </c>
    </row>
    <row r="46" spans="2:11">
      <c r="B46" s="1" t="s">
        <v>1833</v>
      </c>
      <c r="C46" s="1" t="s">
        <v>1000</v>
      </c>
      <c r="D46" s="1" t="s">
        <v>1926</v>
      </c>
      <c r="J46" s="1" t="s">
        <v>921</v>
      </c>
      <c r="K46" s="1" t="s">
        <v>1813</v>
      </c>
    </row>
    <row r="47" spans="2:11">
      <c r="B47" s="1" t="s">
        <v>1833</v>
      </c>
      <c r="C47" s="1" t="s">
        <v>853</v>
      </c>
      <c r="D47" s="1" t="s">
        <v>1927</v>
      </c>
      <c r="J47" s="1" t="s">
        <v>924</v>
      </c>
      <c r="K47" s="1" t="s">
        <v>1814</v>
      </c>
    </row>
    <row r="48" spans="2:11">
      <c r="B48" s="1" t="s">
        <v>1833</v>
      </c>
      <c r="C48" s="1" t="s">
        <v>616</v>
      </c>
      <c r="D48" s="1" t="s">
        <v>1928</v>
      </c>
      <c r="J48" s="1" t="s">
        <v>927</v>
      </c>
      <c r="K48" s="1" t="s">
        <v>1815</v>
      </c>
    </row>
    <row r="49" spans="2:11">
      <c r="B49" s="1" t="s">
        <v>1833</v>
      </c>
      <c r="C49" s="1" t="s">
        <v>622</v>
      </c>
      <c r="D49" s="1" t="s">
        <v>1929</v>
      </c>
      <c r="J49" s="1" t="s">
        <v>930</v>
      </c>
      <c r="K49" s="1" t="s">
        <v>1816</v>
      </c>
    </row>
    <row r="50" spans="2:11">
      <c r="B50" s="1" t="s">
        <v>1833</v>
      </c>
      <c r="C50" s="1" t="s">
        <v>995</v>
      </c>
      <c r="D50" s="1" t="s">
        <v>1930</v>
      </c>
      <c r="J50" s="1" t="s">
        <v>933</v>
      </c>
      <c r="K50" s="1" t="s">
        <v>1817</v>
      </c>
    </row>
    <row r="51" spans="2:11">
      <c r="B51" s="1" t="s">
        <v>1833</v>
      </c>
      <c r="C51" s="1" t="s">
        <v>25</v>
      </c>
      <c r="D51" s="1" t="s">
        <v>1931</v>
      </c>
      <c r="J51" s="1" t="s">
        <v>936</v>
      </c>
      <c r="K51" s="1" t="s">
        <v>1818</v>
      </c>
    </row>
    <row r="52" spans="2:11">
      <c r="B52" s="1" t="s">
        <v>1833</v>
      </c>
      <c r="C52" s="1" t="s">
        <v>618</v>
      </c>
      <c r="D52" s="1" t="s">
        <v>1932</v>
      </c>
      <c r="J52" s="1" t="s">
        <v>616</v>
      </c>
      <c r="K52" s="1" t="s">
        <v>1819</v>
      </c>
    </row>
    <row r="53" spans="2:11">
      <c r="B53" s="1" t="s">
        <v>1833</v>
      </c>
      <c r="C53" s="1" t="s">
        <v>871</v>
      </c>
      <c r="D53" s="1" t="s">
        <v>1933</v>
      </c>
      <c r="J53" s="1" t="s">
        <v>620</v>
      </c>
      <c r="K53" s="1" t="s">
        <v>1820</v>
      </c>
    </row>
    <row r="54" spans="2:11">
      <c r="B54" s="1" t="s">
        <v>1833</v>
      </c>
      <c r="C54" s="1" t="s">
        <v>874</v>
      </c>
      <c r="D54" s="1" t="s">
        <v>1934</v>
      </c>
      <c r="J54" s="1" t="s">
        <v>571</v>
      </c>
      <c r="K54" s="1" t="s">
        <v>1821</v>
      </c>
    </row>
    <row r="55" spans="2:11">
      <c r="B55" s="1" t="s">
        <v>1833</v>
      </c>
      <c r="C55" s="1" t="s">
        <v>620</v>
      </c>
      <c r="D55" s="1" t="s">
        <v>1903</v>
      </c>
      <c r="J55" s="1" t="s">
        <v>573</v>
      </c>
      <c r="K55" s="1" t="s">
        <v>1822</v>
      </c>
    </row>
    <row r="56" spans="2:11">
      <c r="B56" s="1" t="s">
        <v>1833</v>
      </c>
      <c r="C56" s="1" t="s">
        <v>879</v>
      </c>
      <c r="D56" s="1" t="s">
        <v>1935</v>
      </c>
      <c r="J56" s="1" t="s">
        <v>575</v>
      </c>
      <c r="K56" s="1" t="s">
        <v>1823</v>
      </c>
    </row>
    <row r="57" spans="2:11">
      <c r="B57" s="1" t="s">
        <v>1833</v>
      </c>
      <c r="C57" s="1" t="s">
        <v>997</v>
      </c>
      <c r="D57" s="1" t="s">
        <v>1936</v>
      </c>
      <c r="J57" s="1" t="s">
        <v>577</v>
      </c>
      <c r="K57" s="1" t="s">
        <v>1824</v>
      </c>
    </row>
    <row r="58" spans="2:11">
      <c r="B58" s="1" t="s">
        <v>1833</v>
      </c>
      <c r="C58" s="1" t="s">
        <v>624</v>
      </c>
      <c r="D58" s="1" t="s">
        <v>1937</v>
      </c>
      <c r="J58" s="1" t="s">
        <v>583</v>
      </c>
      <c r="K58" s="1" t="s">
        <v>1825</v>
      </c>
    </row>
    <row r="59" spans="2:11">
      <c r="B59" s="1" t="s">
        <v>1833</v>
      </c>
      <c r="C59" s="1" t="s">
        <v>1938</v>
      </c>
      <c r="D59" s="1" t="s">
        <v>1939</v>
      </c>
      <c r="J59" s="1" t="s">
        <v>585</v>
      </c>
      <c r="K59" s="1" t="s">
        <v>1826</v>
      </c>
    </row>
    <row r="60" spans="2:11">
      <c r="B60" s="1" t="s">
        <v>1833</v>
      </c>
      <c r="C60" s="1" t="s">
        <v>1940</v>
      </c>
      <c r="D60" s="1" t="s">
        <v>1941</v>
      </c>
      <c r="J60" s="1" t="s">
        <v>579</v>
      </c>
      <c r="K60" s="1" t="s">
        <v>1827</v>
      </c>
    </row>
    <row r="61" spans="2:11">
      <c r="B61" s="1" t="s">
        <v>1833</v>
      </c>
      <c r="C61" s="1" t="s">
        <v>1942</v>
      </c>
      <c r="D61" s="1" t="s">
        <v>1943</v>
      </c>
      <c r="J61" s="1" t="s">
        <v>581</v>
      </c>
      <c r="K61" s="1" t="s">
        <v>1828</v>
      </c>
    </row>
    <row r="62" spans="2:11">
      <c r="B62" s="1" t="s">
        <v>1833</v>
      </c>
      <c r="C62" s="1" t="s">
        <v>1944</v>
      </c>
      <c r="D62" s="1" t="s">
        <v>1945</v>
      </c>
      <c r="J62" s="1" t="s">
        <v>794</v>
      </c>
      <c r="K62" s="1" t="s">
        <v>1829</v>
      </c>
    </row>
    <row r="63" spans="2:11">
      <c r="B63" s="1" t="s">
        <v>1833</v>
      </c>
      <c r="C63" s="1" t="s">
        <v>1946</v>
      </c>
      <c r="D63" s="1" t="s">
        <v>1947</v>
      </c>
      <c r="J63" s="1" t="s">
        <v>798</v>
      </c>
      <c r="K63" s="1" t="s">
        <v>1830</v>
      </c>
    </row>
    <row r="64" spans="2:11">
      <c r="B64" s="1" t="s">
        <v>1833</v>
      </c>
      <c r="C64" s="1" t="s">
        <v>1948</v>
      </c>
      <c r="D64" s="1" t="s">
        <v>1949</v>
      </c>
      <c r="J64" s="1" t="s">
        <v>92</v>
      </c>
      <c r="K64" s="1" t="s">
        <v>1831</v>
      </c>
    </row>
    <row r="65" spans="2:4">
      <c r="B65" s="1" t="s">
        <v>1833</v>
      </c>
      <c r="C65" s="1" t="s">
        <v>1104</v>
      </c>
      <c r="D65" s="1" t="s">
        <v>1950</v>
      </c>
    </row>
    <row r="66" spans="2:4">
      <c r="B66" s="1" t="s">
        <v>1833</v>
      </c>
      <c r="C66" s="1" t="s">
        <v>1107</v>
      </c>
      <c r="D66" s="1" t="s">
        <v>1951</v>
      </c>
    </row>
    <row r="67" spans="2:4">
      <c r="B67" s="1" t="s">
        <v>1833</v>
      </c>
      <c r="C67" s="1" t="s">
        <v>1110</v>
      </c>
      <c r="D67" s="1" t="s">
        <v>1952</v>
      </c>
    </row>
    <row r="68" spans="2:4">
      <c r="B68" s="1" t="s">
        <v>1833</v>
      </c>
      <c r="C68" s="1" t="s">
        <v>650</v>
      </c>
      <c r="D68" s="1" t="s">
        <v>1953</v>
      </c>
    </row>
    <row r="69" spans="2:4">
      <c r="B69" s="1" t="s">
        <v>1833</v>
      </c>
      <c r="C69" s="1" t="s">
        <v>1148</v>
      </c>
      <c r="D69" s="1" t="s">
        <v>1954</v>
      </c>
    </row>
    <row r="70" spans="2:4">
      <c r="B70" s="1" t="s">
        <v>1833</v>
      </c>
      <c r="C70" s="1" t="s">
        <v>1142</v>
      </c>
      <c r="D70" s="1" t="s">
        <v>1955</v>
      </c>
    </row>
    <row r="71" spans="2:4">
      <c r="B71" s="1" t="s">
        <v>1833</v>
      </c>
      <c r="C71" s="1" t="s">
        <v>1144</v>
      </c>
      <c r="D71" s="1" t="s">
        <v>1956</v>
      </c>
    </row>
    <row r="72" spans="2:4">
      <c r="B72" s="1" t="s">
        <v>1833</v>
      </c>
      <c r="C72" s="1" t="s">
        <v>1146</v>
      </c>
      <c r="D72" s="1" t="s">
        <v>1957</v>
      </c>
    </row>
    <row r="73" spans="2:4">
      <c r="B73" s="1" t="s">
        <v>1833</v>
      </c>
      <c r="C73" s="1" t="s">
        <v>1128</v>
      </c>
      <c r="D73" s="1" t="s">
        <v>1904</v>
      </c>
    </row>
    <row r="74" spans="2:4">
      <c r="B74" s="1" t="s">
        <v>1833</v>
      </c>
      <c r="C74" s="1" t="s">
        <v>638</v>
      </c>
      <c r="D74" s="1" t="s">
        <v>1905</v>
      </c>
    </row>
    <row r="75" spans="2:4">
      <c r="B75" s="1" t="s">
        <v>1833</v>
      </c>
      <c r="C75" s="1" t="s">
        <v>640</v>
      </c>
      <c r="D75" s="1" t="s">
        <v>1906</v>
      </c>
    </row>
    <row r="76" spans="2:4">
      <c r="B76" s="1" t="s">
        <v>1833</v>
      </c>
      <c r="C76" s="1" t="s">
        <v>642</v>
      </c>
      <c r="D76" s="1" t="s">
        <v>1907</v>
      </c>
    </row>
    <row r="77" spans="2:4">
      <c r="B77" s="1" t="s">
        <v>1833</v>
      </c>
      <c r="C77" s="1" t="s">
        <v>644</v>
      </c>
      <c r="D77" s="1" t="s">
        <v>1908</v>
      </c>
    </row>
    <row r="78" spans="2:4">
      <c r="B78" s="1" t="s">
        <v>1833</v>
      </c>
      <c r="C78" s="1" t="s">
        <v>652</v>
      </c>
      <c r="D78" s="1" t="s">
        <v>1909</v>
      </c>
    </row>
    <row r="79" spans="2:4">
      <c r="B79" s="1" t="s">
        <v>1833</v>
      </c>
      <c r="C79" s="1" t="s">
        <v>654</v>
      </c>
      <c r="D79" s="1" t="s">
        <v>1910</v>
      </c>
    </row>
    <row r="80" spans="2:4">
      <c r="B80" s="1" t="s">
        <v>1833</v>
      </c>
      <c r="C80" s="1" t="s">
        <v>656</v>
      </c>
      <c r="D80" s="1" t="s">
        <v>1911</v>
      </c>
    </row>
    <row r="81" spans="2:4">
      <c r="B81" s="1" t="s">
        <v>1833</v>
      </c>
      <c r="C81" s="1" t="s">
        <v>658</v>
      </c>
      <c r="D81" s="1" t="s">
        <v>1912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10</vt:i4>
      </vt:variant>
    </vt:vector>
  </HeadingPairs>
  <TitlesOfParts>
    <vt:vector size="36" baseType="lpstr">
      <vt:lpstr>config</vt:lpstr>
      <vt:lpstr>jicc.config</vt:lpstr>
      <vt:lpstr>jicc.task</vt:lpstr>
      <vt:lpstr>jicc.template</vt:lpstr>
      <vt:lpstr>jicc.layout</vt:lpstr>
      <vt:lpstr>cic.config</vt:lpstr>
      <vt:lpstr>cic.task</vt:lpstr>
      <vt:lpstr>cic.template</vt:lpstr>
      <vt:lpstr>cic.layout</vt:lpstr>
      <vt:lpstr>jiccSrc.config</vt:lpstr>
      <vt:lpstr>jiccSrc.task</vt:lpstr>
      <vt:lpstr>jiccSrc.template</vt:lpstr>
      <vt:lpstr>jiccSrc.layout</vt:lpstr>
      <vt:lpstr>gurasLite.config</vt:lpstr>
      <vt:lpstr>gurasLite.task</vt:lpstr>
      <vt:lpstr>gurasLite.template</vt:lpstr>
      <vt:lpstr>gurasLite.layout</vt:lpstr>
      <vt:lpstr>dcard.config</vt:lpstr>
      <vt:lpstr>dcard.task</vt:lpstr>
      <vt:lpstr>dcard.template</vt:lpstr>
      <vt:lpstr>dcard.layout</vt:lpstr>
      <vt:lpstr>test.config</vt:lpstr>
      <vt:lpstr>test.task</vt:lpstr>
      <vt:lpstr>test.template</vt:lpstr>
      <vt:lpstr>test.layout</vt:lpstr>
      <vt:lpstr>test.mapping</vt:lpstr>
      <vt:lpstr>cic.layout!Print_Area</vt:lpstr>
      <vt:lpstr>dcard.layout!Print_Area</vt:lpstr>
      <vt:lpstr>jicc.layout!Print_Area</vt:lpstr>
      <vt:lpstr>jiccSrc.layout!Print_Area</vt:lpstr>
      <vt:lpstr>cic.layout!Print_Titles</vt:lpstr>
      <vt:lpstr>dcard.layout!Print_Titles</vt:lpstr>
      <vt:lpstr>gurasLite.layout!Print_Titles</vt:lpstr>
      <vt:lpstr>jicc.layout!Print_Titles</vt:lpstr>
      <vt:lpstr>jiccSrc.layout!Print_Titles</vt:lpstr>
      <vt:lpstr>test.layout!Print_Titles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ncsak11598</dc:creator>
  <cp:lastModifiedBy>ncsak11598</cp:lastModifiedBy>
  <dcterms:created xsi:type="dcterms:W3CDTF">2020-01-23T07:32:15Z</dcterms:created>
  <dcterms:modified xsi:type="dcterms:W3CDTF">2020-08-05T08:05:40Z</dcterms:modified>
</cp:coreProperties>
</file>